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SMIS-2020\"/>
    </mc:Choice>
  </mc:AlternateContent>
  <bookViews>
    <workbookView xWindow="240" yWindow="75" windowWidth="20055" windowHeight="7935" tabRatio="569" firstSheet="58" activeTab="63"/>
  </bookViews>
  <sheets>
    <sheet name="AUG 2024 (2)" sheetId="56" r:id="rId1"/>
    <sheet name="MIS august 2020" sheetId="2" r:id="rId2"/>
    <sheet name="MIS September 2020" sheetId="1" r:id="rId3"/>
    <sheet name="October 2020" sheetId="4" r:id="rId4"/>
    <sheet name="November 2020" sheetId="5" r:id="rId5"/>
    <sheet name="DECEMBER 2020" sheetId="6" r:id="rId6"/>
    <sheet name="JANUARY 2021" sheetId="7" r:id="rId7"/>
    <sheet name="FEBRUARY 2021" sheetId="8" r:id="rId8"/>
    <sheet name="MARCH 2021" sheetId="9" r:id="rId9"/>
    <sheet name="APRIL 2021" sheetId="10" r:id="rId10"/>
    <sheet name="MAY 2021" sheetId="11" r:id="rId11"/>
    <sheet name="June 2021" sheetId="12" r:id="rId12"/>
    <sheet name="July 2021" sheetId="13" r:id="rId13"/>
    <sheet name="Aug 2021" sheetId="14" r:id="rId14"/>
    <sheet name="Sept 2021" sheetId="16" r:id="rId15"/>
    <sheet name="Oct 2021" sheetId="17" r:id="rId16"/>
    <sheet name="Nov 2021" sheetId="18" r:id="rId17"/>
    <sheet name="Dec 2021" sheetId="19" r:id="rId18"/>
    <sheet name="Jan 2022" sheetId="20" r:id="rId19"/>
    <sheet name="Feb 2022" sheetId="21" r:id="rId20"/>
    <sheet name="March 2022" sheetId="22" r:id="rId21"/>
    <sheet name="April 2022" sheetId="24" r:id="rId22"/>
    <sheet name="MAY 2022" sheetId="25" r:id="rId23"/>
    <sheet name="Sheet1" sheetId="15" r:id="rId24"/>
    <sheet name="JUNE 2022" sheetId="26" r:id="rId25"/>
    <sheet name="JULY 2022" sheetId="27" r:id="rId26"/>
    <sheet name="AUG 2022" sheetId="28" r:id="rId27"/>
    <sheet name="SEPT 2022" sheetId="29" r:id="rId28"/>
    <sheet name="OCT 2022" sheetId="30" r:id="rId29"/>
    <sheet name="NOV-2022" sheetId="31" r:id="rId30"/>
    <sheet name="Dec 2022" sheetId="32" r:id="rId31"/>
    <sheet name="January 2023" sheetId="33" r:id="rId32"/>
    <sheet name="Feb 2023" sheetId="34" r:id="rId33"/>
    <sheet name="March,2023" sheetId="36" r:id="rId34"/>
    <sheet name="April,2023" sheetId="35" r:id="rId35"/>
    <sheet name="May 2023" sheetId="37" r:id="rId36"/>
    <sheet name="June 2023" sheetId="39" r:id="rId37"/>
    <sheet name="July2023" sheetId="40" r:id="rId38"/>
    <sheet name="Aug 2023" sheetId="41" r:id="rId39"/>
    <sheet name="Sept 2023" sheetId="42" r:id="rId40"/>
    <sheet name="Oct 2023" sheetId="44" r:id="rId41"/>
    <sheet name="Nov-23" sheetId="45" r:id="rId42"/>
    <sheet name="Dec 2023 " sheetId="47" r:id="rId43"/>
    <sheet name="Jan 2024" sheetId="46" r:id="rId44"/>
    <sheet name="Feb 2024" sheetId="48" r:id="rId45"/>
    <sheet name="Feb 2024-Rev " sheetId="50" r:id="rId46"/>
    <sheet name="March 2024" sheetId="49" r:id="rId47"/>
    <sheet name="April 2024" sheetId="51" r:id="rId48"/>
    <sheet name="May 2024" sheetId="52" r:id="rId49"/>
    <sheet name="June 2024" sheetId="53" r:id="rId50"/>
    <sheet name="July 2024" sheetId="54" r:id="rId51"/>
    <sheet name="AUG 2024" sheetId="55" r:id="rId52"/>
    <sheet name="SEPT 2024" sheetId="57" r:id="rId53"/>
    <sheet name="OCT 2024" sheetId="58" r:id="rId54"/>
    <sheet name="Nov 2024" sheetId="59" r:id="rId55"/>
    <sheet name="Janu 2025" sheetId="60" r:id="rId56"/>
    <sheet name="Feb 2025" sheetId="61" r:id="rId57"/>
    <sheet name="Mar 2025" sheetId="62" r:id="rId58"/>
    <sheet name="April 2025" sheetId="63" r:id="rId59"/>
    <sheet name="May 2025" sheetId="64" r:id="rId60"/>
    <sheet name="June 2025 " sheetId="65" r:id="rId61"/>
    <sheet name="July 2025" sheetId="66" r:id="rId62"/>
    <sheet name="Oct 2025" sheetId="68" r:id="rId63"/>
    <sheet name="July 2026" sheetId="69" r:id="rId64"/>
  </sheets>
  <calcPr calcId="162913"/>
</workbook>
</file>

<file path=xl/calcChain.xml><?xml version="1.0" encoding="utf-8"?>
<calcChain xmlns="http://schemas.openxmlformats.org/spreadsheetml/2006/main">
  <c r="W60" i="69" l="1"/>
  <c r="X60" i="69"/>
  <c r="Y60" i="69"/>
  <c r="V60" i="69"/>
  <c r="AG51" i="69"/>
  <c r="AF51" i="69"/>
  <c r="AE51" i="69"/>
  <c r="AD51" i="69"/>
  <c r="Y24" i="69"/>
  <c r="T24" i="69"/>
  <c r="AD19" i="69"/>
  <c r="AD20" i="69" s="1"/>
  <c r="AD21" i="69" s="1"/>
  <c r="AA19" i="69"/>
  <c r="AA20" i="69" s="1"/>
  <c r="AA21" i="69" s="1"/>
  <c r="AA22" i="69" s="1"/>
  <c r="X16" i="69"/>
  <c r="X22" i="69" s="1"/>
  <c r="AX5" i="69" s="1"/>
  <c r="AX8" i="69" s="1"/>
  <c r="S16" i="69"/>
  <c r="S22" i="69" s="1"/>
  <c r="AX4" i="69" s="1"/>
  <c r="AX7" i="69" s="1"/>
  <c r="AD15" i="69"/>
  <c r="AD16" i="69" s="1"/>
  <c r="AA15" i="69"/>
  <c r="AA16" i="69" s="1"/>
  <c r="AZ8" i="69"/>
  <c r="AY8" i="69"/>
  <c r="AW8" i="69"/>
  <c r="AV8" i="69"/>
  <c r="AJ8" i="69"/>
  <c r="AI8" i="69"/>
  <c r="AA8" i="69"/>
  <c r="W8" i="69"/>
  <c r="P8" i="69"/>
  <c r="O8" i="69"/>
  <c r="N8" i="69"/>
  <c r="AZ7" i="69"/>
  <c r="AY7" i="69"/>
  <c r="AW7" i="69"/>
  <c r="AV7" i="69"/>
  <c r="AI7" i="69"/>
  <c r="AA7" i="69"/>
  <c r="W7" i="69"/>
  <c r="P7" i="69"/>
  <c r="O7" i="69"/>
  <c r="N7" i="69"/>
  <c r="AJ5" i="69"/>
  <c r="AJ4" i="69"/>
  <c r="AJ7" i="69" s="1"/>
  <c r="S23" i="69" l="1"/>
  <c r="BA4" i="69" s="1"/>
  <c r="BB4" i="69" s="1"/>
  <c r="BB7" i="69" s="1"/>
  <c r="S17" i="69"/>
  <c r="S18" i="69"/>
  <c r="X4" i="69" s="1"/>
  <c r="S19" i="69"/>
  <c r="AB4" i="69" s="1"/>
  <c r="S20" i="69"/>
  <c r="S21" i="69"/>
  <c r="AS4" i="69" s="1"/>
  <c r="X23" i="69"/>
  <c r="BA5" i="69" s="1"/>
  <c r="X17" i="69"/>
  <c r="X18" i="69"/>
  <c r="X5" i="69" s="1"/>
  <c r="X19" i="69"/>
  <c r="AB5" i="69" s="1"/>
  <c r="X20" i="69"/>
  <c r="X21" i="69"/>
  <c r="AS5" i="69" s="1"/>
  <c r="AG51" i="68"/>
  <c r="AF51" i="68"/>
  <c r="AE51" i="68"/>
  <c r="AD51" i="68"/>
  <c r="Y24" i="68"/>
  <c r="T24" i="68"/>
  <c r="AD19" i="68"/>
  <c r="AD20" i="68" s="1"/>
  <c r="AD21" i="68" s="1"/>
  <c r="AA19" i="68"/>
  <c r="AA20" i="68" s="1"/>
  <c r="AA21" i="68" s="1"/>
  <c r="AA22" i="68" s="1"/>
  <c r="X16" i="68"/>
  <c r="X22" i="68" s="1"/>
  <c r="AX5" i="68" s="1"/>
  <c r="AX8" i="68" s="1"/>
  <c r="S16" i="68"/>
  <c r="S23" i="68" s="1"/>
  <c r="AD15" i="68"/>
  <c r="AD16" i="68" s="1"/>
  <c r="AA15" i="68"/>
  <c r="AA16" i="68" s="1"/>
  <c r="AZ8" i="68"/>
  <c r="AY8" i="68"/>
  <c r="AW8" i="68"/>
  <c r="AV8" i="68"/>
  <c r="AJ8" i="68"/>
  <c r="AI8" i="68"/>
  <c r="AA8" i="68"/>
  <c r="W8" i="68"/>
  <c r="P8" i="68"/>
  <c r="O8" i="68"/>
  <c r="N8" i="68"/>
  <c r="AZ7" i="68"/>
  <c r="AY7" i="68"/>
  <c r="AW7" i="68"/>
  <c r="AV7" i="68"/>
  <c r="AI7" i="68"/>
  <c r="AA7" i="68"/>
  <c r="W7" i="68"/>
  <c r="P7" i="68"/>
  <c r="O7" i="68"/>
  <c r="N7" i="68"/>
  <c r="AJ5" i="68"/>
  <c r="BA4" i="68"/>
  <c r="AJ4" i="68"/>
  <c r="AJ7" i="68" s="1"/>
  <c r="BA7" i="69" l="1"/>
  <c r="AS8" i="69"/>
  <c r="AT5" i="69"/>
  <c r="AD5" i="69"/>
  <c r="AD8" i="69" s="1"/>
  <c r="AC5" i="69"/>
  <c r="AC8" i="69" s="1"/>
  <c r="AB8" i="69"/>
  <c r="X24" i="69"/>
  <c r="T5" i="69"/>
  <c r="AT4" i="69"/>
  <c r="AS7" i="69"/>
  <c r="AB7" i="69"/>
  <c r="AC4" i="69"/>
  <c r="AC7" i="69" s="1"/>
  <c r="AD4" i="69"/>
  <c r="AD7" i="69" s="1"/>
  <c r="S24" i="69"/>
  <c r="T4" i="69"/>
  <c r="Y5" i="69"/>
  <c r="Y8" i="69" s="1"/>
  <c r="AC31" i="69" s="1"/>
  <c r="Z5" i="69"/>
  <c r="Z8" i="69" s="1"/>
  <c r="AE31" i="69" s="1"/>
  <c r="X8" i="69"/>
  <c r="BA8" i="69"/>
  <c r="BB5" i="69"/>
  <c r="BB8" i="69" s="1"/>
  <c r="X7" i="69"/>
  <c r="Z4" i="69"/>
  <c r="Z7" i="69" s="1"/>
  <c r="V31" i="69" s="1"/>
  <c r="Y4" i="69"/>
  <c r="Y7" i="69" s="1"/>
  <c r="T31" i="69" s="1"/>
  <c r="BB4" i="68"/>
  <c r="BB7" i="68" s="1"/>
  <c r="BA7" i="68"/>
  <c r="S17" i="68"/>
  <c r="S18" i="68"/>
  <c r="X4" i="68" s="1"/>
  <c r="S19" i="68"/>
  <c r="AB4" i="68" s="1"/>
  <c r="S20" i="68"/>
  <c r="S21" i="68"/>
  <c r="AS4" i="68" s="1"/>
  <c r="S22" i="68"/>
  <c r="AX4" i="68" s="1"/>
  <c r="AX7" i="68" s="1"/>
  <c r="X23" i="68"/>
  <c r="BA5" i="68" s="1"/>
  <c r="X17" i="68"/>
  <c r="X18" i="68"/>
  <c r="X5" i="68" s="1"/>
  <c r="X19" i="68"/>
  <c r="AB5" i="68" s="1"/>
  <c r="X20" i="68"/>
  <c r="X21" i="68"/>
  <c r="AS5" i="68" s="1"/>
  <c r="AG51" i="66"/>
  <c r="AF51" i="66"/>
  <c r="AE51" i="66"/>
  <c r="AD51" i="66"/>
  <c r="Y24" i="66"/>
  <c r="T24" i="66"/>
  <c r="AD19" i="66"/>
  <c r="AD20" i="66" s="1"/>
  <c r="AD21" i="66" s="1"/>
  <c r="AA19" i="66"/>
  <c r="AA20" i="66" s="1"/>
  <c r="AA21" i="66" s="1"/>
  <c r="AA22" i="66" s="1"/>
  <c r="X16" i="66"/>
  <c r="X22" i="66" s="1"/>
  <c r="AX5" i="66" s="1"/>
  <c r="AX8" i="66" s="1"/>
  <c r="S16" i="66"/>
  <c r="S22" i="66" s="1"/>
  <c r="AX4" i="66" s="1"/>
  <c r="AX7" i="66" s="1"/>
  <c r="AD15" i="66"/>
  <c r="AD16" i="66" s="1"/>
  <c r="AA15" i="66"/>
  <c r="AA16" i="66" s="1"/>
  <c r="AZ8" i="66"/>
  <c r="AY8" i="66"/>
  <c r="AW8" i="66"/>
  <c r="AV8" i="66"/>
  <c r="AJ8" i="66"/>
  <c r="AI8" i="66"/>
  <c r="AA8" i="66"/>
  <c r="W8" i="66"/>
  <c r="P8" i="66"/>
  <c r="O8" i="66"/>
  <c r="N8" i="66"/>
  <c r="AZ7" i="66"/>
  <c r="AY7" i="66"/>
  <c r="AW7" i="66"/>
  <c r="AV7" i="66"/>
  <c r="AI7" i="66"/>
  <c r="AA7" i="66"/>
  <c r="W7" i="66"/>
  <c r="P7" i="66"/>
  <c r="O7" i="66"/>
  <c r="N7" i="66"/>
  <c r="AJ5" i="66"/>
  <c r="AJ4" i="66"/>
  <c r="AJ7" i="66" s="1"/>
  <c r="V4" i="69" l="1"/>
  <c r="T7" i="69"/>
  <c r="Q7" i="69" s="1"/>
  <c r="U4" i="69"/>
  <c r="Q4" i="69"/>
  <c r="AT7" i="69"/>
  <c r="T35" i="69" s="1"/>
  <c r="T34" i="69" s="1"/>
  <c r="AU4" i="69"/>
  <c r="AU7" i="69" s="1"/>
  <c r="V35" i="69" s="1"/>
  <c r="V34" i="69" s="1"/>
  <c r="AU5" i="69"/>
  <c r="AU8" i="69" s="1"/>
  <c r="AT8" i="69"/>
  <c r="AC35" i="69" s="1"/>
  <c r="AC34" i="69" s="1"/>
  <c r="T8" i="69"/>
  <c r="Q8" i="69" s="1"/>
  <c r="V5" i="69"/>
  <c r="U5" i="69"/>
  <c r="Q5" i="69"/>
  <c r="AE35" i="69"/>
  <c r="AE34" i="69" s="1"/>
  <c r="AS8" i="68"/>
  <c r="AT5" i="68"/>
  <c r="AC5" i="68"/>
  <c r="AC8" i="68" s="1"/>
  <c r="AB8" i="68"/>
  <c r="AD5" i="68"/>
  <c r="AD8" i="68" s="1"/>
  <c r="X24" i="68"/>
  <c r="T5" i="68"/>
  <c r="X7" i="68"/>
  <c r="Z4" i="68"/>
  <c r="Z7" i="68" s="1"/>
  <c r="V31" i="68" s="1"/>
  <c r="Y4" i="68"/>
  <c r="Y7" i="68" s="1"/>
  <c r="T31" i="68" s="1"/>
  <c r="Z5" i="68"/>
  <c r="Z8" i="68" s="1"/>
  <c r="AE31" i="68" s="1"/>
  <c r="X8" i="68"/>
  <c r="Y5" i="68"/>
  <c r="Y8" i="68" s="1"/>
  <c r="AC31" i="68" s="1"/>
  <c r="BA8" i="68"/>
  <c r="BB5" i="68"/>
  <c r="BB8" i="68" s="1"/>
  <c r="AT4" i="68"/>
  <c r="AS7" i="68"/>
  <c r="AB7" i="68"/>
  <c r="AC4" i="68"/>
  <c r="AC7" i="68" s="1"/>
  <c r="AD4" i="68"/>
  <c r="AD7" i="68" s="1"/>
  <c r="S24" i="68"/>
  <c r="T4" i="68"/>
  <c r="S23" i="66"/>
  <c r="BA4" i="66" s="1"/>
  <c r="BB4" i="66"/>
  <c r="BB7" i="66" s="1"/>
  <c r="BA7" i="66"/>
  <c r="S17" i="66"/>
  <c r="S18" i="66"/>
  <c r="X4" i="66" s="1"/>
  <c r="S19" i="66"/>
  <c r="AB4" i="66" s="1"/>
  <c r="S20" i="66"/>
  <c r="S21" i="66"/>
  <c r="AS4" i="66" s="1"/>
  <c r="X23" i="66"/>
  <c r="BA5" i="66" s="1"/>
  <c r="X17" i="66"/>
  <c r="X18" i="66"/>
  <c r="X5" i="66" s="1"/>
  <c r="X19" i="66"/>
  <c r="AB5" i="66" s="1"/>
  <c r="X20" i="66"/>
  <c r="X21" i="66"/>
  <c r="AS5" i="66" s="1"/>
  <c r="AF53" i="65"/>
  <c r="AE53" i="65"/>
  <c r="AF52" i="65"/>
  <c r="AE52" i="65"/>
  <c r="AG51" i="65"/>
  <c r="AF51" i="65"/>
  <c r="AE51" i="65"/>
  <c r="AD51" i="65"/>
  <c r="Y24" i="65"/>
  <c r="T24" i="65"/>
  <c r="AD19" i="65"/>
  <c r="AD20" i="65" s="1"/>
  <c r="AD21" i="65" s="1"/>
  <c r="AA19" i="65"/>
  <c r="AA20" i="65" s="1"/>
  <c r="AA21" i="65" s="1"/>
  <c r="AA22" i="65" s="1"/>
  <c r="X16" i="65"/>
  <c r="X23" i="65" s="1"/>
  <c r="S16" i="65"/>
  <c r="S22" i="65" s="1"/>
  <c r="AX4" i="65" s="1"/>
  <c r="AX7" i="65" s="1"/>
  <c r="AD15" i="65"/>
  <c r="AD16" i="65" s="1"/>
  <c r="AA15" i="65"/>
  <c r="AA16" i="65" s="1"/>
  <c r="AZ8" i="65"/>
  <c r="AY8" i="65"/>
  <c r="AW8" i="65"/>
  <c r="AV8" i="65"/>
  <c r="AJ8" i="65"/>
  <c r="AI8" i="65"/>
  <c r="AA8" i="65"/>
  <c r="W8" i="65"/>
  <c r="P8" i="65"/>
  <c r="O8" i="65"/>
  <c r="N8" i="65"/>
  <c r="AZ7" i="65"/>
  <c r="AY7" i="65"/>
  <c r="AW7" i="65"/>
  <c r="AV7" i="65"/>
  <c r="AI7" i="65"/>
  <c r="AA7" i="65"/>
  <c r="W7" i="65"/>
  <c r="P7" i="65"/>
  <c r="O7" i="65"/>
  <c r="N7" i="65"/>
  <c r="BA5" i="65"/>
  <c r="AJ5" i="65"/>
  <c r="AJ4" i="65"/>
  <c r="AJ7" i="65" s="1"/>
  <c r="AG51" i="64"/>
  <c r="AF51" i="64"/>
  <c r="AE51" i="64"/>
  <c r="AD51" i="64"/>
  <c r="Y24" i="64"/>
  <c r="T24" i="64"/>
  <c r="X23" i="64"/>
  <c r="AD19" i="64"/>
  <c r="AD20" i="64" s="1"/>
  <c r="AD21" i="64" s="1"/>
  <c r="AA19" i="64"/>
  <c r="AA20" i="64" s="1"/>
  <c r="AA21" i="64" s="1"/>
  <c r="AA22" i="64" s="1"/>
  <c r="X16" i="64"/>
  <c r="X22" i="64" s="1"/>
  <c r="AX5" i="64" s="1"/>
  <c r="AX8" i="64" s="1"/>
  <c r="S16" i="64"/>
  <c r="S23" i="64" s="1"/>
  <c r="BA4" i="64" s="1"/>
  <c r="AD15" i="64"/>
  <c r="AD16" i="64" s="1"/>
  <c r="AA15" i="64"/>
  <c r="AA16" i="64" s="1"/>
  <c r="AZ8" i="64"/>
  <c r="AY8" i="64"/>
  <c r="AW8" i="64"/>
  <c r="AV8" i="64"/>
  <c r="AI8" i="64"/>
  <c r="AA8" i="64"/>
  <c r="W8" i="64"/>
  <c r="P8" i="64"/>
  <c r="O8" i="64"/>
  <c r="N8" i="64"/>
  <c r="AZ7" i="64"/>
  <c r="AY7" i="64"/>
  <c r="AW7" i="64"/>
  <c r="AV7" i="64"/>
  <c r="AI7" i="64"/>
  <c r="AA7" i="64"/>
  <c r="W7" i="64"/>
  <c r="P7" i="64"/>
  <c r="O7" i="64"/>
  <c r="N7" i="64"/>
  <c r="BA5" i="64"/>
  <c r="BA8" i="64" s="1"/>
  <c r="AJ5" i="64"/>
  <c r="AJ8" i="64" s="1"/>
  <c r="AJ4" i="64"/>
  <c r="AJ7" i="64" s="1"/>
  <c r="R5" i="69" l="1"/>
  <c r="U8" i="69"/>
  <c r="BO5" i="69"/>
  <c r="S5" i="69"/>
  <c r="V8" i="69"/>
  <c r="R4" i="69"/>
  <c r="U7" i="69"/>
  <c r="V7" i="69"/>
  <c r="S4" i="69"/>
  <c r="BO4" i="69"/>
  <c r="T7" i="68"/>
  <c r="Q7" i="68" s="1"/>
  <c r="U4" i="68"/>
  <c r="Q4" i="68"/>
  <c r="V4" i="68"/>
  <c r="AT7" i="68"/>
  <c r="AU4" i="68"/>
  <c r="AU7" i="68" s="1"/>
  <c r="V35" i="68" s="1"/>
  <c r="V34" i="68" s="1"/>
  <c r="AT8" i="68"/>
  <c r="AU5" i="68"/>
  <c r="AU8" i="68" s="1"/>
  <c r="T35" i="68"/>
  <c r="T34" i="68" s="1"/>
  <c r="U5" i="68"/>
  <c r="Q5" i="68"/>
  <c r="T8" i="68"/>
  <c r="Q8" i="68" s="1"/>
  <c r="V5" i="68"/>
  <c r="AE35" i="68"/>
  <c r="AE34" i="68" s="1"/>
  <c r="AC35" i="68"/>
  <c r="AC34" i="68" s="1"/>
  <c r="Z5" i="66"/>
  <c r="Z8" i="66" s="1"/>
  <c r="AE31" i="66" s="1"/>
  <c r="X8" i="66"/>
  <c r="Y5" i="66"/>
  <c r="Y8" i="66" s="1"/>
  <c r="AC31" i="66" s="1"/>
  <c r="BA8" i="66"/>
  <c r="BB5" i="66"/>
  <c r="BB8" i="66" s="1"/>
  <c r="X7" i="66"/>
  <c r="Z4" i="66"/>
  <c r="Z7" i="66" s="1"/>
  <c r="V31" i="66" s="1"/>
  <c r="Y4" i="66"/>
  <c r="Y7" i="66" s="1"/>
  <c r="T31" i="66" s="1"/>
  <c r="AS8" i="66"/>
  <c r="AT5" i="66"/>
  <c r="AC5" i="66"/>
  <c r="AC8" i="66" s="1"/>
  <c r="AB8" i="66"/>
  <c r="AD5" i="66"/>
  <c r="AD8" i="66" s="1"/>
  <c r="X24" i="66"/>
  <c r="T5" i="66"/>
  <c r="AT4" i="66"/>
  <c r="AS7" i="66"/>
  <c r="AB7" i="66"/>
  <c r="AC4" i="66"/>
  <c r="AC7" i="66" s="1"/>
  <c r="AD4" i="66"/>
  <c r="AD7" i="66" s="1"/>
  <c r="S24" i="66"/>
  <c r="T4" i="66"/>
  <c r="S23" i="65"/>
  <c r="BA4" i="65" s="1"/>
  <c r="BB4" i="65" s="1"/>
  <c r="BB7" i="65" s="1"/>
  <c r="BA8" i="65"/>
  <c r="BB5" i="65"/>
  <c r="BB8" i="65" s="1"/>
  <c r="X17" i="65"/>
  <c r="X18" i="65"/>
  <c r="X5" i="65" s="1"/>
  <c r="X19" i="65"/>
  <c r="AB5" i="65" s="1"/>
  <c r="X20" i="65"/>
  <c r="X21" i="65"/>
  <c r="AS5" i="65" s="1"/>
  <c r="X22" i="65"/>
  <c r="AX5" i="65" s="1"/>
  <c r="AX8" i="65" s="1"/>
  <c r="S17" i="65"/>
  <c r="S18" i="65"/>
  <c r="X4" i="65" s="1"/>
  <c r="S19" i="65"/>
  <c r="AB4" i="65" s="1"/>
  <c r="S20" i="65"/>
  <c r="S21" i="65"/>
  <c r="AS4" i="65" s="1"/>
  <c r="BB5" i="64"/>
  <c r="BB8" i="64" s="1"/>
  <c r="BA7" i="64"/>
  <c r="BB4" i="64"/>
  <c r="BB7" i="64" s="1"/>
  <c r="S17" i="64"/>
  <c r="S18" i="64"/>
  <c r="X4" i="64" s="1"/>
  <c r="S19" i="64"/>
  <c r="AB4" i="64" s="1"/>
  <c r="S20" i="64"/>
  <c r="S21" i="64"/>
  <c r="AS4" i="64" s="1"/>
  <c r="S22" i="64"/>
  <c r="AX4" i="64" s="1"/>
  <c r="AX7" i="64" s="1"/>
  <c r="X17" i="64"/>
  <c r="X18" i="64"/>
  <c r="X5" i="64" s="1"/>
  <c r="X19" i="64"/>
  <c r="AB5" i="64" s="1"/>
  <c r="X20" i="64"/>
  <c r="X21" i="64"/>
  <c r="AS5" i="64" s="1"/>
  <c r="AG51" i="63"/>
  <c r="AF51" i="63"/>
  <c r="AE51" i="63"/>
  <c r="AD51" i="63"/>
  <c r="Y24" i="63"/>
  <c r="T24" i="63"/>
  <c r="AD19" i="63"/>
  <c r="AD20" i="63" s="1"/>
  <c r="AD21" i="63" s="1"/>
  <c r="AA19" i="63"/>
  <c r="AA20" i="63" s="1"/>
  <c r="AA21" i="63" s="1"/>
  <c r="AA22" i="63" s="1"/>
  <c r="X16" i="63"/>
  <c r="X22" i="63" s="1"/>
  <c r="AX5" i="63" s="1"/>
  <c r="AX8" i="63" s="1"/>
  <c r="S16" i="63"/>
  <c r="S23" i="63" s="1"/>
  <c r="BA4" i="63" s="1"/>
  <c r="AD15" i="63"/>
  <c r="AD16" i="63" s="1"/>
  <c r="AA15" i="63"/>
  <c r="AA16" i="63" s="1"/>
  <c r="AZ8" i="63"/>
  <c r="AY8" i="63"/>
  <c r="AW8" i="63"/>
  <c r="AV8" i="63"/>
  <c r="AI8" i="63"/>
  <c r="AA8" i="63"/>
  <c r="W8" i="63"/>
  <c r="P8" i="63"/>
  <c r="O8" i="63"/>
  <c r="N8" i="63"/>
  <c r="AZ7" i="63"/>
  <c r="AY7" i="63"/>
  <c r="AW7" i="63"/>
  <c r="AV7" i="63"/>
  <c r="AI7" i="63"/>
  <c r="AA7" i="63"/>
  <c r="W7" i="63"/>
  <c r="P7" i="63"/>
  <c r="O7" i="63"/>
  <c r="N7" i="63"/>
  <c r="AJ5" i="63"/>
  <c r="AJ8" i="63" s="1"/>
  <c r="AJ4" i="63"/>
  <c r="AJ7" i="63" s="1"/>
  <c r="V30" i="69" l="1"/>
  <c r="S7" i="69"/>
  <c r="AF52" i="69" s="1"/>
  <c r="AC30" i="69"/>
  <c r="AC36" i="69" s="1"/>
  <c r="R8" i="69"/>
  <c r="AE53" i="69" s="1"/>
  <c r="T30" i="69"/>
  <c r="T36" i="69" s="1"/>
  <c r="R7" i="69"/>
  <c r="AE52" i="69" s="1"/>
  <c r="AE30" i="69"/>
  <c r="AE36" i="69" s="1"/>
  <c r="S8" i="69"/>
  <c r="AF53" i="69" s="1"/>
  <c r="S5" i="68"/>
  <c r="V8" i="68"/>
  <c r="BO5" i="68"/>
  <c r="V7" i="68"/>
  <c r="S4" i="68"/>
  <c r="BO4" i="68"/>
  <c r="U7" i="68"/>
  <c r="R4" i="68"/>
  <c r="U8" i="68"/>
  <c r="R5" i="68"/>
  <c r="T7" i="66"/>
  <c r="Q7" i="66" s="1"/>
  <c r="U4" i="66"/>
  <c r="Q4" i="66"/>
  <c r="V4" i="66"/>
  <c r="AT7" i="66"/>
  <c r="AU4" i="66"/>
  <c r="AU7" i="66" s="1"/>
  <c r="V35" i="66" s="1"/>
  <c r="V34" i="66" s="1"/>
  <c r="AT8" i="66"/>
  <c r="AU5" i="66"/>
  <c r="AU8" i="66" s="1"/>
  <c r="T35" i="66"/>
  <c r="T34" i="66" s="1"/>
  <c r="U5" i="66"/>
  <c r="Q5" i="66"/>
  <c r="T8" i="66"/>
  <c r="Q8" i="66" s="1"/>
  <c r="V5" i="66"/>
  <c r="AE35" i="66"/>
  <c r="AE34" i="66" s="1"/>
  <c r="AC35" i="66"/>
  <c r="AC34" i="66" s="1"/>
  <c r="BA7" i="65"/>
  <c r="AT4" i="65"/>
  <c r="AS7" i="65"/>
  <c r="AB7" i="65"/>
  <c r="AC4" i="65"/>
  <c r="AC7" i="65" s="1"/>
  <c r="AD4" i="65"/>
  <c r="AD7" i="65" s="1"/>
  <c r="S24" i="65"/>
  <c r="T4" i="65"/>
  <c r="AS8" i="65"/>
  <c r="AT5" i="65"/>
  <c r="AC5" i="65"/>
  <c r="AC8" i="65" s="1"/>
  <c r="AB8" i="65"/>
  <c r="AD5" i="65"/>
  <c r="AD8" i="65" s="1"/>
  <c r="X24" i="65"/>
  <c r="T5" i="65"/>
  <c r="X7" i="65"/>
  <c r="Z4" i="65"/>
  <c r="Z7" i="65" s="1"/>
  <c r="V31" i="65" s="1"/>
  <c r="Y4" i="65"/>
  <c r="Y7" i="65" s="1"/>
  <c r="T31" i="65" s="1"/>
  <c r="Z5" i="65"/>
  <c r="Z8" i="65" s="1"/>
  <c r="AE31" i="65" s="1"/>
  <c r="Y5" i="65"/>
  <c r="Y8" i="65" s="1"/>
  <c r="AC31" i="65" s="1"/>
  <c r="X8" i="65"/>
  <c r="X8" i="64"/>
  <c r="Y5" i="64"/>
  <c r="Y8" i="64" s="1"/>
  <c r="AC31" i="64" s="1"/>
  <c r="Z5" i="64"/>
  <c r="Z8" i="64" s="1"/>
  <c r="AE31" i="64" s="1"/>
  <c r="Y4" i="64"/>
  <c r="Y7" i="64" s="1"/>
  <c r="T31" i="64" s="1"/>
  <c r="X7" i="64"/>
  <c r="Z4" i="64"/>
  <c r="Z7" i="64" s="1"/>
  <c r="V31" i="64" s="1"/>
  <c r="AT5" i="64"/>
  <c r="AS8" i="64"/>
  <c r="AB8" i="64"/>
  <c r="AD5" i="64"/>
  <c r="AD8" i="64" s="1"/>
  <c r="AC5" i="64"/>
  <c r="AC8" i="64" s="1"/>
  <c r="X24" i="64"/>
  <c r="T5" i="64"/>
  <c r="AS7" i="64"/>
  <c r="AT4" i="64"/>
  <c r="AD4" i="64"/>
  <c r="AD7" i="64" s="1"/>
  <c r="AB7" i="64"/>
  <c r="AC4" i="64"/>
  <c r="AC7" i="64" s="1"/>
  <c r="S24" i="64"/>
  <c r="T4" i="64"/>
  <c r="BA7" i="63"/>
  <c r="BB4" i="63"/>
  <c r="BB7" i="63" s="1"/>
  <c r="S17" i="63"/>
  <c r="S18" i="63"/>
  <c r="X4" i="63" s="1"/>
  <c r="S19" i="63"/>
  <c r="AB4" i="63" s="1"/>
  <c r="S20" i="63"/>
  <c r="S21" i="63"/>
  <c r="AS4" i="63" s="1"/>
  <c r="S22" i="63"/>
  <c r="AX4" i="63" s="1"/>
  <c r="AX7" i="63" s="1"/>
  <c r="X23" i="63"/>
  <c r="BA5" i="63" s="1"/>
  <c r="X17" i="63"/>
  <c r="X18" i="63"/>
  <c r="X5" i="63" s="1"/>
  <c r="X19" i="63"/>
  <c r="AB5" i="63" s="1"/>
  <c r="X20" i="63"/>
  <c r="X21" i="63"/>
  <c r="AS5" i="63" s="1"/>
  <c r="AA21" i="62"/>
  <c r="AG51" i="62"/>
  <c r="AF51" i="62"/>
  <c r="AE51" i="62"/>
  <c r="AD51" i="62"/>
  <c r="Y24" i="62"/>
  <c r="T24" i="62"/>
  <c r="AD19" i="62"/>
  <c r="AD20" i="62" s="1"/>
  <c r="AD21" i="62" s="1"/>
  <c r="AA19" i="62"/>
  <c r="AA20" i="62" s="1"/>
  <c r="AA22" i="62" s="1"/>
  <c r="X16" i="62"/>
  <c r="X23" i="62" s="1"/>
  <c r="BA5" i="62" s="1"/>
  <c r="S16" i="62"/>
  <c r="S22" i="62" s="1"/>
  <c r="AX4" i="62" s="1"/>
  <c r="AX7" i="62" s="1"/>
  <c r="AD15" i="62"/>
  <c r="AD16" i="62" s="1"/>
  <c r="AA15" i="62"/>
  <c r="AA16" i="62" s="1"/>
  <c r="AZ8" i="62"/>
  <c r="AY8" i="62"/>
  <c r="AW8" i="62"/>
  <c r="AV8" i="62"/>
  <c r="AJ8" i="62"/>
  <c r="AI8" i="62"/>
  <c r="AA8" i="62"/>
  <c r="W8" i="62"/>
  <c r="P8" i="62"/>
  <c r="O8" i="62"/>
  <c r="N8" i="62"/>
  <c r="AZ7" i="62"/>
  <c r="AY7" i="62"/>
  <c r="AW7" i="62"/>
  <c r="AV7" i="62"/>
  <c r="AI7" i="62"/>
  <c r="AA7" i="62"/>
  <c r="W7" i="62"/>
  <c r="P7" i="62"/>
  <c r="O7" i="62"/>
  <c r="N7" i="62"/>
  <c r="AJ5" i="62"/>
  <c r="AJ4" i="62"/>
  <c r="AJ7" i="62" s="1"/>
  <c r="V38" i="69" l="1"/>
  <c r="V36" i="69"/>
  <c r="V30" i="68"/>
  <c r="S7" i="68"/>
  <c r="AF52" i="68" s="1"/>
  <c r="AE30" i="68"/>
  <c r="AE36" i="68" s="1"/>
  <c r="S8" i="68"/>
  <c r="AF53" i="68" s="1"/>
  <c r="AC30" i="68"/>
  <c r="AC36" i="68" s="1"/>
  <c r="R8" i="68"/>
  <c r="AE53" i="68" s="1"/>
  <c r="T30" i="68"/>
  <c r="T36" i="68" s="1"/>
  <c r="R7" i="68"/>
  <c r="AE52" i="68" s="1"/>
  <c r="S5" i="66"/>
  <c r="V8" i="66"/>
  <c r="BO5" i="66"/>
  <c r="V7" i="66"/>
  <c r="S4" i="66"/>
  <c r="BO4" i="66"/>
  <c r="U7" i="66"/>
  <c r="R4" i="66"/>
  <c r="U8" i="66"/>
  <c r="R5" i="66"/>
  <c r="U5" i="65"/>
  <c r="Q5" i="65"/>
  <c r="T8" i="65"/>
  <c r="Q8" i="65" s="1"/>
  <c r="V5" i="65"/>
  <c r="AT8" i="65"/>
  <c r="AC35" i="65" s="1"/>
  <c r="AC34" i="65" s="1"/>
  <c r="AU5" i="65"/>
  <c r="AU8" i="65" s="1"/>
  <c r="AE35" i="65" s="1"/>
  <c r="AE34" i="65" s="1"/>
  <c r="T7" i="65"/>
  <c r="Q7" i="65" s="1"/>
  <c r="U4" i="65"/>
  <c r="Q4" i="65"/>
  <c r="V4" i="65"/>
  <c r="AT7" i="65"/>
  <c r="T35" i="65" s="1"/>
  <c r="T34" i="65" s="1"/>
  <c r="AU4" i="65"/>
  <c r="AU7" i="65" s="1"/>
  <c r="V35" i="65" s="1"/>
  <c r="V34" i="65" s="1"/>
  <c r="V4" i="64"/>
  <c r="T7" i="64"/>
  <c r="Q7" i="64" s="1"/>
  <c r="U4" i="64"/>
  <c r="Q4" i="64"/>
  <c r="AU4" i="64"/>
  <c r="AU7" i="64" s="1"/>
  <c r="V35" i="64" s="1"/>
  <c r="V34" i="64" s="1"/>
  <c r="AT7" i="64"/>
  <c r="T35" i="64" s="1"/>
  <c r="T34" i="64" s="1"/>
  <c r="T8" i="64"/>
  <c r="Q8" i="64" s="1"/>
  <c r="V5" i="64"/>
  <c r="U5" i="64"/>
  <c r="Q5" i="64"/>
  <c r="AC35" i="64"/>
  <c r="AC34" i="64" s="1"/>
  <c r="AT8" i="64"/>
  <c r="AU5" i="64"/>
  <c r="AU8" i="64" s="1"/>
  <c r="AE35" i="64" s="1"/>
  <c r="AE34" i="64" s="1"/>
  <c r="X8" i="63"/>
  <c r="Y5" i="63"/>
  <c r="Y8" i="63" s="1"/>
  <c r="AC31" i="63" s="1"/>
  <c r="Z5" i="63"/>
  <c r="Z8" i="63" s="1"/>
  <c r="AE31" i="63" s="1"/>
  <c r="BA8" i="63"/>
  <c r="BB5" i="63"/>
  <c r="BB8" i="63" s="1"/>
  <c r="AS7" i="63"/>
  <c r="AT4" i="63"/>
  <c r="AB7" i="63"/>
  <c r="AC4" i="63"/>
  <c r="AC7" i="63" s="1"/>
  <c r="AD4" i="63"/>
  <c r="AD7" i="63" s="1"/>
  <c r="S24" i="63"/>
  <c r="T4" i="63"/>
  <c r="AS8" i="63"/>
  <c r="AT5" i="63"/>
  <c r="AB8" i="63"/>
  <c r="AC5" i="63"/>
  <c r="AC8" i="63" s="1"/>
  <c r="AD5" i="63"/>
  <c r="AD8" i="63" s="1"/>
  <c r="X24" i="63"/>
  <c r="T5" i="63"/>
  <c r="Y4" i="63"/>
  <c r="Y7" i="63" s="1"/>
  <c r="T31" i="63" s="1"/>
  <c r="X7" i="63"/>
  <c r="Z4" i="63"/>
  <c r="Z7" i="63" s="1"/>
  <c r="V31" i="63" s="1"/>
  <c r="S23" i="62"/>
  <c r="BA4" i="62" s="1"/>
  <c r="BB4" i="62" s="1"/>
  <c r="BB7" i="62" s="1"/>
  <c r="BA8" i="62"/>
  <c r="BB5" i="62"/>
  <c r="BB8" i="62" s="1"/>
  <c r="X17" i="62"/>
  <c r="X18" i="62"/>
  <c r="X5" i="62" s="1"/>
  <c r="X19" i="62"/>
  <c r="AB5" i="62" s="1"/>
  <c r="X20" i="62"/>
  <c r="X21" i="62"/>
  <c r="AS5" i="62" s="1"/>
  <c r="X22" i="62"/>
  <c r="AX5" i="62" s="1"/>
  <c r="AX8" i="62" s="1"/>
  <c r="S17" i="62"/>
  <c r="S18" i="62"/>
  <c r="X4" i="62" s="1"/>
  <c r="S19" i="62"/>
  <c r="AB4" i="62" s="1"/>
  <c r="S20" i="62"/>
  <c r="S21" i="62"/>
  <c r="AS4" i="62" s="1"/>
  <c r="S9" i="61"/>
  <c r="S9" i="60"/>
  <c r="S9" i="59"/>
  <c r="S9" i="58"/>
  <c r="S9" i="57"/>
  <c r="S9" i="55"/>
  <c r="S9" i="54"/>
  <c r="S9" i="53"/>
  <c r="Q9" i="52"/>
  <c r="Q9" i="51"/>
  <c r="Q9" i="49"/>
  <c r="S9" i="50"/>
  <c r="S9" i="46"/>
  <c r="S9" i="47"/>
  <c r="S9" i="45"/>
  <c r="S9" i="44"/>
  <c r="S9" i="42"/>
  <c r="S9" i="41"/>
  <c r="S9" i="40"/>
  <c r="Q11" i="39"/>
  <c r="Q11" i="37"/>
  <c r="Q11" i="35"/>
  <c r="R9" i="50"/>
  <c r="R9" i="46"/>
  <c r="R9" i="47"/>
  <c r="R9" i="45"/>
  <c r="R9" i="44"/>
  <c r="R9" i="42"/>
  <c r="R9" i="41"/>
  <c r="R9" i="40"/>
  <c r="P11" i="39"/>
  <c r="P11" i="37"/>
  <c r="P11" i="35"/>
  <c r="P11" i="36"/>
  <c r="R9" i="61"/>
  <c r="R9" i="60"/>
  <c r="R9" i="59"/>
  <c r="R9" i="58"/>
  <c r="R9" i="57"/>
  <c r="R9" i="55"/>
  <c r="R9" i="54"/>
  <c r="R9" i="53"/>
  <c r="P9" i="52"/>
  <c r="P9" i="51"/>
  <c r="P9" i="49"/>
  <c r="V38" i="68" l="1"/>
  <c r="V36" i="68"/>
  <c r="V30" i="66"/>
  <c r="S7" i="66"/>
  <c r="AF52" i="66" s="1"/>
  <c r="AE30" i="66"/>
  <c r="AE36" i="66" s="1"/>
  <c r="S8" i="66"/>
  <c r="AF53" i="66" s="1"/>
  <c r="AC30" i="66"/>
  <c r="AC36" i="66" s="1"/>
  <c r="R8" i="66"/>
  <c r="AE53" i="66" s="1"/>
  <c r="T30" i="66"/>
  <c r="T36" i="66" s="1"/>
  <c r="R7" i="66"/>
  <c r="AE52" i="66" s="1"/>
  <c r="S5" i="65"/>
  <c r="V8" i="65"/>
  <c r="BO5" i="65"/>
  <c r="V7" i="65"/>
  <c r="S4" i="65"/>
  <c r="BO4" i="65"/>
  <c r="R4" i="65"/>
  <c r="U7" i="65"/>
  <c r="U8" i="65"/>
  <c r="R5" i="65"/>
  <c r="R5" i="64"/>
  <c r="U8" i="64"/>
  <c r="V8" i="64"/>
  <c r="BO5" i="64"/>
  <c r="S5" i="64"/>
  <c r="U7" i="64"/>
  <c r="R4" i="64"/>
  <c r="BO4" i="64"/>
  <c r="V7" i="64"/>
  <c r="S4" i="64"/>
  <c r="T8" i="63"/>
  <c r="Q8" i="63" s="1"/>
  <c r="U5" i="63"/>
  <c r="Q5" i="63"/>
  <c r="V5" i="63"/>
  <c r="AT7" i="63"/>
  <c r="T35" i="63" s="1"/>
  <c r="T34" i="63" s="1"/>
  <c r="AU4" i="63"/>
  <c r="AU7" i="63" s="1"/>
  <c r="AT8" i="63"/>
  <c r="AC35" i="63" s="1"/>
  <c r="AC34" i="63" s="1"/>
  <c r="AU5" i="63"/>
  <c r="AU8" i="63" s="1"/>
  <c r="AE35" i="63" s="1"/>
  <c r="AE34" i="63" s="1"/>
  <c r="T7" i="63"/>
  <c r="Q7" i="63" s="1"/>
  <c r="U4" i="63"/>
  <c r="Q4" i="63"/>
  <c r="V4" i="63"/>
  <c r="V35" i="63"/>
  <c r="V34" i="63" s="1"/>
  <c r="BA7" i="62"/>
  <c r="AT4" i="62"/>
  <c r="AS7" i="62"/>
  <c r="AB7" i="62"/>
  <c r="AC4" i="62"/>
  <c r="AC7" i="62" s="1"/>
  <c r="AD4" i="62"/>
  <c r="AD7" i="62" s="1"/>
  <c r="S24" i="62"/>
  <c r="T4" i="62"/>
  <c r="AS8" i="62"/>
  <c r="AT5" i="62"/>
  <c r="AC5" i="62"/>
  <c r="AC8" i="62" s="1"/>
  <c r="AB8" i="62"/>
  <c r="AD5" i="62"/>
  <c r="AD8" i="62" s="1"/>
  <c r="X24" i="62"/>
  <c r="T5" i="62"/>
  <c r="X7" i="62"/>
  <c r="Z4" i="62"/>
  <c r="Z7" i="62" s="1"/>
  <c r="V31" i="62" s="1"/>
  <c r="Y4" i="62"/>
  <c r="Y7" i="62" s="1"/>
  <c r="T31" i="62" s="1"/>
  <c r="Z5" i="62"/>
  <c r="Z8" i="62" s="1"/>
  <c r="AE31" i="62" s="1"/>
  <c r="X8" i="62"/>
  <c r="Y5" i="62"/>
  <c r="Y8" i="62" s="1"/>
  <c r="AC31" i="62" s="1"/>
  <c r="AC35" i="61"/>
  <c r="AG51" i="61"/>
  <c r="AF51" i="61"/>
  <c r="AE51" i="61"/>
  <c r="AD51" i="61"/>
  <c r="Y24" i="61"/>
  <c r="T24" i="61"/>
  <c r="X23" i="61"/>
  <c r="BA5" i="61" s="1"/>
  <c r="BA8" i="61" s="1"/>
  <c r="AD19" i="61"/>
  <c r="AD20" i="61" s="1"/>
  <c r="AD21" i="61" s="1"/>
  <c r="AA19" i="61"/>
  <c r="AA20" i="61" s="1"/>
  <c r="AA21" i="61" s="1"/>
  <c r="AA22" i="61" s="1"/>
  <c r="X16" i="61"/>
  <c r="X22" i="61" s="1"/>
  <c r="S16" i="61"/>
  <c r="S23" i="61" s="1"/>
  <c r="BA4" i="61" s="1"/>
  <c r="BA7" i="61" s="1"/>
  <c r="AD15" i="61"/>
  <c r="AD16" i="61" s="1"/>
  <c r="AA15" i="61"/>
  <c r="AA16" i="61" s="1"/>
  <c r="AZ8" i="61"/>
  <c r="AY8" i="61"/>
  <c r="AW8" i="61"/>
  <c r="AV8" i="61"/>
  <c r="AI8" i="61"/>
  <c r="AA8" i="61"/>
  <c r="W8" i="61"/>
  <c r="P8" i="61"/>
  <c r="O8" i="61"/>
  <c r="N8" i="61"/>
  <c r="AZ7" i="61"/>
  <c r="AY7" i="61"/>
  <c r="AW7" i="61"/>
  <c r="AV7" i="61"/>
  <c r="AJ7" i="61"/>
  <c r="AI7" i="61"/>
  <c r="AA7" i="61"/>
  <c r="W7" i="61"/>
  <c r="P7" i="61"/>
  <c r="O7" i="61"/>
  <c r="N7" i="61"/>
  <c r="BB5" i="61"/>
  <c r="BB8" i="61" s="1"/>
  <c r="AX5" i="61"/>
  <c r="AX8" i="61" s="1"/>
  <c r="AJ5" i="61"/>
  <c r="AJ8" i="61" s="1"/>
  <c r="AJ4" i="61"/>
  <c r="V38" i="66" l="1"/>
  <c r="V36" i="66"/>
  <c r="R7" i="65"/>
  <c r="T30" i="65"/>
  <c r="T36" i="65" s="1"/>
  <c r="V30" i="65"/>
  <c r="S7" i="65"/>
  <c r="AE30" i="65"/>
  <c r="AE36" i="65" s="1"/>
  <c r="S8" i="65"/>
  <c r="AC30" i="65"/>
  <c r="AC36" i="65" s="1"/>
  <c r="R8" i="65"/>
  <c r="T30" i="64"/>
  <c r="T36" i="64" s="1"/>
  <c r="R7" i="64"/>
  <c r="AC30" i="64"/>
  <c r="AC36" i="64" s="1"/>
  <c r="R8" i="64"/>
  <c r="S7" i="64"/>
  <c r="V30" i="64"/>
  <c r="AE30" i="64"/>
  <c r="AE36" i="64" s="1"/>
  <c r="S8" i="64"/>
  <c r="V7" i="63"/>
  <c r="S4" i="63"/>
  <c r="BO4" i="63"/>
  <c r="U7" i="63"/>
  <c r="R4" i="63"/>
  <c r="V8" i="63"/>
  <c r="S5" i="63"/>
  <c r="BO5" i="63"/>
  <c r="R5" i="63"/>
  <c r="U8" i="63"/>
  <c r="U5" i="62"/>
  <c r="Q5" i="62"/>
  <c r="T8" i="62"/>
  <c r="Q8" i="62" s="1"/>
  <c r="V5" i="62"/>
  <c r="AT8" i="62"/>
  <c r="AC35" i="62" s="1"/>
  <c r="AC34" i="62" s="1"/>
  <c r="AU5" i="62"/>
  <c r="AU8" i="62" s="1"/>
  <c r="AE35" i="62" s="1"/>
  <c r="AE34" i="62" s="1"/>
  <c r="T7" i="62"/>
  <c r="Q7" i="62" s="1"/>
  <c r="U4" i="62"/>
  <c r="Q4" i="62"/>
  <c r="V4" i="62"/>
  <c r="AT7" i="62"/>
  <c r="T35" i="62" s="1"/>
  <c r="T34" i="62" s="1"/>
  <c r="AU4" i="62"/>
  <c r="AU7" i="62" s="1"/>
  <c r="V35" i="62" s="1"/>
  <c r="V34" i="62" s="1"/>
  <c r="BB4" i="61"/>
  <c r="BB7" i="61" s="1"/>
  <c r="S17" i="61"/>
  <c r="S18" i="61"/>
  <c r="X4" i="61" s="1"/>
  <c r="S19" i="61"/>
  <c r="AB4" i="61" s="1"/>
  <c r="S20" i="61"/>
  <c r="S21" i="61"/>
  <c r="AS4" i="61" s="1"/>
  <c r="S22" i="61"/>
  <c r="AX4" i="61" s="1"/>
  <c r="AX7" i="61" s="1"/>
  <c r="X17" i="61"/>
  <c r="X18" i="61"/>
  <c r="X5" i="61" s="1"/>
  <c r="X19" i="61"/>
  <c r="AB5" i="61" s="1"/>
  <c r="X20" i="61"/>
  <c r="X21" i="61"/>
  <c r="AS5" i="61" s="1"/>
  <c r="AA22" i="60"/>
  <c r="AE51" i="60"/>
  <c r="AF51" i="60"/>
  <c r="AG51" i="60"/>
  <c r="AD51" i="60"/>
  <c r="Y24" i="60"/>
  <c r="T24" i="60"/>
  <c r="AD19" i="60"/>
  <c r="AD20" i="60" s="1"/>
  <c r="AD21" i="60" s="1"/>
  <c r="AA19" i="60"/>
  <c r="AA20" i="60" s="1"/>
  <c r="AA21" i="60" s="1"/>
  <c r="X16" i="60"/>
  <c r="X22" i="60" s="1"/>
  <c r="S16" i="60"/>
  <c r="S23" i="60" s="1"/>
  <c r="BA4" i="60" s="1"/>
  <c r="BA7" i="60" s="1"/>
  <c r="AD15" i="60"/>
  <c r="AD16" i="60" s="1"/>
  <c r="AA15" i="60"/>
  <c r="AA16" i="60" s="1"/>
  <c r="AZ8" i="60"/>
  <c r="AY8" i="60"/>
  <c r="AW8" i="60"/>
  <c r="AV8" i="60"/>
  <c r="AI8" i="60"/>
  <c r="AA8" i="60"/>
  <c r="W8" i="60"/>
  <c r="P8" i="60"/>
  <c r="O8" i="60"/>
  <c r="N8" i="60"/>
  <c r="AZ7" i="60"/>
  <c r="AY7" i="60"/>
  <c r="AW7" i="60"/>
  <c r="AV7" i="60"/>
  <c r="AI7" i="60"/>
  <c r="AA7" i="60"/>
  <c r="W7" i="60"/>
  <c r="P7" i="60"/>
  <c r="O7" i="60"/>
  <c r="N7" i="60"/>
  <c r="AX5" i="60"/>
  <c r="AX8" i="60" s="1"/>
  <c r="AJ5" i="60"/>
  <c r="AJ8" i="60" s="1"/>
  <c r="AJ4" i="60"/>
  <c r="AJ7" i="60" s="1"/>
  <c r="V36" i="65" l="1"/>
  <c r="V38" i="65"/>
  <c r="V38" i="64"/>
  <c r="V36" i="64"/>
  <c r="S7" i="63"/>
  <c r="V30" i="63"/>
  <c r="AC30" i="63"/>
  <c r="AC36" i="63" s="1"/>
  <c r="R8" i="63"/>
  <c r="AE30" i="63"/>
  <c r="AE36" i="63" s="1"/>
  <c r="S8" i="63"/>
  <c r="T30" i="63"/>
  <c r="T36" i="63" s="1"/>
  <c r="R7" i="63"/>
  <c r="S5" i="62"/>
  <c r="V8" i="62"/>
  <c r="BO5" i="62"/>
  <c r="V7" i="62"/>
  <c r="S4" i="62"/>
  <c r="BO4" i="62"/>
  <c r="U7" i="62"/>
  <c r="R4" i="62"/>
  <c r="U8" i="62"/>
  <c r="R5" i="62"/>
  <c r="X8" i="61"/>
  <c r="Y5" i="61"/>
  <c r="Y8" i="61" s="1"/>
  <c r="AC31" i="61" s="1"/>
  <c r="Z5" i="61"/>
  <c r="Z8" i="61" s="1"/>
  <c r="AE31" i="61" s="1"/>
  <c r="Y4" i="61"/>
  <c r="Y7" i="61" s="1"/>
  <c r="T31" i="61" s="1"/>
  <c r="Z4" i="61"/>
  <c r="Z7" i="61" s="1"/>
  <c r="V31" i="61" s="1"/>
  <c r="X7" i="61"/>
  <c r="AS8" i="61"/>
  <c r="AT5" i="61"/>
  <c r="AB8" i="61"/>
  <c r="AD5" i="61"/>
  <c r="AD8" i="61" s="1"/>
  <c r="AC5" i="61"/>
  <c r="AC8" i="61" s="1"/>
  <c r="X24" i="61"/>
  <c r="T5" i="61"/>
  <c r="AS7" i="61"/>
  <c r="AT4" i="61"/>
  <c r="AD4" i="61"/>
  <c r="AD7" i="61" s="1"/>
  <c r="AB7" i="61"/>
  <c r="AC4" i="61"/>
  <c r="AC7" i="61" s="1"/>
  <c r="S24" i="61"/>
  <c r="T4" i="61"/>
  <c r="X23" i="60"/>
  <c r="BA5" i="60" s="1"/>
  <c r="BA8" i="60" s="1"/>
  <c r="BB4" i="60"/>
  <c r="BB7" i="60" s="1"/>
  <c r="BB5" i="60"/>
  <c r="BB8" i="60" s="1"/>
  <c r="S17" i="60"/>
  <c r="S18" i="60"/>
  <c r="X4" i="60" s="1"/>
  <c r="S19" i="60"/>
  <c r="AB4" i="60" s="1"/>
  <c r="S20" i="60"/>
  <c r="S21" i="60"/>
  <c r="AS4" i="60" s="1"/>
  <c r="S22" i="60"/>
  <c r="AX4" i="60" s="1"/>
  <c r="AX7" i="60" s="1"/>
  <c r="X17" i="60"/>
  <c r="X18" i="60"/>
  <c r="X5" i="60" s="1"/>
  <c r="X19" i="60"/>
  <c r="AB5" i="60" s="1"/>
  <c r="X20" i="60"/>
  <c r="X21" i="60"/>
  <c r="AS5" i="60" s="1"/>
  <c r="V50" i="59"/>
  <c r="W50" i="59"/>
  <c r="X50" i="59"/>
  <c r="U50" i="59"/>
  <c r="V38" i="63" l="1"/>
  <c r="V36" i="63"/>
  <c r="V30" i="62"/>
  <c r="S7" i="62"/>
  <c r="AE30" i="62"/>
  <c r="AE36" i="62" s="1"/>
  <c r="S8" i="62"/>
  <c r="AC30" i="62"/>
  <c r="AC36" i="62" s="1"/>
  <c r="R8" i="62"/>
  <c r="R7" i="62"/>
  <c r="T30" i="62"/>
  <c r="T36" i="62" s="1"/>
  <c r="AT8" i="61"/>
  <c r="AU5" i="61"/>
  <c r="AU8" i="61" s="1"/>
  <c r="AE35" i="61" s="1"/>
  <c r="AE34" i="61" s="1"/>
  <c r="V4" i="61"/>
  <c r="T7" i="61"/>
  <c r="Q7" i="61" s="1"/>
  <c r="U4" i="61"/>
  <c r="Q4" i="61"/>
  <c r="AU4" i="61"/>
  <c r="AU7" i="61" s="1"/>
  <c r="V35" i="61" s="1"/>
  <c r="V34" i="61" s="1"/>
  <c r="AT7" i="61"/>
  <c r="T35" i="61" s="1"/>
  <c r="T34" i="61" s="1"/>
  <c r="T8" i="61"/>
  <c r="Q8" i="61" s="1"/>
  <c r="V5" i="61"/>
  <c r="U5" i="61"/>
  <c r="Q5" i="61"/>
  <c r="AC34" i="61"/>
  <c r="AS8" i="60"/>
  <c r="AT5" i="60"/>
  <c r="AB8" i="60"/>
  <c r="AD5" i="60"/>
  <c r="AD8" i="60" s="1"/>
  <c r="AC5" i="60"/>
  <c r="AC8" i="60" s="1"/>
  <c r="X24" i="60"/>
  <c r="T5" i="60"/>
  <c r="AS7" i="60"/>
  <c r="AT4" i="60"/>
  <c r="AD4" i="60"/>
  <c r="AD7" i="60" s="1"/>
  <c r="AC4" i="60"/>
  <c r="AC7" i="60" s="1"/>
  <c r="AB7" i="60"/>
  <c r="S24" i="60"/>
  <c r="T4" i="60"/>
  <c r="X8" i="60"/>
  <c r="Y5" i="60"/>
  <c r="Y8" i="60" s="1"/>
  <c r="AC31" i="60" s="1"/>
  <c r="Z5" i="60"/>
  <c r="Z8" i="60" s="1"/>
  <c r="AE31" i="60" s="1"/>
  <c r="Y4" i="60"/>
  <c r="Y7" i="60" s="1"/>
  <c r="T31" i="60" s="1"/>
  <c r="X7" i="60"/>
  <c r="Z4" i="60"/>
  <c r="Z7" i="60" s="1"/>
  <c r="V31" i="60" s="1"/>
  <c r="Y24" i="59"/>
  <c r="T24" i="59"/>
  <c r="AD19" i="59"/>
  <c r="AD20" i="59" s="1"/>
  <c r="AD21" i="59" s="1"/>
  <c r="AA19" i="59"/>
  <c r="AA20" i="59" s="1"/>
  <c r="AA21" i="59" s="1"/>
  <c r="AA22" i="59" s="1"/>
  <c r="X16" i="59"/>
  <c r="X23" i="59" s="1"/>
  <c r="S16" i="59"/>
  <c r="S22" i="59" s="1"/>
  <c r="AX4" i="59" s="1"/>
  <c r="AX7" i="59" s="1"/>
  <c r="AD15" i="59"/>
  <c r="AD16" i="59" s="1"/>
  <c r="AA15" i="59"/>
  <c r="AA16" i="59" s="1"/>
  <c r="AZ8" i="59"/>
  <c r="AY8" i="59"/>
  <c r="AW8" i="59"/>
  <c r="AV8" i="59"/>
  <c r="AJ8" i="59"/>
  <c r="AI8" i="59"/>
  <c r="AA8" i="59"/>
  <c r="W8" i="59"/>
  <c r="P8" i="59"/>
  <c r="O8" i="59"/>
  <c r="N8" i="59"/>
  <c r="AZ7" i="59"/>
  <c r="AY7" i="59"/>
  <c r="AW7" i="59"/>
  <c r="AV7" i="59"/>
  <c r="AI7" i="59"/>
  <c r="AA7" i="59"/>
  <c r="W7" i="59"/>
  <c r="P7" i="59"/>
  <c r="O7" i="59"/>
  <c r="N7" i="59"/>
  <c r="BA5" i="59"/>
  <c r="AJ5" i="59"/>
  <c r="AJ4" i="59"/>
  <c r="AJ7" i="59" s="1"/>
  <c r="V36" i="62" l="1"/>
  <c r="V38" i="62"/>
  <c r="R5" i="61"/>
  <c r="U8" i="61"/>
  <c r="U7" i="61"/>
  <c r="R4" i="61"/>
  <c r="BO4" i="61"/>
  <c r="V7" i="61"/>
  <c r="S4" i="61"/>
  <c r="V8" i="61"/>
  <c r="BO5" i="61"/>
  <c r="S5" i="61"/>
  <c r="AU4" i="60"/>
  <c r="AU7" i="60" s="1"/>
  <c r="AT7" i="60"/>
  <c r="T35" i="60" s="1"/>
  <c r="T34" i="60" s="1"/>
  <c r="T8" i="60"/>
  <c r="Q8" i="60" s="1"/>
  <c r="V5" i="60"/>
  <c r="U5" i="60"/>
  <c r="Q5" i="60"/>
  <c r="V4" i="60"/>
  <c r="T7" i="60"/>
  <c r="Q7" i="60" s="1"/>
  <c r="U4" i="60"/>
  <c r="Q4" i="60"/>
  <c r="V35" i="60"/>
  <c r="V34" i="60" s="1"/>
  <c r="AT8" i="60"/>
  <c r="AC35" i="60" s="1"/>
  <c r="AC34" i="60" s="1"/>
  <c r="AU5" i="60"/>
  <c r="AU8" i="60" s="1"/>
  <c r="AE35" i="60" s="1"/>
  <c r="AE34" i="60" s="1"/>
  <c r="S23" i="59"/>
  <c r="BA4" i="59" s="1"/>
  <c r="BB4" i="59" s="1"/>
  <c r="BB7" i="59" s="1"/>
  <c r="BA8" i="59"/>
  <c r="BB5" i="59"/>
  <c r="BB8" i="59" s="1"/>
  <c r="BA7" i="59"/>
  <c r="X17" i="59"/>
  <c r="X18" i="59"/>
  <c r="X5" i="59" s="1"/>
  <c r="X19" i="59"/>
  <c r="AB5" i="59" s="1"/>
  <c r="X20" i="59"/>
  <c r="X21" i="59"/>
  <c r="AS5" i="59" s="1"/>
  <c r="X22" i="59"/>
  <c r="AX5" i="59" s="1"/>
  <c r="AX8" i="59" s="1"/>
  <c r="S17" i="59"/>
  <c r="S18" i="59"/>
  <c r="X4" i="59" s="1"/>
  <c r="S19" i="59"/>
  <c r="AB4" i="59" s="1"/>
  <c r="S20" i="59"/>
  <c r="S21" i="59"/>
  <c r="AS4" i="59" s="1"/>
  <c r="X51" i="58"/>
  <c r="W51" i="58"/>
  <c r="V51" i="58"/>
  <c r="U51" i="58"/>
  <c r="Y24" i="58"/>
  <c r="T24" i="58"/>
  <c r="AD19" i="58"/>
  <c r="AD20" i="58" s="1"/>
  <c r="AD21" i="58" s="1"/>
  <c r="AA19" i="58"/>
  <c r="AA20" i="58" s="1"/>
  <c r="AA21" i="58" s="1"/>
  <c r="AA22" i="58" s="1"/>
  <c r="X16" i="58"/>
  <c r="X22" i="58" s="1"/>
  <c r="AX5" i="58" s="1"/>
  <c r="AX8" i="58" s="1"/>
  <c r="S16" i="58"/>
  <c r="S23" i="58" s="1"/>
  <c r="BA4" i="58" s="1"/>
  <c r="AD15" i="58"/>
  <c r="AD16" i="58" s="1"/>
  <c r="AA15" i="58"/>
  <c r="AA16" i="58" s="1"/>
  <c r="AZ8" i="58"/>
  <c r="AY8" i="58"/>
  <c r="AW8" i="58"/>
  <c r="AV8" i="58"/>
  <c r="AJ8" i="58"/>
  <c r="AI8" i="58"/>
  <c r="AA8" i="58"/>
  <c r="W8" i="58"/>
  <c r="P8" i="58"/>
  <c r="O8" i="58"/>
  <c r="N8" i="58"/>
  <c r="AZ7" i="58"/>
  <c r="AY7" i="58"/>
  <c r="AW7" i="58"/>
  <c r="AV7" i="58"/>
  <c r="AI7" i="58"/>
  <c r="AA7" i="58"/>
  <c r="W7" i="58"/>
  <c r="P7" i="58"/>
  <c r="O7" i="58"/>
  <c r="N7" i="58"/>
  <c r="AJ5" i="58"/>
  <c r="AJ4" i="58"/>
  <c r="AJ7" i="58" s="1"/>
  <c r="AE30" i="61" l="1"/>
  <c r="AE36" i="61" s="1"/>
  <c r="S8" i="61"/>
  <c r="S7" i="61"/>
  <c r="V30" i="61"/>
  <c r="AC30" i="61"/>
  <c r="AC36" i="61" s="1"/>
  <c r="R8" i="61"/>
  <c r="T30" i="61"/>
  <c r="T36" i="61" s="1"/>
  <c r="R7" i="61"/>
  <c r="U7" i="60"/>
  <c r="R4" i="60"/>
  <c r="BO4" i="60"/>
  <c r="V7" i="60"/>
  <c r="S4" i="60"/>
  <c r="V8" i="60"/>
  <c r="BO5" i="60"/>
  <c r="S5" i="60"/>
  <c r="R5" i="60"/>
  <c r="U8" i="60"/>
  <c r="X7" i="59"/>
  <c r="Z4" i="59"/>
  <c r="Z7" i="59" s="1"/>
  <c r="V31" i="59" s="1"/>
  <c r="Y4" i="59"/>
  <c r="Y7" i="59" s="1"/>
  <c r="T31" i="59" s="1"/>
  <c r="Z5" i="59"/>
  <c r="Z8" i="59" s="1"/>
  <c r="AE31" i="59" s="1"/>
  <c r="X8" i="59"/>
  <c r="Y5" i="59"/>
  <c r="Y8" i="59" s="1"/>
  <c r="AC31" i="59" s="1"/>
  <c r="AT4" i="59"/>
  <c r="AS7" i="59"/>
  <c r="AB7" i="59"/>
  <c r="AC4" i="59"/>
  <c r="AC7" i="59" s="1"/>
  <c r="AD4" i="59"/>
  <c r="AD7" i="59" s="1"/>
  <c r="S24" i="59"/>
  <c r="T4" i="59"/>
  <c r="AS8" i="59"/>
  <c r="AT5" i="59"/>
  <c r="AC5" i="59"/>
  <c r="AC8" i="59" s="1"/>
  <c r="AB8" i="59"/>
  <c r="AD5" i="59"/>
  <c r="AD8" i="59" s="1"/>
  <c r="X24" i="59"/>
  <c r="T5" i="59"/>
  <c r="BB4" i="58"/>
  <c r="BB7" i="58" s="1"/>
  <c r="BA7" i="58"/>
  <c r="S17" i="58"/>
  <c r="S18" i="58"/>
  <c r="X4" i="58" s="1"/>
  <c r="S19" i="58"/>
  <c r="AB4" i="58" s="1"/>
  <c r="S20" i="58"/>
  <c r="S21" i="58"/>
  <c r="AS4" i="58" s="1"/>
  <c r="S22" i="58"/>
  <c r="AX4" i="58" s="1"/>
  <c r="AX7" i="58" s="1"/>
  <c r="X23" i="58"/>
  <c r="BA5" i="58" s="1"/>
  <c r="X17" i="58"/>
  <c r="X18" i="58"/>
  <c r="X5" i="58" s="1"/>
  <c r="X19" i="58"/>
  <c r="AB5" i="58" s="1"/>
  <c r="X20" i="58"/>
  <c r="X21" i="58"/>
  <c r="AS5" i="58" s="1"/>
  <c r="T34" i="57"/>
  <c r="V38" i="61" l="1"/>
  <c r="V36" i="61"/>
  <c r="T30" i="60"/>
  <c r="T36" i="60" s="1"/>
  <c r="R7" i="60"/>
  <c r="AC30" i="60"/>
  <c r="AC36" i="60" s="1"/>
  <c r="R8" i="60"/>
  <c r="AE30" i="60"/>
  <c r="AE36" i="60" s="1"/>
  <c r="S8" i="60"/>
  <c r="S7" i="60"/>
  <c r="V30" i="60"/>
  <c r="AT8" i="59"/>
  <c r="AU5" i="59"/>
  <c r="AU8" i="59" s="1"/>
  <c r="AE35" i="59" s="1"/>
  <c r="AE34" i="59" s="1"/>
  <c r="T7" i="59"/>
  <c r="Q7" i="59" s="1"/>
  <c r="U4" i="59"/>
  <c r="Q4" i="59"/>
  <c r="V4" i="59"/>
  <c r="AT7" i="59"/>
  <c r="AU4" i="59"/>
  <c r="AU7" i="59" s="1"/>
  <c r="V35" i="59" s="1"/>
  <c r="V34" i="59" s="1"/>
  <c r="U5" i="59"/>
  <c r="Q5" i="59"/>
  <c r="V5" i="59"/>
  <c r="T8" i="59"/>
  <c r="Q8" i="59" s="1"/>
  <c r="AC35" i="59"/>
  <c r="AC34" i="59" s="1"/>
  <c r="T35" i="59"/>
  <c r="T34" i="59" s="1"/>
  <c r="AS8" i="58"/>
  <c r="AT5" i="58"/>
  <c r="AD5" i="58"/>
  <c r="AD8" i="58" s="1"/>
  <c r="AC5" i="58"/>
  <c r="AC8" i="58" s="1"/>
  <c r="AB8" i="58"/>
  <c r="X24" i="58"/>
  <c r="T5" i="58"/>
  <c r="X7" i="58"/>
  <c r="Z4" i="58"/>
  <c r="Z7" i="58" s="1"/>
  <c r="V31" i="58" s="1"/>
  <c r="Y4" i="58"/>
  <c r="Y7" i="58" s="1"/>
  <c r="T31" i="58" s="1"/>
  <c r="Z5" i="58"/>
  <c r="Z8" i="58" s="1"/>
  <c r="AE31" i="58" s="1"/>
  <c r="X8" i="58"/>
  <c r="Y5" i="58"/>
  <c r="Y8" i="58" s="1"/>
  <c r="AC31" i="58" s="1"/>
  <c r="BA8" i="58"/>
  <c r="BB5" i="58"/>
  <c r="BB8" i="58" s="1"/>
  <c r="AT4" i="58"/>
  <c r="AS7" i="58"/>
  <c r="AB7" i="58"/>
  <c r="AC4" i="58"/>
  <c r="AC7" i="58" s="1"/>
  <c r="AD4" i="58"/>
  <c r="AD7" i="58" s="1"/>
  <c r="S24" i="58"/>
  <c r="T4" i="58"/>
  <c r="X51" i="57"/>
  <c r="W51" i="57"/>
  <c r="V51" i="57"/>
  <c r="U51" i="57"/>
  <c r="Y24" i="57"/>
  <c r="T24" i="57"/>
  <c r="AD19" i="57"/>
  <c r="AD20" i="57" s="1"/>
  <c r="AD21" i="57" s="1"/>
  <c r="AA19" i="57"/>
  <c r="AA20" i="57" s="1"/>
  <c r="AA21" i="57" s="1"/>
  <c r="AA22" i="57" s="1"/>
  <c r="X16" i="57"/>
  <c r="X23" i="57" s="1"/>
  <c r="S16" i="57"/>
  <c r="S22" i="57" s="1"/>
  <c r="AX4" i="57" s="1"/>
  <c r="AX7" i="57" s="1"/>
  <c r="AD15" i="57"/>
  <c r="AD16" i="57" s="1"/>
  <c r="AA15" i="57"/>
  <c r="AA16" i="57" s="1"/>
  <c r="AZ8" i="57"/>
  <c r="AY8" i="57"/>
  <c r="AW8" i="57"/>
  <c r="AV8" i="57"/>
  <c r="AJ8" i="57"/>
  <c r="AI8" i="57"/>
  <c r="AA8" i="57"/>
  <c r="W8" i="57"/>
  <c r="P8" i="57"/>
  <c r="O8" i="57"/>
  <c r="N8" i="57"/>
  <c r="AZ7" i="57"/>
  <c r="AY7" i="57"/>
  <c r="AW7" i="57"/>
  <c r="AV7" i="57"/>
  <c r="AI7" i="57"/>
  <c r="AA7" i="57"/>
  <c r="W7" i="57"/>
  <c r="P7" i="57"/>
  <c r="O7" i="57"/>
  <c r="N7" i="57"/>
  <c r="BA5" i="57"/>
  <c r="AJ5" i="57"/>
  <c r="AJ4" i="57"/>
  <c r="AJ7" i="57" s="1"/>
  <c r="X51" i="56"/>
  <c r="W51" i="56"/>
  <c r="V51" i="56"/>
  <c r="U51" i="56"/>
  <c r="Y24" i="56"/>
  <c r="T24" i="56"/>
  <c r="S23" i="56"/>
  <c r="AD19" i="56"/>
  <c r="AD20" i="56" s="1"/>
  <c r="AD21" i="56" s="1"/>
  <c r="AA19" i="56"/>
  <c r="AA20" i="56" s="1"/>
  <c r="AA21" i="56" s="1"/>
  <c r="AA22" i="56" s="1"/>
  <c r="X16" i="56"/>
  <c r="X23" i="56" s="1"/>
  <c r="S16" i="56"/>
  <c r="S22" i="56" s="1"/>
  <c r="AX4" i="56" s="1"/>
  <c r="AX7" i="56" s="1"/>
  <c r="AD15" i="56"/>
  <c r="AD16" i="56" s="1"/>
  <c r="AA15" i="56"/>
  <c r="AA16" i="56" s="1"/>
  <c r="AZ8" i="56"/>
  <c r="AY8" i="56"/>
  <c r="AW8" i="56"/>
  <c r="AV8" i="56"/>
  <c r="AJ8" i="56"/>
  <c r="AI8" i="56"/>
  <c r="AA8" i="56"/>
  <c r="W8" i="56"/>
  <c r="P8" i="56"/>
  <c r="O8" i="56"/>
  <c r="N8" i="56"/>
  <c r="AZ7" i="56"/>
  <c r="AY7" i="56"/>
  <c r="AW7" i="56"/>
  <c r="AV7" i="56"/>
  <c r="AI7" i="56"/>
  <c r="AA7" i="56"/>
  <c r="W7" i="56"/>
  <c r="P7" i="56"/>
  <c r="O7" i="56"/>
  <c r="N7" i="56"/>
  <c r="BA5" i="56"/>
  <c r="AJ5" i="56"/>
  <c r="BA4" i="56"/>
  <c r="BB4" i="56" s="1"/>
  <c r="BB7" i="56" s="1"/>
  <c r="AJ4" i="56"/>
  <c r="AJ7" i="56" s="1"/>
  <c r="V38" i="60" l="1"/>
  <c r="V36" i="60"/>
  <c r="S5" i="59"/>
  <c r="V8" i="59"/>
  <c r="BO5" i="59"/>
  <c r="U8" i="59"/>
  <c r="R5" i="59"/>
  <c r="V7" i="59"/>
  <c r="S4" i="59"/>
  <c r="BO4" i="59"/>
  <c r="U7" i="59"/>
  <c r="R4" i="59"/>
  <c r="T7" i="58"/>
  <c r="Q7" i="58" s="1"/>
  <c r="U4" i="58"/>
  <c r="Q4" i="58"/>
  <c r="V4" i="58"/>
  <c r="AT7" i="58"/>
  <c r="AU4" i="58"/>
  <c r="AU7" i="58" s="1"/>
  <c r="V35" i="58" s="1"/>
  <c r="V34" i="58" s="1"/>
  <c r="AT8" i="58"/>
  <c r="AC35" i="58" s="1"/>
  <c r="AC34" i="58" s="1"/>
  <c r="AU5" i="58"/>
  <c r="AU8" i="58" s="1"/>
  <c r="T35" i="58"/>
  <c r="T34" i="58" s="1"/>
  <c r="V5" i="58"/>
  <c r="U5" i="58"/>
  <c r="Q5" i="58"/>
  <c r="T8" i="58"/>
  <c r="Q8" i="58" s="1"/>
  <c r="AE35" i="58"/>
  <c r="AE34" i="58" s="1"/>
  <c r="S23" i="57"/>
  <c r="BA4" i="57" s="1"/>
  <c r="BB4" i="57" s="1"/>
  <c r="BB7" i="57" s="1"/>
  <c r="BA8" i="57"/>
  <c r="BB5" i="57"/>
  <c r="BB8" i="57" s="1"/>
  <c r="X17" i="57"/>
  <c r="X18" i="57"/>
  <c r="X5" i="57" s="1"/>
  <c r="X19" i="57"/>
  <c r="AB5" i="57" s="1"/>
  <c r="X20" i="57"/>
  <c r="X21" i="57"/>
  <c r="AS5" i="57" s="1"/>
  <c r="X22" i="57"/>
  <c r="AX5" i="57" s="1"/>
  <c r="AX8" i="57" s="1"/>
  <c r="S17" i="57"/>
  <c r="S18" i="57"/>
  <c r="X4" i="57" s="1"/>
  <c r="S19" i="57"/>
  <c r="AB4" i="57" s="1"/>
  <c r="S20" i="57"/>
  <c r="S21" i="57"/>
  <c r="AS4" i="57" s="1"/>
  <c r="BA8" i="56"/>
  <c r="BB5" i="56"/>
  <c r="BB8" i="56" s="1"/>
  <c r="BA7" i="56"/>
  <c r="X17" i="56"/>
  <c r="X18" i="56"/>
  <c r="X5" i="56" s="1"/>
  <c r="X19" i="56"/>
  <c r="AB5" i="56" s="1"/>
  <c r="X20" i="56"/>
  <c r="X21" i="56"/>
  <c r="AS5" i="56" s="1"/>
  <c r="X22" i="56"/>
  <c r="AX5" i="56" s="1"/>
  <c r="AX8" i="56" s="1"/>
  <c r="S17" i="56"/>
  <c r="S18" i="56"/>
  <c r="X4" i="56" s="1"/>
  <c r="S19" i="56"/>
  <c r="AB4" i="56" s="1"/>
  <c r="S20" i="56"/>
  <c r="S21" i="56"/>
  <c r="AS4" i="56" s="1"/>
  <c r="X51" i="55"/>
  <c r="W51" i="55"/>
  <c r="V51" i="55"/>
  <c r="U51" i="55"/>
  <c r="Y24" i="55"/>
  <c r="T24" i="55"/>
  <c r="S23" i="55"/>
  <c r="AD19" i="55"/>
  <c r="AD20" i="55" s="1"/>
  <c r="AD21" i="55" s="1"/>
  <c r="AA19" i="55"/>
  <c r="AA20" i="55" s="1"/>
  <c r="AA21" i="55" s="1"/>
  <c r="AA22" i="55" s="1"/>
  <c r="X16" i="55"/>
  <c r="X23" i="55" s="1"/>
  <c r="S16" i="55"/>
  <c r="S22" i="55" s="1"/>
  <c r="AX4" i="55" s="1"/>
  <c r="AX7" i="55" s="1"/>
  <c r="AD15" i="55"/>
  <c r="AD16" i="55" s="1"/>
  <c r="AA15" i="55"/>
  <c r="AA16" i="55" s="1"/>
  <c r="AZ8" i="55"/>
  <c r="AY8" i="55"/>
  <c r="AW8" i="55"/>
  <c r="AV8" i="55"/>
  <c r="AJ8" i="55"/>
  <c r="AI8" i="55"/>
  <c r="AA8" i="55"/>
  <c r="W8" i="55"/>
  <c r="P8" i="55"/>
  <c r="O8" i="55"/>
  <c r="N8" i="55"/>
  <c r="AZ7" i="55"/>
  <c r="AY7" i="55"/>
  <c r="AW7" i="55"/>
  <c r="AV7" i="55"/>
  <c r="AI7" i="55"/>
  <c r="AA7" i="55"/>
  <c r="W7" i="55"/>
  <c r="P7" i="55"/>
  <c r="O7" i="55"/>
  <c r="N7" i="55"/>
  <c r="BA5" i="55"/>
  <c r="AJ5" i="55"/>
  <c r="BA4" i="55"/>
  <c r="BB4" i="55" s="1"/>
  <c r="BB7" i="55" s="1"/>
  <c r="AJ4" i="55"/>
  <c r="AJ7" i="55" s="1"/>
  <c r="R7" i="59" l="1"/>
  <c r="T30" i="59"/>
  <c r="T36" i="59" s="1"/>
  <c r="V30" i="59"/>
  <c r="S7" i="59"/>
  <c r="AC30" i="59"/>
  <c r="AC36" i="59" s="1"/>
  <c r="R8" i="59"/>
  <c r="AE30" i="59"/>
  <c r="AE36" i="59" s="1"/>
  <c r="S8" i="59"/>
  <c r="BO5" i="58"/>
  <c r="S5" i="58"/>
  <c r="V8" i="58"/>
  <c r="V7" i="58"/>
  <c r="S4" i="58"/>
  <c r="BO4" i="58"/>
  <c r="U7" i="58"/>
  <c r="R4" i="58"/>
  <c r="R5" i="58"/>
  <c r="U8" i="58"/>
  <c r="BA7" i="57"/>
  <c r="X7" i="57"/>
  <c r="Z4" i="57"/>
  <c r="Z7" i="57" s="1"/>
  <c r="V31" i="57" s="1"/>
  <c r="Y4" i="57"/>
  <c r="Y7" i="57" s="1"/>
  <c r="T31" i="57" s="1"/>
  <c r="Z5" i="57"/>
  <c r="Z8" i="57" s="1"/>
  <c r="AE31" i="57" s="1"/>
  <c r="X8" i="57"/>
  <c r="Y5" i="57"/>
  <c r="Y8" i="57" s="1"/>
  <c r="AC31" i="57" s="1"/>
  <c r="AT4" i="57"/>
  <c r="AS7" i="57"/>
  <c r="AB7" i="57"/>
  <c r="AC4" i="57"/>
  <c r="AC7" i="57" s="1"/>
  <c r="AD4" i="57"/>
  <c r="AD7" i="57" s="1"/>
  <c r="S24" i="57"/>
  <c r="T4" i="57"/>
  <c r="AS8" i="57"/>
  <c r="AT5" i="57"/>
  <c r="AC5" i="57"/>
  <c r="AC8" i="57" s="1"/>
  <c r="AB8" i="57"/>
  <c r="AD5" i="57"/>
  <c r="AD8" i="57" s="1"/>
  <c r="X24" i="57"/>
  <c r="T5" i="57"/>
  <c r="X7" i="56"/>
  <c r="Z4" i="56"/>
  <c r="Z7" i="56" s="1"/>
  <c r="V31" i="56" s="1"/>
  <c r="Y4" i="56"/>
  <c r="Y7" i="56" s="1"/>
  <c r="T31" i="56" s="1"/>
  <c r="Z5" i="56"/>
  <c r="Z8" i="56" s="1"/>
  <c r="AE31" i="56" s="1"/>
  <c r="X8" i="56"/>
  <c r="Y5" i="56"/>
  <c r="Y8" i="56" s="1"/>
  <c r="AC31" i="56" s="1"/>
  <c r="AT4" i="56"/>
  <c r="AS7" i="56"/>
  <c r="AB7" i="56"/>
  <c r="AC4" i="56"/>
  <c r="AC7" i="56" s="1"/>
  <c r="AD4" i="56"/>
  <c r="AD7" i="56" s="1"/>
  <c r="S24" i="56"/>
  <c r="T4" i="56"/>
  <c r="AS8" i="56"/>
  <c r="AT5" i="56"/>
  <c r="AC5" i="56"/>
  <c r="AC8" i="56" s="1"/>
  <c r="AB8" i="56"/>
  <c r="AD5" i="56"/>
  <c r="AD8" i="56" s="1"/>
  <c r="X24" i="56"/>
  <c r="T5" i="56"/>
  <c r="BA8" i="55"/>
  <c r="BB5" i="55"/>
  <c r="BB8" i="55" s="1"/>
  <c r="BA7" i="55"/>
  <c r="X17" i="55"/>
  <c r="X18" i="55"/>
  <c r="X5" i="55" s="1"/>
  <c r="X19" i="55"/>
  <c r="AB5" i="55" s="1"/>
  <c r="X20" i="55"/>
  <c r="X21" i="55"/>
  <c r="AS5" i="55" s="1"/>
  <c r="X22" i="55"/>
  <c r="AX5" i="55" s="1"/>
  <c r="AX8" i="55" s="1"/>
  <c r="S17" i="55"/>
  <c r="S18" i="55"/>
  <c r="X4" i="55" s="1"/>
  <c r="S19" i="55"/>
  <c r="AB4" i="55" s="1"/>
  <c r="S20" i="55"/>
  <c r="S21" i="55"/>
  <c r="AS4" i="55" s="1"/>
  <c r="V51" i="54"/>
  <c r="W51" i="54"/>
  <c r="X51" i="54"/>
  <c r="U51" i="54"/>
  <c r="V36" i="59" l="1"/>
  <c r="V38" i="59"/>
  <c r="AC30" i="58"/>
  <c r="AC36" i="58" s="1"/>
  <c r="R8" i="58"/>
  <c r="V30" i="58"/>
  <c r="S7" i="58"/>
  <c r="T30" i="58"/>
  <c r="T36" i="58" s="1"/>
  <c r="R7" i="58"/>
  <c r="AE30" i="58"/>
  <c r="AE36" i="58" s="1"/>
  <c r="S8" i="58"/>
  <c r="AT8" i="57"/>
  <c r="AU5" i="57"/>
  <c r="AU8" i="57" s="1"/>
  <c r="AE35" i="57" s="1"/>
  <c r="AE34" i="57" s="1"/>
  <c r="T7" i="57"/>
  <c r="Q7" i="57" s="1"/>
  <c r="U4" i="57"/>
  <c r="Q4" i="57"/>
  <c r="V4" i="57"/>
  <c r="AT7" i="57"/>
  <c r="AU4" i="57"/>
  <c r="AU7" i="57" s="1"/>
  <c r="V35" i="57" s="1"/>
  <c r="V34" i="57" s="1"/>
  <c r="U5" i="57"/>
  <c r="Q5" i="57"/>
  <c r="V5" i="57"/>
  <c r="T8" i="57"/>
  <c r="Q8" i="57" s="1"/>
  <c r="AC35" i="57"/>
  <c r="AC34" i="57" s="1"/>
  <c r="T35" i="57"/>
  <c r="AT8" i="56"/>
  <c r="AU5" i="56"/>
  <c r="AU8" i="56" s="1"/>
  <c r="T7" i="56"/>
  <c r="Q7" i="56" s="1"/>
  <c r="U4" i="56"/>
  <c r="Q4" i="56"/>
  <c r="V4" i="56"/>
  <c r="AT7" i="56"/>
  <c r="AU4" i="56"/>
  <c r="AU7" i="56" s="1"/>
  <c r="V35" i="56" s="1"/>
  <c r="V34" i="56" s="1"/>
  <c r="U5" i="56"/>
  <c r="Q5" i="56"/>
  <c r="V5" i="56"/>
  <c r="T8" i="56"/>
  <c r="Q8" i="56" s="1"/>
  <c r="AE35" i="56"/>
  <c r="AE34" i="56" s="1"/>
  <c r="AC35" i="56"/>
  <c r="AC34" i="56" s="1"/>
  <c r="T35" i="56"/>
  <c r="T34" i="56" s="1"/>
  <c r="X7" i="55"/>
  <c r="Z4" i="55"/>
  <c r="Z7" i="55" s="1"/>
  <c r="V31" i="55" s="1"/>
  <c r="Y4" i="55"/>
  <c r="Y7" i="55" s="1"/>
  <c r="T31" i="55" s="1"/>
  <c r="Z5" i="55"/>
  <c r="Z8" i="55" s="1"/>
  <c r="AE31" i="55" s="1"/>
  <c r="X8" i="55"/>
  <c r="Y5" i="55"/>
  <c r="Y8" i="55" s="1"/>
  <c r="AC31" i="55" s="1"/>
  <c r="AT4" i="55"/>
  <c r="AS7" i="55"/>
  <c r="AB7" i="55"/>
  <c r="AC4" i="55"/>
  <c r="AC7" i="55" s="1"/>
  <c r="AD4" i="55"/>
  <c r="AD7" i="55" s="1"/>
  <c r="S24" i="55"/>
  <c r="T4" i="55"/>
  <c r="AS8" i="55"/>
  <c r="AT5" i="55"/>
  <c r="AC5" i="55"/>
  <c r="AC8" i="55" s="1"/>
  <c r="AB8" i="55"/>
  <c r="AD5" i="55"/>
  <c r="AD8" i="55" s="1"/>
  <c r="X24" i="55"/>
  <c r="T5" i="55"/>
  <c r="Y24" i="54"/>
  <c r="T24" i="54"/>
  <c r="AD19" i="54"/>
  <c r="AD20" i="54" s="1"/>
  <c r="AD21" i="54" s="1"/>
  <c r="AA19" i="54"/>
  <c r="AA20" i="54" s="1"/>
  <c r="AA21" i="54" s="1"/>
  <c r="AA22" i="54" s="1"/>
  <c r="X16" i="54"/>
  <c r="X23" i="54" s="1"/>
  <c r="BA5" i="54" s="1"/>
  <c r="S16" i="54"/>
  <c r="S22" i="54" s="1"/>
  <c r="AX4" i="54" s="1"/>
  <c r="AX7" i="54" s="1"/>
  <c r="AD15" i="54"/>
  <c r="AD16" i="54" s="1"/>
  <c r="AA15" i="54"/>
  <c r="AA16" i="54" s="1"/>
  <c r="AZ8" i="54"/>
  <c r="AY8" i="54"/>
  <c r="AW8" i="54"/>
  <c r="AV8" i="54"/>
  <c r="AJ8" i="54"/>
  <c r="AI8" i="54"/>
  <c r="AA8" i="54"/>
  <c r="W8" i="54"/>
  <c r="P8" i="54"/>
  <c r="O8" i="54"/>
  <c r="N8" i="54"/>
  <c r="AZ7" i="54"/>
  <c r="AY7" i="54"/>
  <c r="AW7" i="54"/>
  <c r="AV7" i="54"/>
  <c r="AI7" i="54"/>
  <c r="AA7" i="54"/>
  <c r="W7" i="54"/>
  <c r="P7" i="54"/>
  <c r="O7" i="54"/>
  <c r="N7" i="54"/>
  <c r="AJ5" i="54"/>
  <c r="AJ4" i="54"/>
  <c r="AJ7" i="54" s="1"/>
  <c r="V38" i="58" l="1"/>
  <c r="V36" i="58"/>
  <c r="S5" i="57"/>
  <c r="V8" i="57"/>
  <c r="BO5" i="57"/>
  <c r="U8" i="57"/>
  <c r="R5" i="57"/>
  <c r="V7" i="57"/>
  <c r="S4" i="57"/>
  <c r="BO4" i="57"/>
  <c r="U7" i="57"/>
  <c r="R4" i="57"/>
  <c r="S5" i="56"/>
  <c r="V8" i="56"/>
  <c r="BO5" i="56"/>
  <c r="U8" i="56"/>
  <c r="R5" i="56"/>
  <c r="V7" i="56"/>
  <c r="S4" i="56"/>
  <c r="BO4" i="56"/>
  <c r="U7" i="56"/>
  <c r="R4" i="56"/>
  <c r="AT8" i="55"/>
  <c r="AU5" i="55"/>
  <c r="AU8" i="55" s="1"/>
  <c r="AE35" i="55" s="1"/>
  <c r="AE34" i="55" s="1"/>
  <c r="T7" i="55"/>
  <c r="Q7" i="55" s="1"/>
  <c r="U4" i="55"/>
  <c r="Q4" i="55"/>
  <c r="V4" i="55"/>
  <c r="AT7" i="55"/>
  <c r="AU4" i="55"/>
  <c r="AU7" i="55" s="1"/>
  <c r="V35" i="55" s="1"/>
  <c r="V34" i="55" s="1"/>
  <c r="U5" i="55"/>
  <c r="Q5" i="55"/>
  <c r="V5" i="55"/>
  <c r="T8" i="55"/>
  <c r="Q8" i="55" s="1"/>
  <c r="AC35" i="55"/>
  <c r="AC34" i="55" s="1"/>
  <c r="T35" i="55"/>
  <c r="T34" i="55" s="1"/>
  <c r="S23" i="54"/>
  <c r="BA4" i="54" s="1"/>
  <c r="BB4" i="54" s="1"/>
  <c r="BB7" i="54" s="1"/>
  <c r="BA8" i="54"/>
  <c r="BB5" i="54"/>
  <c r="BB8" i="54" s="1"/>
  <c r="X17" i="54"/>
  <c r="X18" i="54"/>
  <c r="X5" i="54" s="1"/>
  <c r="X19" i="54"/>
  <c r="AB5" i="54" s="1"/>
  <c r="X20" i="54"/>
  <c r="X21" i="54"/>
  <c r="AS5" i="54" s="1"/>
  <c r="X22" i="54"/>
  <c r="AX5" i="54" s="1"/>
  <c r="AX8" i="54" s="1"/>
  <c r="S17" i="54"/>
  <c r="S18" i="54"/>
  <c r="X4" i="54" s="1"/>
  <c r="S19" i="54"/>
  <c r="AB4" i="54" s="1"/>
  <c r="S20" i="54"/>
  <c r="S21" i="54"/>
  <c r="AS4" i="54" s="1"/>
  <c r="P8" i="53"/>
  <c r="P7" i="53"/>
  <c r="O8" i="53"/>
  <c r="N8" i="53"/>
  <c r="O7" i="53"/>
  <c r="N7" i="53"/>
  <c r="Y24" i="53"/>
  <c r="T24" i="53"/>
  <c r="AD19" i="53"/>
  <c r="AD20" i="53" s="1"/>
  <c r="AD21" i="53" s="1"/>
  <c r="AA19" i="53"/>
  <c r="AA20" i="53" s="1"/>
  <c r="AA21" i="53" s="1"/>
  <c r="AA22" i="53" s="1"/>
  <c r="X16" i="53"/>
  <c r="X22" i="53" s="1"/>
  <c r="AX5" i="53" s="1"/>
  <c r="AX8" i="53" s="1"/>
  <c r="S16" i="53"/>
  <c r="S23" i="53" s="1"/>
  <c r="BA4" i="53" s="1"/>
  <c r="AD15" i="53"/>
  <c r="AD16" i="53" s="1"/>
  <c r="AA15" i="53"/>
  <c r="AA16" i="53" s="1"/>
  <c r="AZ8" i="53"/>
  <c r="AY8" i="53"/>
  <c r="AW8" i="53"/>
  <c r="AV8" i="53"/>
  <c r="AI8" i="53"/>
  <c r="AA8" i="53"/>
  <c r="W8" i="53"/>
  <c r="BA7" i="53"/>
  <c r="AZ7" i="53"/>
  <c r="AY7" i="53"/>
  <c r="AW7" i="53"/>
  <c r="AV7" i="53"/>
  <c r="AI7" i="53"/>
  <c r="AA7" i="53"/>
  <c r="W7" i="53"/>
  <c r="AJ5" i="53"/>
  <c r="AJ8" i="53" s="1"/>
  <c r="BB4" i="53"/>
  <c r="BB7" i="53" s="1"/>
  <c r="AJ4" i="53"/>
  <c r="AJ7" i="53" s="1"/>
  <c r="R7" i="57" l="1"/>
  <c r="T30" i="57"/>
  <c r="T36" i="57" s="1"/>
  <c r="V30" i="57"/>
  <c r="S7" i="57"/>
  <c r="AC30" i="57"/>
  <c r="AC36" i="57" s="1"/>
  <c r="R8" i="57"/>
  <c r="AE30" i="57"/>
  <c r="AE36" i="57" s="1"/>
  <c r="S8" i="57"/>
  <c r="R7" i="56"/>
  <c r="T30" i="56"/>
  <c r="T36" i="56" s="1"/>
  <c r="V30" i="56"/>
  <c r="S7" i="56"/>
  <c r="AC30" i="56"/>
  <c r="AC36" i="56" s="1"/>
  <c r="R8" i="56"/>
  <c r="AE30" i="56"/>
  <c r="AE36" i="56" s="1"/>
  <c r="S8" i="56"/>
  <c r="S5" i="55"/>
  <c r="V8" i="55"/>
  <c r="BO5" i="55"/>
  <c r="U8" i="55"/>
  <c r="R5" i="55"/>
  <c r="V7" i="55"/>
  <c r="S4" i="55"/>
  <c r="BO4" i="55"/>
  <c r="U7" i="55"/>
  <c r="R4" i="55"/>
  <c r="BA7" i="54"/>
  <c r="X7" i="54"/>
  <c r="Z4" i="54"/>
  <c r="Z7" i="54" s="1"/>
  <c r="V31" i="54" s="1"/>
  <c r="Y4" i="54"/>
  <c r="Y7" i="54" s="1"/>
  <c r="T31" i="54" s="1"/>
  <c r="Z5" i="54"/>
  <c r="Z8" i="54" s="1"/>
  <c r="AE31" i="54" s="1"/>
  <c r="X8" i="54"/>
  <c r="Y5" i="54"/>
  <c r="Y8" i="54" s="1"/>
  <c r="AC31" i="54" s="1"/>
  <c r="AT4" i="54"/>
  <c r="AS7" i="54"/>
  <c r="AB7" i="54"/>
  <c r="AC4" i="54"/>
  <c r="AC7" i="54" s="1"/>
  <c r="AD4" i="54"/>
  <c r="AD7" i="54" s="1"/>
  <c r="S24" i="54"/>
  <c r="T4" i="54"/>
  <c r="AS8" i="54"/>
  <c r="AT5" i="54"/>
  <c r="AC5" i="54"/>
  <c r="AC8" i="54" s="1"/>
  <c r="AB8" i="54"/>
  <c r="AD5" i="54"/>
  <c r="AD8" i="54" s="1"/>
  <c r="X24" i="54"/>
  <c r="T5" i="54"/>
  <c r="X23" i="53"/>
  <c r="BA5" i="53" s="1"/>
  <c r="BA8" i="53" s="1"/>
  <c r="S17" i="53"/>
  <c r="S18" i="53"/>
  <c r="X4" i="53" s="1"/>
  <c r="S19" i="53"/>
  <c r="AB4" i="53" s="1"/>
  <c r="S20" i="53"/>
  <c r="S21" i="53"/>
  <c r="AS4" i="53" s="1"/>
  <c r="S22" i="53"/>
  <c r="AX4" i="53" s="1"/>
  <c r="AX7" i="53" s="1"/>
  <c r="X17" i="53"/>
  <c r="X18" i="53"/>
  <c r="X5" i="53" s="1"/>
  <c r="X19" i="53"/>
  <c r="AB5" i="53" s="1"/>
  <c r="X20" i="53"/>
  <c r="X21" i="53"/>
  <c r="AS5" i="53" s="1"/>
  <c r="S50" i="52"/>
  <c r="T50" i="52"/>
  <c r="U50" i="52"/>
  <c r="R50" i="52"/>
  <c r="T31" i="52"/>
  <c r="W24" i="52"/>
  <c r="R24" i="52"/>
  <c r="AB19" i="52"/>
  <c r="AB20" i="52" s="1"/>
  <c r="AB21" i="52" s="1"/>
  <c r="Y19" i="52"/>
  <c r="Y20" i="52" s="1"/>
  <c r="Y21" i="52" s="1"/>
  <c r="Y22" i="52" s="1"/>
  <c r="V16" i="52"/>
  <c r="V23" i="52" s="1"/>
  <c r="AU5" i="52" s="1"/>
  <c r="Q16" i="52"/>
  <c r="Q22" i="52" s="1"/>
  <c r="AB15" i="52"/>
  <c r="AB16" i="52" s="1"/>
  <c r="Y15" i="52"/>
  <c r="Y16" i="52" s="1"/>
  <c r="BI8" i="52"/>
  <c r="AT8" i="52"/>
  <c r="AS8" i="52"/>
  <c r="AQ8" i="52"/>
  <c r="AP8" i="52"/>
  <c r="AC8" i="52"/>
  <c r="Y8" i="52"/>
  <c r="U8" i="52"/>
  <c r="BI7" i="52"/>
  <c r="AT7" i="52"/>
  <c r="AS7" i="52"/>
  <c r="AQ7" i="52"/>
  <c r="AP7" i="52"/>
  <c r="AC7" i="52"/>
  <c r="Y7" i="52"/>
  <c r="U7" i="52"/>
  <c r="AD5" i="52"/>
  <c r="AD8" i="52" s="1"/>
  <c r="AR4" i="52"/>
  <c r="AR7" i="52" s="1"/>
  <c r="AD4" i="52"/>
  <c r="AD7" i="52" s="1"/>
  <c r="V36" i="57" l="1"/>
  <c r="V38" i="57"/>
  <c r="V36" i="56"/>
  <c r="V38" i="56"/>
  <c r="R7" i="55"/>
  <c r="T30" i="55"/>
  <c r="T36" i="55" s="1"/>
  <c r="V30" i="55"/>
  <c r="S7" i="55"/>
  <c r="AC30" i="55"/>
  <c r="AC36" i="55" s="1"/>
  <c r="R8" i="55"/>
  <c r="AE30" i="55"/>
  <c r="AE36" i="55" s="1"/>
  <c r="S8" i="55"/>
  <c r="AT8" i="54"/>
  <c r="AC35" i="54" s="1"/>
  <c r="AC34" i="54" s="1"/>
  <c r="AU5" i="54"/>
  <c r="AU8" i="54" s="1"/>
  <c r="T7" i="54"/>
  <c r="Q7" i="54" s="1"/>
  <c r="U4" i="54"/>
  <c r="Q4" i="54"/>
  <c r="V4" i="54"/>
  <c r="AT7" i="54"/>
  <c r="AU4" i="54"/>
  <c r="AU7" i="54" s="1"/>
  <c r="V35" i="54" s="1"/>
  <c r="V34" i="54" s="1"/>
  <c r="U5" i="54"/>
  <c r="Q5" i="54"/>
  <c r="V5" i="54"/>
  <c r="T8" i="54"/>
  <c r="Q8" i="54" s="1"/>
  <c r="AE35" i="54"/>
  <c r="AE34" i="54" s="1"/>
  <c r="T35" i="54"/>
  <c r="T34" i="54" s="1"/>
  <c r="BB5" i="53"/>
  <c r="BB8" i="53" s="1"/>
  <c r="AS8" i="53"/>
  <c r="AT5" i="53"/>
  <c r="AC5" i="53"/>
  <c r="AC8" i="53" s="1"/>
  <c r="AB8" i="53"/>
  <c r="AD5" i="53"/>
  <c r="AD8" i="53" s="1"/>
  <c r="X24" i="53"/>
  <c r="T5" i="53"/>
  <c r="AS7" i="53"/>
  <c r="AT4" i="53"/>
  <c r="AB7" i="53"/>
  <c r="AD4" i="53"/>
  <c r="AD7" i="53" s="1"/>
  <c r="AC4" i="53"/>
  <c r="AC7" i="53" s="1"/>
  <c r="S24" i="53"/>
  <c r="T4" i="53"/>
  <c r="Z5" i="53"/>
  <c r="Z8" i="53" s="1"/>
  <c r="AE31" i="53" s="1"/>
  <c r="X8" i="53"/>
  <c r="Y5" i="53"/>
  <c r="Y8" i="53" s="1"/>
  <c r="AC31" i="53" s="1"/>
  <c r="X7" i="53"/>
  <c r="Y4" i="53"/>
  <c r="Y7" i="53" s="1"/>
  <c r="T31" i="53" s="1"/>
  <c r="Z4" i="53"/>
  <c r="Z7" i="53" s="1"/>
  <c r="V31" i="53" s="1"/>
  <c r="AU8" i="52"/>
  <c r="AV5" i="52"/>
  <c r="AV8" i="52" s="1"/>
  <c r="V17" i="52"/>
  <c r="V18" i="52"/>
  <c r="V5" i="52" s="1"/>
  <c r="V19" i="52"/>
  <c r="Z5" i="52" s="1"/>
  <c r="V20" i="52"/>
  <c r="V21" i="52"/>
  <c r="AM5" i="52" s="1"/>
  <c r="V22" i="52"/>
  <c r="AR5" i="52" s="1"/>
  <c r="AR8" i="52" s="1"/>
  <c r="Q23" i="52"/>
  <c r="AU4" i="52" s="1"/>
  <c r="Q17" i="52"/>
  <c r="Q18" i="52"/>
  <c r="V4" i="52" s="1"/>
  <c r="Q19" i="52"/>
  <c r="Z4" i="52" s="1"/>
  <c r="Q20" i="52"/>
  <c r="Q21" i="52"/>
  <c r="AM4" i="52" s="1"/>
  <c r="Y22" i="51"/>
  <c r="Y21" i="51"/>
  <c r="AA57" i="51"/>
  <c r="Z57" i="51"/>
  <c r="Y57" i="51"/>
  <c r="W49" i="51"/>
  <c r="V49" i="51"/>
  <c r="U49" i="51"/>
  <c r="W24" i="51"/>
  <c r="R24" i="51"/>
  <c r="AB19" i="51"/>
  <c r="AB20" i="51" s="1"/>
  <c r="AB21" i="51" s="1"/>
  <c r="Y19" i="51"/>
  <c r="Y20" i="51" s="1"/>
  <c r="V16" i="51"/>
  <c r="V23" i="51" s="1"/>
  <c r="AU5" i="51" s="1"/>
  <c r="Q16" i="51"/>
  <c r="Q22" i="51" s="1"/>
  <c r="AR4" i="51" s="1"/>
  <c r="AR7" i="51" s="1"/>
  <c r="AB15" i="51"/>
  <c r="AB16" i="51" s="1"/>
  <c r="Y15" i="51"/>
  <c r="Y16" i="51" s="1"/>
  <c r="BI8" i="51"/>
  <c r="AT8" i="51"/>
  <c r="AS8" i="51"/>
  <c r="AQ8" i="51"/>
  <c r="AP8" i="51"/>
  <c r="AD8" i="51"/>
  <c r="AC8" i="51"/>
  <c r="Y8" i="51"/>
  <c r="U8" i="51"/>
  <c r="BI7" i="51"/>
  <c r="AT7" i="51"/>
  <c r="AS7" i="51"/>
  <c r="AQ7" i="51"/>
  <c r="AP7" i="51"/>
  <c r="AC7" i="51"/>
  <c r="Y7" i="51"/>
  <c r="U7" i="51"/>
  <c r="AD5" i="51"/>
  <c r="AD4" i="51"/>
  <c r="AD7" i="51" s="1"/>
  <c r="V36" i="55" l="1"/>
  <c r="V38" i="55"/>
  <c r="S5" i="54"/>
  <c r="V8" i="54"/>
  <c r="BO5" i="54"/>
  <c r="U8" i="54"/>
  <c r="R5" i="54"/>
  <c r="V7" i="54"/>
  <c r="S4" i="54"/>
  <c r="BO4" i="54"/>
  <c r="U7" i="54"/>
  <c r="R4" i="54"/>
  <c r="AT7" i="53"/>
  <c r="AU4" i="53"/>
  <c r="AU7" i="53" s="1"/>
  <c r="V35" i="53" s="1"/>
  <c r="V34" i="53" s="1"/>
  <c r="U5" i="53"/>
  <c r="Q5" i="53"/>
  <c r="V5" i="53"/>
  <c r="BO5" i="53" s="1"/>
  <c r="T8" i="53"/>
  <c r="Q8" i="53" s="1"/>
  <c r="T7" i="53"/>
  <c r="Q7" i="53" s="1"/>
  <c r="V4" i="53"/>
  <c r="BO4" i="53" s="1"/>
  <c r="U4" i="53"/>
  <c r="Q4" i="53"/>
  <c r="T35" i="53"/>
  <c r="T34" i="53" s="1"/>
  <c r="AT8" i="53"/>
  <c r="AC35" i="53" s="1"/>
  <c r="AC34" i="53" s="1"/>
  <c r="AU5" i="53"/>
  <c r="AU8" i="53" s="1"/>
  <c r="AE35" i="53" s="1"/>
  <c r="AE34" i="53" s="1"/>
  <c r="V7" i="52"/>
  <c r="W4" i="52"/>
  <c r="W7" i="52" s="1"/>
  <c r="R31" i="52" s="1"/>
  <c r="X4" i="52"/>
  <c r="X7" i="52" s="1"/>
  <c r="AU7" i="52"/>
  <c r="AV4" i="52"/>
  <c r="AV7" i="52" s="1"/>
  <c r="AM8" i="52"/>
  <c r="AN5" i="52"/>
  <c r="AA5" i="52"/>
  <c r="AA8" i="52" s="1"/>
  <c r="Z8" i="52"/>
  <c r="AB5" i="52"/>
  <c r="AB8" i="52" s="1"/>
  <c r="V24" i="52"/>
  <c r="R5" i="52"/>
  <c r="AM7" i="52"/>
  <c r="AN4" i="52"/>
  <c r="Z7" i="52"/>
  <c r="AB4" i="52"/>
  <c r="AB7" i="52" s="1"/>
  <c r="AA4" i="52"/>
  <c r="AA7" i="52" s="1"/>
  <c r="Q24" i="52"/>
  <c r="R4" i="52"/>
  <c r="X5" i="52"/>
  <c r="X8" i="52" s="1"/>
  <c r="AC31" i="52" s="1"/>
  <c r="V8" i="52"/>
  <c r="W5" i="52"/>
  <c r="W8" i="52" s="1"/>
  <c r="AA31" i="52" s="1"/>
  <c r="AU8" i="51"/>
  <c r="AV5" i="51"/>
  <c r="AV8" i="51" s="1"/>
  <c r="V17" i="51"/>
  <c r="V18" i="51"/>
  <c r="V5" i="51" s="1"/>
  <c r="V19" i="51"/>
  <c r="Z5" i="51" s="1"/>
  <c r="V20" i="51"/>
  <c r="V21" i="51"/>
  <c r="AM5" i="51" s="1"/>
  <c r="V22" i="51"/>
  <c r="AR5" i="51" s="1"/>
  <c r="AR8" i="51" s="1"/>
  <c r="Q23" i="51"/>
  <c r="AU4" i="51" s="1"/>
  <c r="Q17" i="51"/>
  <c r="Q18" i="51"/>
  <c r="V4" i="51" s="1"/>
  <c r="Q19" i="51"/>
  <c r="Z4" i="51" s="1"/>
  <c r="Q20" i="51"/>
  <c r="Q21" i="51"/>
  <c r="AM4" i="51" s="1"/>
  <c r="AB16" i="49"/>
  <c r="AB15" i="49"/>
  <c r="Y15" i="49"/>
  <c r="AB21" i="49"/>
  <c r="AB20" i="49"/>
  <c r="AB19" i="49"/>
  <c r="Y19" i="49"/>
  <c r="AC34" i="49"/>
  <c r="AC35" i="49"/>
  <c r="AC31" i="49"/>
  <c r="AC30" i="49"/>
  <c r="AC36" i="49"/>
  <c r="Z57" i="49"/>
  <c r="AA57" i="49"/>
  <c r="Y57" i="49"/>
  <c r="R7" i="54" l="1"/>
  <c r="T30" i="54"/>
  <c r="T36" i="54" s="1"/>
  <c r="V30" i="54"/>
  <c r="S7" i="54"/>
  <c r="AC30" i="54"/>
  <c r="AC36" i="54" s="1"/>
  <c r="R8" i="54"/>
  <c r="AE30" i="54"/>
  <c r="AE36" i="54" s="1"/>
  <c r="S8" i="54"/>
  <c r="V7" i="53"/>
  <c r="S4" i="53"/>
  <c r="R4" i="53"/>
  <c r="U7" i="53"/>
  <c r="S5" i="53"/>
  <c r="V8" i="53"/>
  <c r="U8" i="53"/>
  <c r="R5" i="53"/>
  <c r="R7" i="52"/>
  <c r="O7" i="52" s="1"/>
  <c r="T4" i="52"/>
  <c r="S4" i="52"/>
  <c r="O4" i="52"/>
  <c r="AN8" i="52"/>
  <c r="AO5" i="52"/>
  <c r="AO8" i="52" s="1"/>
  <c r="AC35" i="52" s="1"/>
  <c r="AC34" i="52" s="1"/>
  <c r="AN7" i="52"/>
  <c r="R35" i="52" s="1"/>
  <c r="R34" i="52" s="1"/>
  <c r="AO4" i="52"/>
  <c r="AO7" i="52" s="1"/>
  <c r="T35" i="52" s="1"/>
  <c r="T34" i="52" s="1"/>
  <c r="S5" i="52"/>
  <c r="O5" i="52"/>
  <c r="R8" i="52"/>
  <c r="O8" i="52" s="1"/>
  <c r="T5" i="52"/>
  <c r="AA35" i="52"/>
  <c r="AA34" i="52" s="1"/>
  <c r="AM7" i="51"/>
  <c r="AN4" i="51"/>
  <c r="Z7" i="51"/>
  <c r="AB4" i="51"/>
  <c r="AB7" i="51" s="1"/>
  <c r="AA4" i="51"/>
  <c r="AA7" i="51" s="1"/>
  <c r="Q24" i="51"/>
  <c r="R4" i="51"/>
  <c r="X5" i="51"/>
  <c r="X8" i="51" s="1"/>
  <c r="AC31" i="51" s="1"/>
  <c r="V8" i="51"/>
  <c r="W5" i="51"/>
  <c r="W8" i="51" s="1"/>
  <c r="AA31" i="51" s="1"/>
  <c r="V7" i="51"/>
  <c r="W4" i="51"/>
  <c r="W7" i="51" s="1"/>
  <c r="R31" i="51" s="1"/>
  <c r="X4" i="51"/>
  <c r="X7" i="51" s="1"/>
  <c r="T31" i="51" s="1"/>
  <c r="AU7" i="51"/>
  <c r="AV4" i="51"/>
  <c r="AV7" i="51" s="1"/>
  <c r="AM8" i="51"/>
  <c r="AN5" i="51"/>
  <c r="AA5" i="51"/>
  <c r="AA8" i="51" s="1"/>
  <c r="Z8" i="51"/>
  <c r="AB5" i="51"/>
  <c r="AB8" i="51" s="1"/>
  <c r="V24" i="51"/>
  <c r="R5" i="51"/>
  <c r="BI8" i="49"/>
  <c r="BI7" i="49"/>
  <c r="V36" i="54" l="1"/>
  <c r="V38" i="54"/>
  <c r="AC30" i="53"/>
  <c r="AC36" i="53" s="1"/>
  <c r="R8" i="53"/>
  <c r="V30" i="53"/>
  <c r="S7" i="53"/>
  <c r="S8" i="53"/>
  <c r="AE30" i="53"/>
  <c r="AE36" i="53" s="1"/>
  <c r="T30" i="53"/>
  <c r="T36" i="53" s="1"/>
  <c r="R7" i="53"/>
  <c r="S8" i="52"/>
  <c r="P5" i="52"/>
  <c r="P4" i="52"/>
  <c r="S7" i="52"/>
  <c r="Q5" i="52"/>
  <c r="T8" i="52"/>
  <c r="T7" i="52"/>
  <c r="Q4" i="52"/>
  <c r="AN7" i="51"/>
  <c r="AO4" i="51"/>
  <c r="AO7" i="51" s="1"/>
  <c r="T35" i="51" s="1"/>
  <c r="T34" i="51" s="1"/>
  <c r="S5" i="51"/>
  <c r="O5" i="51"/>
  <c r="R8" i="51"/>
  <c r="O8" i="51" s="1"/>
  <c r="T5" i="51"/>
  <c r="AA35" i="51"/>
  <c r="AA34" i="51" s="1"/>
  <c r="AN8" i="51"/>
  <c r="AO5" i="51"/>
  <c r="AO8" i="51" s="1"/>
  <c r="AC35" i="51" s="1"/>
  <c r="AC34" i="51" s="1"/>
  <c r="R7" i="51"/>
  <c r="O7" i="51" s="1"/>
  <c r="T4" i="51"/>
  <c r="S4" i="51"/>
  <c r="O4" i="51"/>
  <c r="R35" i="51"/>
  <c r="R34" i="51" s="1"/>
  <c r="AD5" i="49"/>
  <c r="AD4" i="49"/>
  <c r="S16" i="47"/>
  <c r="Q16" i="49"/>
  <c r="Q20" i="49" s="1"/>
  <c r="U8" i="49"/>
  <c r="Y8" i="49"/>
  <c r="AC8" i="49"/>
  <c r="AP8" i="49"/>
  <c r="AQ8" i="49"/>
  <c r="AS8" i="49"/>
  <c r="AT8" i="49"/>
  <c r="AP7" i="49"/>
  <c r="AQ7" i="49"/>
  <c r="AS7" i="49"/>
  <c r="AT7" i="49"/>
  <c r="AC7" i="49"/>
  <c r="Y7" i="49"/>
  <c r="U7" i="49"/>
  <c r="Y50" i="50"/>
  <c r="X50" i="50"/>
  <c r="W50" i="50"/>
  <c r="V38" i="50"/>
  <c r="T38" i="50"/>
  <c r="AE31" i="50"/>
  <c r="Y24" i="50"/>
  <c r="T24" i="50"/>
  <c r="X21" i="50"/>
  <c r="AE20" i="50"/>
  <c r="AE21" i="50" s="1"/>
  <c r="AE22" i="50" s="1"/>
  <c r="X20" i="50"/>
  <c r="AJ19" i="50"/>
  <c r="AJ21" i="50" s="1"/>
  <c r="AE19" i="50"/>
  <c r="AB19" i="50"/>
  <c r="AB20" i="50" s="1"/>
  <c r="AB21" i="50" s="1"/>
  <c r="AB22" i="50" s="1"/>
  <c r="N18" i="50"/>
  <c r="K18" i="50"/>
  <c r="X16" i="50"/>
  <c r="X23" i="50" s="1"/>
  <c r="S16" i="50"/>
  <c r="S21" i="50" s="1"/>
  <c r="AS4" i="50" s="1"/>
  <c r="AE15" i="50"/>
  <c r="AE16" i="50" s="1"/>
  <c r="AB15" i="50"/>
  <c r="AB16" i="50" s="1"/>
  <c r="AZ8" i="50"/>
  <c r="AY8" i="50"/>
  <c r="AW8" i="50"/>
  <c r="AV8" i="50"/>
  <c r="AR8" i="50"/>
  <c r="AQ8" i="50"/>
  <c r="AP8" i="50"/>
  <c r="AO8" i="50"/>
  <c r="AN8" i="50"/>
  <c r="AM8" i="50"/>
  <c r="AL8" i="50"/>
  <c r="AK8" i="50"/>
  <c r="AI8" i="50"/>
  <c r="AH8" i="50"/>
  <c r="AG8" i="50"/>
  <c r="AF8" i="50"/>
  <c r="AE8" i="50"/>
  <c r="AC8" i="50"/>
  <c r="AA8" i="50"/>
  <c r="W8" i="50"/>
  <c r="V8" i="50"/>
  <c r="AZ7" i="50"/>
  <c r="AY7" i="50"/>
  <c r="AW7" i="50"/>
  <c r="AV7" i="50"/>
  <c r="AS7" i="50"/>
  <c r="AI7" i="50"/>
  <c r="AA7" i="50"/>
  <c r="W7" i="50"/>
  <c r="BA5" i="50"/>
  <c r="AS5" i="50"/>
  <c r="AJ5" i="50"/>
  <c r="AJ8" i="50" s="1"/>
  <c r="AD5" i="50"/>
  <c r="AD8" i="50" s="1"/>
  <c r="AT4" i="50"/>
  <c r="AJ4" i="50"/>
  <c r="AJ7" i="50" s="1"/>
  <c r="V36" i="53" l="1"/>
  <c r="V38" i="53"/>
  <c r="T30" i="52"/>
  <c r="T36" i="52" s="1"/>
  <c r="Q7" i="52"/>
  <c r="AA30" i="52"/>
  <c r="AA36" i="52" s="1"/>
  <c r="P8" i="52"/>
  <c r="AC30" i="52"/>
  <c r="AC36" i="52" s="1"/>
  <c r="Q8" i="52"/>
  <c r="R30" i="52"/>
  <c r="R36" i="52" s="1"/>
  <c r="P7" i="52"/>
  <c r="P4" i="51"/>
  <c r="S7" i="51"/>
  <c r="Q5" i="51"/>
  <c r="T8" i="51"/>
  <c r="T7" i="51"/>
  <c r="Q4" i="51"/>
  <c r="S8" i="51"/>
  <c r="P5" i="51"/>
  <c r="Q17" i="49"/>
  <c r="Q21" i="49"/>
  <c r="Q18" i="49"/>
  <c r="Q19" i="49"/>
  <c r="AT5" i="50"/>
  <c r="AS8" i="50"/>
  <c r="BB5" i="50"/>
  <c r="BB8" i="50" s="1"/>
  <c r="BA8" i="50"/>
  <c r="AT7" i="50"/>
  <c r="AU4" i="50"/>
  <c r="AU7" i="50" s="1"/>
  <c r="S17" i="50"/>
  <c r="S18" i="50"/>
  <c r="X4" i="50" s="1"/>
  <c r="S19" i="50"/>
  <c r="S22" i="50"/>
  <c r="AX4" i="50" s="1"/>
  <c r="AX7" i="50" s="1"/>
  <c r="S23" i="50"/>
  <c r="BA4" i="50" s="1"/>
  <c r="X17" i="50"/>
  <c r="X18" i="50"/>
  <c r="X5" i="50" s="1"/>
  <c r="X19" i="50"/>
  <c r="AB5" i="50" s="1"/>
  <c r="AB8" i="50" s="1"/>
  <c r="S20" i="50"/>
  <c r="X22" i="50"/>
  <c r="AX5" i="50" s="1"/>
  <c r="AX8" i="50" s="1"/>
  <c r="V49" i="49"/>
  <c r="W49" i="49"/>
  <c r="U49" i="49"/>
  <c r="W24" i="49"/>
  <c r="R24" i="49"/>
  <c r="Y20" i="49"/>
  <c r="Y21" i="49" s="1"/>
  <c r="Y22" i="49" s="1"/>
  <c r="V16" i="49"/>
  <c r="AM4" i="49"/>
  <c r="Y16" i="49"/>
  <c r="AC30" i="51" l="1"/>
  <c r="AC36" i="51" s="1"/>
  <c r="Q8" i="51"/>
  <c r="R30" i="51"/>
  <c r="R36" i="51" s="1"/>
  <c r="P7" i="51"/>
  <c r="AA30" i="51"/>
  <c r="AA36" i="51" s="1"/>
  <c r="P8" i="51"/>
  <c r="T30" i="51"/>
  <c r="T36" i="51" s="1"/>
  <c r="Q7" i="51"/>
  <c r="AM7" i="49"/>
  <c r="AN4" i="49"/>
  <c r="AO4" i="49" s="1"/>
  <c r="V23" i="49"/>
  <c r="AU5" i="49" s="1"/>
  <c r="V21" i="49"/>
  <c r="AM5" i="49" s="1"/>
  <c r="AN5" i="49" s="1"/>
  <c r="AO5" i="49" s="1"/>
  <c r="V20" i="49"/>
  <c r="AN7" i="49"/>
  <c r="X24" i="50"/>
  <c r="T5" i="50"/>
  <c r="X7" i="50"/>
  <c r="Y4" i="50"/>
  <c r="AT8" i="50"/>
  <c r="AU5" i="50"/>
  <c r="AU8" i="50" s="1"/>
  <c r="X8" i="50"/>
  <c r="Y5" i="50"/>
  <c r="BA7" i="50"/>
  <c r="BB4" i="50"/>
  <c r="BB7" i="50" s="1"/>
  <c r="AB4" i="50"/>
  <c r="AF23" i="50"/>
  <c r="S24" i="50"/>
  <c r="T4" i="50"/>
  <c r="Q23" i="49"/>
  <c r="AU4" i="49" s="1"/>
  <c r="AV4" i="49" s="1"/>
  <c r="V4" i="49"/>
  <c r="Q22" i="49"/>
  <c r="AR4" i="49" s="1"/>
  <c r="AR7" i="49" s="1"/>
  <c r="V17" i="49"/>
  <c r="R5" i="49" s="1"/>
  <c r="V18" i="49"/>
  <c r="V5" i="49" s="1"/>
  <c r="V19" i="49"/>
  <c r="Z5" i="49" s="1"/>
  <c r="V22" i="49"/>
  <c r="AR5" i="49" s="1"/>
  <c r="AR8" i="49" s="1"/>
  <c r="AB22" i="48"/>
  <c r="Z8" i="49" l="1"/>
  <c r="AB5" i="49"/>
  <c r="AB8" i="49" s="1"/>
  <c r="AA5" i="49"/>
  <c r="AA8" i="49" s="1"/>
  <c r="AU8" i="49"/>
  <c r="AV5" i="49"/>
  <c r="AV8" i="49" s="1"/>
  <c r="X5" i="49"/>
  <c r="W5" i="49"/>
  <c r="T5" i="49"/>
  <c r="T8" i="49" s="1"/>
  <c r="S5" i="49"/>
  <c r="W4" i="49"/>
  <c r="X4" i="49"/>
  <c r="AU7" i="49"/>
  <c r="AV7" i="49"/>
  <c r="V8" i="49"/>
  <c r="AM8" i="49"/>
  <c r="AN8" i="49"/>
  <c r="V7" i="49"/>
  <c r="AB7" i="50"/>
  <c r="AC4" i="50"/>
  <c r="T7" i="50"/>
  <c r="Q7" i="50" s="1"/>
  <c r="U4" i="50"/>
  <c r="Q4" i="50"/>
  <c r="Y8" i="50"/>
  <c r="AC32" i="50" s="1"/>
  <c r="Z5" i="50"/>
  <c r="Y7" i="50"/>
  <c r="T32" i="50" s="1"/>
  <c r="Z4" i="50"/>
  <c r="Z7" i="50" s="1"/>
  <c r="V32" i="50" s="1"/>
  <c r="T8" i="50"/>
  <c r="Q8" i="50" s="1"/>
  <c r="U5" i="50"/>
  <c r="Q5" i="50"/>
  <c r="Z4" i="49"/>
  <c r="AD7" i="49"/>
  <c r="V24" i="49"/>
  <c r="AO7" i="49"/>
  <c r="Q24" i="49"/>
  <c r="R4" i="49"/>
  <c r="AD8" i="49"/>
  <c r="V38" i="48"/>
  <c r="T38" i="48"/>
  <c r="Y24" i="48"/>
  <c r="T24" i="48"/>
  <c r="X22" i="48"/>
  <c r="AX5" i="48" s="1"/>
  <c r="AX8" i="48" s="1"/>
  <c r="AJ21" i="48"/>
  <c r="AB20" i="48"/>
  <c r="AB21" i="48" s="1"/>
  <c r="AJ19" i="48"/>
  <c r="AE19" i="48"/>
  <c r="AE20" i="48" s="1"/>
  <c r="AE21" i="48" s="1"/>
  <c r="AE22" i="48" s="1"/>
  <c r="AB19" i="48"/>
  <c r="X19" i="48"/>
  <c r="AB5" i="48" s="1"/>
  <c r="AB8" i="48" s="1"/>
  <c r="N18" i="48"/>
  <c r="X16" i="48"/>
  <c r="X21" i="48" s="1"/>
  <c r="S16" i="48"/>
  <c r="S23" i="48" s="1"/>
  <c r="BA4" i="48" s="1"/>
  <c r="BB4" i="48" s="1"/>
  <c r="BB7" i="48" s="1"/>
  <c r="AE15" i="48"/>
  <c r="AE16" i="48" s="1"/>
  <c r="AB15" i="48"/>
  <c r="AB16" i="48" s="1"/>
  <c r="AW8" i="48"/>
  <c r="AV8" i="48"/>
  <c r="AA8" i="48"/>
  <c r="W8" i="48"/>
  <c r="AW7" i="48"/>
  <c r="AV7" i="48"/>
  <c r="AA7" i="48"/>
  <c r="W7" i="48"/>
  <c r="AS5" i="48"/>
  <c r="AA4" i="49" l="1"/>
  <c r="AB4" i="49"/>
  <c r="AA35" i="49"/>
  <c r="AA34" i="49" s="1"/>
  <c r="T4" i="49"/>
  <c r="S4" i="49"/>
  <c r="W8" i="49"/>
  <c r="AA31" i="49" s="1"/>
  <c r="R8" i="49"/>
  <c r="O8" i="49" s="1"/>
  <c r="O5" i="49"/>
  <c r="Z7" i="49"/>
  <c r="W7" i="49"/>
  <c r="R31" i="49" s="1"/>
  <c r="X7" i="49"/>
  <c r="T31" i="49" s="1"/>
  <c r="R7" i="49"/>
  <c r="O4" i="49"/>
  <c r="V4" i="50"/>
  <c r="R4" i="50"/>
  <c r="U7" i="50"/>
  <c r="AD4" i="50"/>
  <c r="AD7" i="50" s="1"/>
  <c r="AC7" i="50"/>
  <c r="U8" i="50"/>
  <c r="R5" i="50"/>
  <c r="Z8" i="50"/>
  <c r="S5" i="50"/>
  <c r="AO8" i="49"/>
  <c r="AC5" i="48"/>
  <c r="X18" i="48"/>
  <c r="X5" i="48" s="1"/>
  <c r="Y5" i="48" s="1"/>
  <c r="X23" i="48"/>
  <c r="BA5" i="48" s="1"/>
  <c r="X8" i="48"/>
  <c r="AD5" i="48"/>
  <c r="AD8" i="48" s="1"/>
  <c r="AC8" i="48"/>
  <c r="AT5" i="48"/>
  <c r="AS8" i="48"/>
  <c r="BB5" i="48"/>
  <c r="BB8" i="48" s="1"/>
  <c r="BA8" i="48"/>
  <c r="BA7" i="48"/>
  <c r="S17" i="48"/>
  <c r="S20" i="48"/>
  <c r="AI4" i="48" s="1"/>
  <c r="S21" i="48"/>
  <c r="AS4" i="48" s="1"/>
  <c r="X17" i="48"/>
  <c r="S18" i="48"/>
  <c r="X4" i="48" s="1"/>
  <c r="S19" i="48"/>
  <c r="X20" i="48"/>
  <c r="AI5" i="48" s="1"/>
  <c r="S22" i="48"/>
  <c r="AX4" i="48" s="1"/>
  <c r="AX7" i="48" s="1"/>
  <c r="AB22" i="46"/>
  <c r="AF23" i="46"/>
  <c r="O7" i="49" l="1"/>
  <c r="S8" i="49"/>
  <c r="P5" i="49"/>
  <c r="X8" i="49"/>
  <c r="Q5" i="49"/>
  <c r="AA7" i="49"/>
  <c r="R35" i="49" s="1"/>
  <c r="R34" i="49" s="1"/>
  <c r="AB7" i="49"/>
  <c r="T35" i="49" s="1"/>
  <c r="T34" i="49" s="1"/>
  <c r="S7" i="49"/>
  <c r="P4" i="49"/>
  <c r="T31" i="50"/>
  <c r="T35" i="50" s="1"/>
  <c r="T39" i="50" s="1"/>
  <c r="R7" i="50"/>
  <c r="V7" i="50"/>
  <c r="S4" i="50"/>
  <c r="AE32" i="50"/>
  <c r="AE35" i="50" s="1"/>
  <c r="S8" i="50"/>
  <c r="AE38" i="50" s="1"/>
  <c r="AE39" i="50" s="1"/>
  <c r="AC31" i="50"/>
  <c r="AC35" i="50" s="1"/>
  <c r="R8" i="50"/>
  <c r="AC38" i="50" s="1"/>
  <c r="AC39" i="50" s="1"/>
  <c r="AJ5" i="48"/>
  <c r="AJ8" i="48" s="1"/>
  <c r="AI8" i="48"/>
  <c r="X7" i="48"/>
  <c r="Y4" i="48"/>
  <c r="AT4" i="48"/>
  <c r="AS7" i="48"/>
  <c r="T4" i="48"/>
  <c r="S24" i="48"/>
  <c r="Z5" i="48"/>
  <c r="Z8" i="48" s="1"/>
  <c r="AE32" i="48" s="1"/>
  <c r="Y8" i="48"/>
  <c r="AC32" i="48" s="1"/>
  <c r="AF23" i="48"/>
  <c r="AB4" i="48"/>
  <c r="T5" i="48"/>
  <c r="X24" i="48"/>
  <c r="AJ4" i="48"/>
  <c r="AJ7" i="48" s="1"/>
  <c r="AI7" i="48"/>
  <c r="AT8" i="48"/>
  <c r="AU5" i="48"/>
  <c r="AU8" i="48" s="1"/>
  <c r="V38" i="47"/>
  <c r="T38" i="47"/>
  <c r="Y24" i="47"/>
  <c r="T24" i="47"/>
  <c r="X23" i="47"/>
  <c r="X22" i="47"/>
  <c r="AX5" i="47" s="1"/>
  <c r="AX8" i="47" s="1"/>
  <c r="AJ21" i="47"/>
  <c r="AB20" i="47"/>
  <c r="AB21" i="47" s="1"/>
  <c r="AB22" i="47" s="1"/>
  <c r="AJ19" i="47"/>
  <c r="AE19" i="47"/>
  <c r="AE20" i="47" s="1"/>
  <c r="AE21" i="47" s="1"/>
  <c r="AE22" i="47" s="1"/>
  <c r="AB19" i="47"/>
  <c r="X19" i="47"/>
  <c r="AB5" i="47" s="1"/>
  <c r="AB8" i="47" s="1"/>
  <c r="X18" i="47"/>
  <c r="N18" i="47"/>
  <c r="X16" i="47"/>
  <c r="X21" i="47" s="1"/>
  <c r="S23" i="47"/>
  <c r="BA4" i="47" s="1"/>
  <c r="BB4" i="47" s="1"/>
  <c r="BB7" i="47" s="1"/>
  <c r="AE15" i="47"/>
  <c r="AE16" i="47" s="1"/>
  <c r="AB15" i="47"/>
  <c r="AB16" i="47" s="1"/>
  <c r="AW8" i="47"/>
  <c r="AV8" i="47"/>
  <c r="AA8" i="47"/>
  <c r="W8" i="47"/>
  <c r="AW7" i="47"/>
  <c r="AV7" i="47"/>
  <c r="AA7" i="47"/>
  <c r="W7" i="47"/>
  <c r="BA5" i="47"/>
  <c r="AS5" i="47"/>
  <c r="AC5" i="47"/>
  <c r="X5" i="47"/>
  <c r="P8" i="49" l="1"/>
  <c r="AA30" i="49"/>
  <c r="AA36" i="49" s="1"/>
  <c r="P7" i="49"/>
  <c r="R30" i="49"/>
  <c r="R36" i="49" s="1"/>
  <c r="Q8" i="49"/>
  <c r="Q4" i="49"/>
  <c r="T7" i="49"/>
  <c r="V31" i="50"/>
  <c r="V35" i="50" s="1"/>
  <c r="V39" i="50" s="1"/>
  <c r="S7" i="50"/>
  <c r="AB7" i="48"/>
  <c r="AC4" i="48"/>
  <c r="Y7" i="48"/>
  <c r="T32" i="48" s="1"/>
  <c r="Z4" i="48"/>
  <c r="Z7" i="48" s="1"/>
  <c r="V32" i="48" s="1"/>
  <c r="T8" i="48"/>
  <c r="Q8" i="48" s="1"/>
  <c r="U5" i="48"/>
  <c r="Q5" i="48"/>
  <c r="T7" i="48"/>
  <c r="Q7" i="48" s="1"/>
  <c r="U4" i="48"/>
  <c r="Q4" i="48"/>
  <c r="AT7" i="48"/>
  <c r="AU4" i="48"/>
  <c r="AU7" i="48" s="1"/>
  <c r="X8" i="47"/>
  <c r="Y5" i="47"/>
  <c r="AD5" i="47"/>
  <c r="AD8" i="47" s="1"/>
  <c r="AC8" i="47"/>
  <c r="AT5" i="47"/>
  <c r="AS8" i="47"/>
  <c r="BB5" i="47"/>
  <c r="BB8" i="47" s="1"/>
  <c r="BA8" i="47"/>
  <c r="BA7" i="47"/>
  <c r="S17" i="47"/>
  <c r="S20" i="47"/>
  <c r="AI4" i="47" s="1"/>
  <c r="S21" i="47"/>
  <c r="AS4" i="47" s="1"/>
  <c r="X17" i="47"/>
  <c r="S18" i="47"/>
  <c r="X4" i="47" s="1"/>
  <c r="S19" i="47"/>
  <c r="AB4" i="47" s="1"/>
  <c r="X20" i="47"/>
  <c r="AI5" i="47" s="1"/>
  <c r="S22" i="47"/>
  <c r="AX4" i="47" s="1"/>
  <c r="AX7" i="47" s="1"/>
  <c r="Q7" i="49" l="1"/>
  <c r="T30" i="49"/>
  <c r="T36" i="49" s="1"/>
  <c r="V5" i="48"/>
  <c r="R5" i="48"/>
  <c r="U8" i="48"/>
  <c r="AD4" i="48"/>
  <c r="AD7" i="48" s="1"/>
  <c r="AC7" i="48"/>
  <c r="V4" i="48"/>
  <c r="R4" i="48"/>
  <c r="U7" i="48"/>
  <c r="AB7" i="47"/>
  <c r="AC4" i="47"/>
  <c r="X24" i="47"/>
  <c r="T5" i="47"/>
  <c r="AJ4" i="47"/>
  <c r="AJ7" i="47" s="1"/>
  <c r="AI7" i="47"/>
  <c r="AT8" i="47"/>
  <c r="AU5" i="47"/>
  <c r="AU8" i="47" s="1"/>
  <c r="AJ5" i="47"/>
  <c r="AJ8" i="47" s="1"/>
  <c r="AI8" i="47"/>
  <c r="X7" i="47"/>
  <c r="Y4" i="47"/>
  <c r="AT4" i="47"/>
  <c r="AS7" i="47"/>
  <c r="S24" i="47"/>
  <c r="T4" i="47"/>
  <c r="Y8" i="47"/>
  <c r="AC32" i="47" s="1"/>
  <c r="Z5" i="47"/>
  <c r="Z8" i="47" s="1"/>
  <c r="AE32" i="47" s="1"/>
  <c r="V38" i="46"/>
  <c r="T38" i="46"/>
  <c r="Y24" i="46"/>
  <c r="T24" i="46"/>
  <c r="AJ19" i="46"/>
  <c r="AJ21" i="46" s="1"/>
  <c r="AE19" i="46"/>
  <c r="AE20" i="46" s="1"/>
  <c r="AE21" i="46" s="1"/>
  <c r="AE22" i="46" s="1"/>
  <c r="AB19" i="46"/>
  <c r="AB20" i="46" s="1"/>
  <c r="AB21" i="46" s="1"/>
  <c r="N18" i="46"/>
  <c r="X16" i="46"/>
  <c r="X23" i="46" s="1"/>
  <c r="BA5" i="46" s="1"/>
  <c r="S16" i="46"/>
  <c r="S21" i="46" s="1"/>
  <c r="AS4" i="46" s="1"/>
  <c r="AE15" i="46"/>
  <c r="AE16" i="46" s="1"/>
  <c r="AB15" i="46"/>
  <c r="AB16" i="46" s="1"/>
  <c r="AW8" i="46"/>
  <c r="AV8" i="46"/>
  <c r="AA8" i="46"/>
  <c r="W8" i="46"/>
  <c r="AW7" i="46"/>
  <c r="AV7" i="46"/>
  <c r="AA7" i="46"/>
  <c r="W7" i="46"/>
  <c r="R7" i="48" l="1"/>
  <c r="T31" i="48"/>
  <c r="T35" i="48" s="1"/>
  <c r="T39" i="48" s="1"/>
  <c r="V7" i="48"/>
  <c r="S4" i="48"/>
  <c r="R8" i="48"/>
  <c r="AC38" i="48" s="1"/>
  <c r="AC31" i="48"/>
  <c r="AC35" i="48" s="1"/>
  <c r="V8" i="48"/>
  <c r="S5" i="48"/>
  <c r="AT7" i="47"/>
  <c r="AU4" i="47"/>
  <c r="AU7" i="47" s="1"/>
  <c r="T7" i="47"/>
  <c r="Q7" i="47" s="1"/>
  <c r="U4" i="47"/>
  <c r="Q4" i="47"/>
  <c r="Y7" i="47"/>
  <c r="T32" i="47" s="1"/>
  <c r="Z4" i="47"/>
  <c r="Z7" i="47" s="1"/>
  <c r="V32" i="47" s="1"/>
  <c r="T8" i="47"/>
  <c r="Q8" i="47" s="1"/>
  <c r="U5" i="47"/>
  <c r="Q5" i="47"/>
  <c r="AD4" i="47"/>
  <c r="AD7" i="47" s="1"/>
  <c r="AC7" i="47"/>
  <c r="AS7" i="46"/>
  <c r="AT4" i="46"/>
  <c r="BA8" i="46"/>
  <c r="BB5" i="46"/>
  <c r="BB8" i="46" s="1"/>
  <c r="X17" i="46"/>
  <c r="S18" i="46"/>
  <c r="X4" i="46" s="1"/>
  <c r="S19" i="46"/>
  <c r="AB4" i="46" s="1"/>
  <c r="X20" i="46"/>
  <c r="AI5" i="46" s="1"/>
  <c r="X21" i="46"/>
  <c r="AS5" i="46" s="1"/>
  <c r="S22" i="46"/>
  <c r="AX4" i="46" s="1"/>
  <c r="AX7" i="46" s="1"/>
  <c r="S23" i="46"/>
  <c r="BA4" i="46" s="1"/>
  <c r="S17" i="46"/>
  <c r="X18" i="46"/>
  <c r="X5" i="46" s="1"/>
  <c r="X19" i="46"/>
  <c r="AB5" i="46" s="1"/>
  <c r="S20" i="46"/>
  <c r="AI4" i="46" s="1"/>
  <c r="X22" i="46"/>
  <c r="AX5" i="46" s="1"/>
  <c r="AX8" i="46" s="1"/>
  <c r="V32" i="45"/>
  <c r="V31" i="45"/>
  <c r="N18" i="45"/>
  <c r="AB22" i="45"/>
  <c r="V38" i="45"/>
  <c r="T38" i="45"/>
  <c r="Y24" i="45"/>
  <c r="T24" i="45"/>
  <c r="AJ21" i="45"/>
  <c r="S21" i="45"/>
  <c r="AS4" i="45" s="1"/>
  <c r="AS7" i="45" s="1"/>
  <c r="AB20" i="45"/>
  <c r="AB21" i="45" s="1"/>
  <c r="S20" i="45"/>
  <c r="AI4" i="45" s="1"/>
  <c r="AI7" i="45" s="1"/>
  <c r="AJ19" i="45"/>
  <c r="AE19" i="45"/>
  <c r="AE20" i="45" s="1"/>
  <c r="AE21" i="45" s="1"/>
  <c r="AE22" i="45" s="1"/>
  <c r="AB19" i="45"/>
  <c r="X16" i="45"/>
  <c r="X21" i="45" s="1"/>
  <c r="AS5" i="45" s="1"/>
  <c r="AS8" i="45" s="1"/>
  <c r="S16" i="45"/>
  <c r="S23" i="45" s="1"/>
  <c r="BA4" i="45" s="1"/>
  <c r="BA7" i="45" s="1"/>
  <c r="AE15" i="45"/>
  <c r="AE16" i="45" s="1"/>
  <c r="AB15" i="45"/>
  <c r="AB16" i="45" s="1"/>
  <c r="AW8" i="45"/>
  <c r="AV8" i="45"/>
  <c r="AA8" i="45"/>
  <c r="W8" i="45"/>
  <c r="BB7" i="45"/>
  <c r="AW7" i="45"/>
  <c r="AV7" i="45"/>
  <c r="AA7" i="45"/>
  <c r="W7" i="45"/>
  <c r="BB4" i="45"/>
  <c r="AJ4" i="45"/>
  <c r="AJ7" i="45" s="1"/>
  <c r="AE31" i="48" l="1"/>
  <c r="AE35" i="48" s="1"/>
  <c r="S8" i="48"/>
  <c r="AE38" i="48" s="1"/>
  <c r="AE39" i="48" s="1"/>
  <c r="AC39" i="48"/>
  <c r="V31" i="48"/>
  <c r="V35" i="48" s="1"/>
  <c r="V39" i="48" s="1"/>
  <c r="S7" i="48"/>
  <c r="V5" i="47"/>
  <c r="R5" i="47"/>
  <c r="U8" i="47"/>
  <c r="V4" i="47"/>
  <c r="R4" i="47"/>
  <c r="U7" i="47"/>
  <c r="AC5" i="46"/>
  <c r="AB8" i="46"/>
  <c r="S24" i="46"/>
  <c r="T4" i="46"/>
  <c r="AI8" i="46"/>
  <c r="AJ5" i="46"/>
  <c r="AJ8" i="46" s="1"/>
  <c r="X7" i="46"/>
  <c r="Y4" i="46"/>
  <c r="AU4" i="46"/>
  <c r="AU7" i="46" s="1"/>
  <c r="AT7" i="46"/>
  <c r="AI7" i="46"/>
  <c r="AJ4" i="46"/>
  <c r="AJ7" i="46" s="1"/>
  <c r="X8" i="46"/>
  <c r="Y5" i="46"/>
  <c r="BA7" i="46"/>
  <c r="BB4" i="46"/>
  <c r="BB7" i="46" s="1"/>
  <c r="AS8" i="46"/>
  <c r="AT5" i="46"/>
  <c r="AC4" i="46"/>
  <c r="AB7" i="46"/>
  <c r="X24" i="46"/>
  <c r="T5" i="46"/>
  <c r="AT4" i="45"/>
  <c r="AT5" i="45"/>
  <c r="X17" i="45"/>
  <c r="X18" i="45"/>
  <c r="X5" i="45" s="1"/>
  <c r="X19" i="45"/>
  <c r="AB5" i="45" s="1"/>
  <c r="X22" i="45"/>
  <c r="AX5" i="45" s="1"/>
  <c r="AX8" i="45" s="1"/>
  <c r="X23" i="45"/>
  <c r="BA5" i="45" s="1"/>
  <c r="S17" i="45"/>
  <c r="S18" i="45"/>
  <c r="X4" i="45" s="1"/>
  <c r="S19" i="45"/>
  <c r="AB4" i="45" s="1"/>
  <c r="X20" i="45"/>
  <c r="AI5" i="45" s="1"/>
  <c r="S22" i="45"/>
  <c r="AX4" i="45" s="1"/>
  <c r="AX7" i="45" s="1"/>
  <c r="V31" i="44"/>
  <c r="V32" i="44"/>
  <c r="T38" i="44"/>
  <c r="T32" i="44"/>
  <c r="T31" i="44"/>
  <c r="V38" i="44"/>
  <c r="V35" i="44"/>
  <c r="T35" i="44"/>
  <c r="T39" i="44" s="1"/>
  <c r="AE39" i="44"/>
  <c r="AE38" i="44"/>
  <c r="AE35" i="44"/>
  <c r="AE32" i="44"/>
  <c r="AE31" i="44"/>
  <c r="AC31" i="47" l="1"/>
  <c r="AC35" i="47" s="1"/>
  <c r="R8" i="47"/>
  <c r="AC38" i="47" s="1"/>
  <c r="V8" i="47"/>
  <c r="S5" i="47"/>
  <c r="T31" i="47"/>
  <c r="T35" i="47" s="1"/>
  <c r="T39" i="47" s="1"/>
  <c r="R7" i="47"/>
  <c r="V7" i="47"/>
  <c r="S4" i="47"/>
  <c r="U5" i="46"/>
  <c r="Q5" i="46"/>
  <c r="T8" i="46"/>
  <c r="Q8" i="46" s="1"/>
  <c r="AU5" i="46"/>
  <c r="AU8" i="46" s="1"/>
  <c r="AT8" i="46"/>
  <c r="Y8" i="46"/>
  <c r="AC32" i="46" s="1"/>
  <c r="Z5" i="46"/>
  <c r="Z8" i="46" s="1"/>
  <c r="AE32" i="46" s="1"/>
  <c r="Y7" i="46"/>
  <c r="T32" i="46" s="1"/>
  <c r="Z4" i="46"/>
  <c r="Z7" i="46" s="1"/>
  <c r="V32" i="46" s="1"/>
  <c r="U4" i="46"/>
  <c r="Q4" i="46"/>
  <c r="T7" i="46"/>
  <c r="Q7" i="46" s="1"/>
  <c r="AC7" i="46"/>
  <c r="AD4" i="46"/>
  <c r="AD7" i="46" s="1"/>
  <c r="AC8" i="46"/>
  <c r="AD5" i="46"/>
  <c r="AD8" i="46" s="1"/>
  <c r="AC4" i="45"/>
  <c r="AB7" i="45"/>
  <c r="S24" i="45"/>
  <c r="T4" i="45"/>
  <c r="X8" i="45"/>
  <c r="Y5" i="45"/>
  <c r="AU4" i="45"/>
  <c r="AU7" i="45" s="1"/>
  <c r="AT7" i="45"/>
  <c r="AI8" i="45"/>
  <c r="AJ5" i="45"/>
  <c r="AJ8" i="45" s="1"/>
  <c r="Y4" i="45"/>
  <c r="X7" i="45"/>
  <c r="BA8" i="45"/>
  <c r="BB5" i="45"/>
  <c r="BB8" i="45" s="1"/>
  <c r="AC5" i="45"/>
  <c r="AB8" i="45"/>
  <c r="X24" i="45"/>
  <c r="T5" i="45"/>
  <c r="AU5" i="45"/>
  <c r="AU8" i="45" s="1"/>
  <c r="AT8" i="45"/>
  <c r="V39" i="44"/>
  <c r="Y24" i="44"/>
  <c r="T24" i="44"/>
  <c r="AJ19" i="44"/>
  <c r="AJ21" i="44" s="1"/>
  <c r="AE19" i="44"/>
  <c r="AE20" i="44" s="1"/>
  <c r="AE21" i="44" s="1"/>
  <c r="AE22" i="44" s="1"/>
  <c r="AB19" i="44"/>
  <c r="AB20" i="44" s="1"/>
  <c r="AB21" i="44" s="1"/>
  <c r="AB22" i="44" s="1"/>
  <c r="X16" i="44"/>
  <c r="X21" i="44" s="1"/>
  <c r="AS5" i="44" s="1"/>
  <c r="S16" i="44"/>
  <c r="S23" i="44" s="1"/>
  <c r="BA4" i="44" s="1"/>
  <c r="BA7" i="44" s="1"/>
  <c r="AE15" i="44"/>
  <c r="AE16" i="44" s="1"/>
  <c r="AB15" i="44"/>
  <c r="AB16" i="44" s="1"/>
  <c r="AW8" i="44"/>
  <c r="AV8" i="44"/>
  <c r="AA8" i="44"/>
  <c r="W8" i="44"/>
  <c r="AW7" i="44"/>
  <c r="AV7" i="44"/>
  <c r="AA7" i="44"/>
  <c r="W7" i="44"/>
  <c r="V31" i="47" l="1"/>
  <c r="V35" i="47" s="1"/>
  <c r="V39" i="47" s="1"/>
  <c r="S7" i="47"/>
  <c r="AE31" i="47"/>
  <c r="AE35" i="47" s="1"/>
  <c r="S8" i="47"/>
  <c r="AE38" i="47" s="1"/>
  <c r="AC39" i="47"/>
  <c r="U7" i="46"/>
  <c r="V4" i="46"/>
  <c r="R4" i="46"/>
  <c r="U8" i="46"/>
  <c r="V5" i="46"/>
  <c r="R5" i="46"/>
  <c r="AC8" i="45"/>
  <c r="AD5" i="45"/>
  <c r="AD8" i="45" s="1"/>
  <c r="Y7" i="45"/>
  <c r="T32" i="45" s="1"/>
  <c r="Z4" i="45"/>
  <c r="Z7" i="45" s="1"/>
  <c r="U5" i="45"/>
  <c r="Q5" i="45"/>
  <c r="T8" i="45"/>
  <c r="Q8" i="45" s="1"/>
  <c r="V35" i="45" s="1"/>
  <c r="V39" i="45" s="1"/>
  <c r="Y8" i="45"/>
  <c r="AC32" i="45" s="1"/>
  <c r="Z5" i="45"/>
  <c r="Z8" i="45" s="1"/>
  <c r="AE32" i="45" s="1"/>
  <c r="U4" i="45"/>
  <c r="Q4" i="45"/>
  <c r="T7" i="45"/>
  <c r="Q7" i="45" s="1"/>
  <c r="AC7" i="45"/>
  <c r="AD4" i="45"/>
  <c r="AD7" i="45" s="1"/>
  <c r="S20" i="44"/>
  <c r="AI4" i="44" s="1"/>
  <c r="AI7" i="44" s="1"/>
  <c r="S21" i="44"/>
  <c r="AS4" i="44" s="1"/>
  <c r="BB4" i="44"/>
  <c r="BB7" i="44" s="1"/>
  <c r="AS8" i="44"/>
  <c r="AT5" i="44"/>
  <c r="X17" i="44"/>
  <c r="X18" i="44"/>
  <c r="X5" i="44" s="1"/>
  <c r="X19" i="44"/>
  <c r="AB5" i="44" s="1"/>
  <c r="X22" i="44"/>
  <c r="AX5" i="44" s="1"/>
  <c r="AX8" i="44" s="1"/>
  <c r="X23" i="44"/>
  <c r="BA5" i="44" s="1"/>
  <c r="S17" i="44"/>
  <c r="S18" i="44"/>
  <c r="X4" i="44" s="1"/>
  <c r="S19" i="44"/>
  <c r="AB4" i="44" s="1"/>
  <c r="X20" i="44"/>
  <c r="AI5" i="44" s="1"/>
  <c r="S22" i="44"/>
  <c r="AX4" i="44" s="1"/>
  <c r="AX7" i="44" s="1"/>
  <c r="AC35" i="42"/>
  <c r="AD35" i="42"/>
  <c r="AE35" i="42"/>
  <c r="AB35" i="42"/>
  <c r="AG23" i="42"/>
  <c r="AG25" i="42" s="1"/>
  <c r="AE39" i="47" l="1"/>
  <c r="AC31" i="46"/>
  <c r="AC35" i="46" s="1"/>
  <c r="R8" i="46"/>
  <c r="AC38" i="46" s="1"/>
  <c r="S4" i="46"/>
  <c r="V7" i="46"/>
  <c r="S5" i="46"/>
  <c r="V8" i="46"/>
  <c r="T31" i="46"/>
  <c r="T35" i="46" s="1"/>
  <c r="T39" i="46" s="1"/>
  <c r="R7" i="46"/>
  <c r="U7" i="45"/>
  <c r="V4" i="45"/>
  <c r="R4" i="45"/>
  <c r="U8" i="45"/>
  <c r="V5" i="45"/>
  <c r="R5" i="45"/>
  <c r="AJ4" i="44"/>
  <c r="AJ7" i="44" s="1"/>
  <c r="AS7" i="44"/>
  <c r="AT4" i="44"/>
  <c r="AC4" i="44"/>
  <c r="AB7" i="44"/>
  <c r="S24" i="44"/>
  <c r="T4" i="44"/>
  <c r="X8" i="44"/>
  <c r="Y5" i="44"/>
  <c r="Y8" i="44" s="1"/>
  <c r="AC32" i="44" s="1"/>
  <c r="AU5" i="44"/>
  <c r="AU8" i="44" s="1"/>
  <c r="AT8" i="44"/>
  <c r="AI8" i="44"/>
  <c r="AJ5" i="44"/>
  <c r="AJ8" i="44" s="1"/>
  <c r="X7" i="44"/>
  <c r="Y4" i="44"/>
  <c r="BA8" i="44"/>
  <c r="BB5" i="44"/>
  <c r="BB8" i="44" s="1"/>
  <c r="AC5" i="44"/>
  <c r="AB8" i="44"/>
  <c r="X24" i="44"/>
  <c r="T5" i="44"/>
  <c r="Y24" i="42"/>
  <c r="T24" i="42"/>
  <c r="AB20" i="42"/>
  <c r="AB21" i="42" s="1"/>
  <c r="AB22" i="42" s="1"/>
  <c r="AJ19" i="42"/>
  <c r="AJ21" i="42" s="1"/>
  <c r="AE19" i="42"/>
  <c r="AE20" i="42" s="1"/>
  <c r="AE21" i="42" s="1"/>
  <c r="AE22" i="42" s="1"/>
  <c r="AB19" i="42"/>
  <c r="X16" i="42"/>
  <c r="X23" i="42" s="1"/>
  <c r="BA5" i="42" s="1"/>
  <c r="S16" i="42"/>
  <c r="S22" i="42" s="1"/>
  <c r="AX4" i="42" s="1"/>
  <c r="AX7" i="42" s="1"/>
  <c r="AE15" i="42"/>
  <c r="AE16" i="42" s="1"/>
  <c r="AB15" i="42"/>
  <c r="AB16" i="42" s="1"/>
  <c r="AW8" i="42"/>
  <c r="AV8" i="42"/>
  <c r="AA8" i="42"/>
  <c r="W8" i="42"/>
  <c r="AW7" i="42"/>
  <c r="AV7" i="42"/>
  <c r="AA7" i="42"/>
  <c r="W7" i="42"/>
  <c r="AE31" i="46" l="1"/>
  <c r="AE35" i="46" s="1"/>
  <c r="S8" i="46"/>
  <c r="AE38" i="46" s="1"/>
  <c r="V31" i="46"/>
  <c r="V35" i="46" s="1"/>
  <c r="V39" i="46" s="1"/>
  <c r="S7" i="46"/>
  <c r="AC39" i="46"/>
  <c r="S5" i="45"/>
  <c r="V8" i="45"/>
  <c r="T31" i="45"/>
  <c r="T35" i="45" s="1"/>
  <c r="T39" i="45" s="1"/>
  <c r="R7" i="45"/>
  <c r="AC31" i="45"/>
  <c r="AC35" i="45" s="1"/>
  <c r="R8" i="45"/>
  <c r="AC38" i="45" s="1"/>
  <c r="S4" i="45"/>
  <c r="V7" i="45"/>
  <c r="S7" i="45" s="1"/>
  <c r="AU4" i="44"/>
  <c r="AU7" i="44" s="1"/>
  <c r="AT7" i="44"/>
  <c r="AC8" i="44"/>
  <c r="AD5" i="44"/>
  <c r="AD8" i="44" s="1"/>
  <c r="AC7" i="44"/>
  <c r="AD4" i="44"/>
  <c r="AD7" i="44" s="1"/>
  <c r="U5" i="44"/>
  <c r="Q5" i="44"/>
  <c r="T8" i="44"/>
  <c r="Q8" i="44" s="1"/>
  <c r="Y7" i="44"/>
  <c r="Z4" i="44"/>
  <c r="Z7" i="44" s="1"/>
  <c r="Z5" i="44"/>
  <c r="Z8" i="44" s="1"/>
  <c r="U4" i="44"/>
  <c r="U7" i="44" s="1"/>
  <c r="Q4" i="44"/>
  <c r="T7" i="44"/>
  <c r="Q7" i="44" s="1"/>
  <c r="S20" i="42"/>
  <c r="AI4" i="42" s="1"/>
  <c r="S21" i="42"/>
  <c r="AS4" i="42" s="1"/>
  <c r="AS7" i="42" s="1"/>
  <c r="S23" i="42"/>
  <c r="BA4" i="42" s="1"/>
  <c r="BA8" i="42"/>
  <c r="BB5" i="42"/>
  <c r="BB8" i="42" s="1"/>
  <c r="AT4" i="42"/>
  <c r="X17" i="42"/>
  <c r="X18" i="42"/>
  <c r="X5" i="42" s="1"/>
  <c r="X19" i="42"/>
  <c r="AB5" i="42" s="1"/>
  <c r="X22" i="42"/>
  <c r="AX5" i="42" s="1"/>
  <c r="AX8" i="42" s="1"/>
  <c r="S17" i="42"/>
  <c r="S18" i="42"/>
  <c r="X4" i="42" s="1"/>
  <c r="S19" i="42"/>
  <c r="AB4" i="42" s="1"/>
  <c r="X20" i="42"/>
  <c r="AI5" i="42" s="1"/>
  <c r="X21" i="42"/>
  <c r="AS5" i="42" s="1"/>
  <c r="Y24" i="41"/>
  <c r="T24" i="41"/>
  <c r="AG22" i="41"/>
  <c r="AG24" i="41" s="1"/>
  <c r="AE20" i="41"/>
  <c r="AE21" i="41" s="1"/>
  <c r="AE22" i="41" s="1"/>
  <c r="AJ19" i="41"/>
  <c r="AJ21" i="41" s="1"/>
  <c r="AE19" i="41"/>
  <c r="AB19" i="41"/>
  <c r="AB20" i="41" s="1"/>
  <c r="AB21" i="41" s="1"/>
  <c r="AB22" i="41" s="1"/>
  <c r="X16" i="41"/>
  <c r="X22" i="41" s="1"/>
  <c r="AX5" i="41" s="1"/>
  <c r="AX8" i="41" s="1"/>
  <c r="S16" i="41"/>
  <c r="S23" i="41" s="1"/>
  <c r="BA4" i="41" s="1"/>
  <c r="AE15" i="41"/>
  <c r="AE16" i="41" s="1"/>
  <c r="AB15" i="41"/>
  <c r="AB16" i="41" s="1"/>
  <c r="AW8" i="41"/>
  <c r="AV8" i="41"/>
  <c r="AA8" i="41"/>
  <c r="W8" i="41"/>
  <c r="AW7" i="41"/>
  <c r="AV7" i="41"/>
  <c r="AA7" i="41"/>
  <c r="W7" i="41"/>
  <c r="AE39" i="46" l="1"/>
  <c r="AC39" i="45"/>
  <c r="S8" i="45"/>
  <c r="AE38" i="45" s="1"/>
  <c r="AE31" i="45"/>
  <c r="AE35" i="45" s="1"/>
  <c r="U8" i="44"/>
  <c r="V5" i="44"/>
  <c r="R5" i="44"/>
  <c r="R7" i="44"/>
  <c r="V4" i="44"/>
  <c r="R4" i="44"/>
  <c r="AI7" i="42"/>
  <c r="AJ4" i="42"/>
  <c r="AJ7" i="42" s="1"/>
  <c r="BA7" i="42"/>
  <c r="BB4" i="42"/>
  <c r="BB7" i="42" s="1"/>
  <c r="AI8" i="42"/>
  <c r="AJ5" i="42"/>
  <c r="AJ8" i="42" s="1"/>
  <c r="X7" i="42"/>
  <c r="Y4" i="42"/>
  <c r="X8" i="42"/>
  <c r="Y5" i="42"/>
  <c r="AU4" i="42"/>
  <c r="AU7" i="42" s="1"/>
  <c r="AT7" i="42"/>
  <c r="AS8" i="42"/>
  <c r="AT5" i="42"/>
  <c r="AC4" i="42"/>
  <c r="AB7" i="42"/>
  <c r="S24" i="42"/>
  <c r="T4" i="42"/>
  <c r="AC5" i="42"/>
  <c r="AB8" i="42"/>
  <c r="X24" i="42"/>
  <c r="T5" i="42"/>
  <c r="X20" i="41"/>
  <c r="AI5" i="41" s="1"/>
  <c r="AJ5" i="41" s="1"/>
  <c r="AJ8" i="41" s="1"/>
  <c r="X21" i="41"/>
  <c r="AS5" i="41" s="1"/>
  <c r="AT5" i="41" s="1"/>
  <c r="AU5" i="41" s="1"/>
  <c r="AU8" i="41" s="1"/>
  <c r="X23" i="41"/>
  <c r="BA5" i="41" s="1"/>
  <c r="BB5" i="41" s="1"/>
  <c r="BB8" i="41" s="1"/>
  <c r="BB4" i="41"/>
  <c r="BB7" i="41" s="1"/>
  <c r="BA7" i="41"/>
  <c r="AT8" i="41"/>
  <c r="AI8" i="41"/>
  <c r="S17" i="41"/>
  <c r="S18" i="41"/>
  <c r="X4" i="41" s="1"/>
  <c r="S19" i="41"/>
  <c r="AB4" i="41" s="1"/>
  <c r="S22" i="41"/>
  <c r="AX4" i="41" s="1"/>
  <c r="AX7" i="41" s="1"/>
  <c r="X17" i="41"/>
  <c r="X18" i="41"/>
  <c r="X5" i="41" s="1"/>
  <c r="X19" i="41"/>
  <c r="AB5" i="41" s="1"/>
  <c r="S20" i="41"/>
  <c r="AI4" i="41" s="1"/>
  <c r="S21" i="41"/>
  <c r="AS4" i="41" s="1"/>
  <c r="X37" i="40"/>
  <c r="Y37" i="40"/>
  <c r="Z37" i="40"/>
  <c r="W37" i="40"/>
  <c r="AG22" i="40"/>
  <c r="AG24" i="40" s="1"/>
  <c r="AJ21" i="40"/>
  <c r="AJ19" i="40"/>
  <c r="AE19" i="40"/>
  <c r="AE20" i="40" s="1"/>
  <c r="AE21" i="40" s="1"/>
  <c r="AE22" i="40" s="1"/>
  <c r="AE15" i="40"/>
  <c r="AB15" i="40"/>
  <c r="AE16" i="40"/>
  <c r="AB20" i="40"/>
  <c r="AB21" i="40" s="1"/>
  <c r="AB22" i="40" s="1"/>
  <c r="AB19" i="40"/>
  <c r="AE39" i="45" l="1"/>
  <c r="R8" i="44"/>
  <c r="AC38" i="44" s="1"/>
  <c r="AC31" i="44"/>
  <c r="AC35" i="44" s="1"/>
  <c r="S4" i="44"/>
  <c r="V7" i="44"/>
  <c r="S7" i="44" s="1"/>
  <c r="S5" i="44"/>
  <c r="V8" i="44"/>
  <c r="AC8" i="42"/>
  <c r="AD5" i="42"/>
  <c r="AD8" i="42" s="1"/>
  <c r="AC7" i="42"/>
  <c r="AD4" i="42"/>
  <c r="AD7" i="42" s="1"/>
  <c r="U5" i="42"/>
  <c r="Q5" i="42"/>
  <c r="T8" i="42"/>
  <c r="Q8" i="42" s="1"/>
  <c r="U4" i="42"/>
  <c r="Q4" i="42"/>
  <c r="T7" i="42"/>
  <c r="Q7" i="42" s="1"/>
  <c r="AU5" i="42"/>
  <c r="AU8" i="42" s="1"/>
  <c r="AT8" i="42"/>
  <c r="Y8" i="42"/>
  <c r="Z5" i="42"/>
  <c r="Z8" i="42" s="1"/>
  <c r="Y7" i="42"/>
  <c r="Z4" i="42"/>
  <c r="Z7" i="42" s="1"/>
  <c r="BA8" i="41"/>
  <c r="AS8" i="41"/>
  <c r="AT4" i="41"/>
  <c r="AS7" i="41"/>
  <c r="AB8" i="41"/>
  <c r="AC5" i="41"/>
  <c r="X24" i="41"/>
  <c r="T5" i="41"/>
  <c r="AB7" i="41"/>
  <c r="AC4" i="41"/>
  <c r="S24" i="41"/>
  <c r="T4" i="41"/>
  <c r="AJ4" i="41"/>
  <c r="AJ7" i="41" s="1"/>
  <c r="AI7" i="41"/>
  <c r="X8" i="41"/>
  <c r="Y5" i="41"/>
  <c r="X7" i="41"/>
  <c r="Y4" i="41"/>
  <c r="O10" i="39"/>
  <c r="O9" i="39"/>
  <c r="AV8" i="40"/>
  <c r="AW8" i="40"/>
  <c r="AA8" i="40"/>
  <c r="W8" i="40"/>
  <c r="AV7" i="40"/>
  <c r="AW7" i="40"/>
  <c r="AA7" i="40"/>
  <c r="W7" i="40"/>
  <c r="Y24" i="40"/>
  <c r="T24" i="40"/>
  <c r="X16" i="40"/>
  <c r="X23" i="40" s="1"/>
  <c r="BA5" i="40" s="1"/>
  <c r="S16" i="40"/>
  <c r="S23" i="40" s="1"/>
  <c r="BA4" i="40" s="1"/>
  <c r="S8" i="44" l="1"/>
  <c r="AC39" i="44"/>
  <c r="U8" i="42"/>
  <c r="R8" i="42" s="1"/>
  <c r="V5" i="42"/>
  <c r="R5" i="42"/>
  <c r="U7" i="42"/>
  <c r="R7" i="42" s="1"/>
  <c r="V4" i="42"/>
  <c r="R4" i="42"/>
  <c r="Y7" i="41"/>
  <c r="Z4" i="41"/>
  <c r="Z7" i="41" s="1"/>
  <c r="Y8" i="41"/>
  <c r="Z5" i="41"/>
  <c r="Z8" i="41" s="1"/>
  <c r="T7" i="41"/>
  <c r="Q7" i="41" s="1"/>
  <c r="U4" i="41"/>
  <c r="Q4" i="41"/>
  <c r="AD4" i="41"/>
  <c r="AD7" i="41" s="1"/>
  <c r="AC7" i="41"/>
  <c r="T8" i="41"/>
  <c r="Q8" i="41" s="1"/>
  <c r="U5" i="41"/>
  <c r="Q5" i="41"/>
  <c r="AD5" i="41"/>
  <c r="AD8" i="41" s="1"/>
  <c r="AC8" i="41"/>
  <c r="AT7" i="41"/>
  <c r="AU4" i="41"/>
  <c r="AU7" i="41" s="1"/>
  <c r="X17" i="40"/>
  <c r="T5" i="40" s="1"/>
  <c r="U5" i="40" s="1"/>
  <c r="U8" i="40" s="1"/>
  <c r="X18" i="40"/>
  <c r="X5" i="40" s="1"/>
  <c r="X19" i="40"/>
  <c r="X20" i="40"/>
  <c r="X21" i="40"/>
  <c r="X22" i="40"/>
  <c r="S17" i="40"/>
  <c r="T4" i="40" s="1"/>
  <c r="S18" i="40"/>
  <c r="X4" i="40" s="1"/>
  <c r="S19" i="40"/>
  <c r="S20" i="40"/>
  <c r="S21" i="40"/>
  <c r="S22" i="40"/>
  <c r="V5" i="40"/>
  <c r="J50" i="39"/>
  <c r="I50" i="39"/>
  <c r="H50" i="39"/>
  <c r="G50" i="39"/>
  <c r="K38" i="39"/>
  <c r="J38" i="39"/>
  <c r="G38" i="39"/>
  <c r="AA37" i="39"/>
  <c r="Z37" i="39"/>
  <c r="Y37" i="39"/>
  <c r="X37" i="39"/>
  <c r="J37" i="39"/>
  <c r="H37" i="39"/>
  <c r="H38" i="39" s="1"/>
  <c r="Q33" i="39"/>
  <c r="Q34" i="39" s="1"/>
  <c r="Q35" i="39" s="1"/>
  <c r="Q36" i="39" s="1"/>
  <c r="Q29" i="39"/>
  <c r="Q30" i="39" s="1"/>
  <c r="W24" i="39"/>
  <c r="R24" i="39"/>
  <c r="K24" i="39"/>
  <c r="AA22" i="39"/>
  <c r="Q22" i="39"/>
  <c r="Q21" i="39"/>
  <c r="AM6" i="39" s="1"/>
  <c r="AM9" i="39" s="1"/>
  <c r="AA20" i="39"/>
  <c r="J20" i="39"/>
  <c r="Q19" i="39"/>
  <c r="Q18" i="39"/>
  <c r="V6" i="39" s="1"/>
  <c r="V9" i="39" s="1"/>
  <c r="L17" i="39"/>
  <c r="G17" i="39"/>
  <c r="V16" i="39"/>
  <c r="V22" i="39" s="1"/>
  <c r="AR7" i="39" s="1"/>
  <c r="AR10" i="39" s="1"/>
  <c r="Q16" i="39"/>
  <c r="Q23" i="39" s="1"/>
  <c r="AU6" i="39" s="1"/>
  <c r="AU9" i="39" s="1"/>
  <c r="AV6" i="39"/>
  <c r="AV9" i="39" s="1"/>
  <c r="AR6" i="39"/>
  <c r="AR9" i="39" s="1"/>
  <c r="AN6" i="39"/>
  <c r="Z6" i="39"/>
  <c r="W6" i="39"/>
  <c r="S4" i="42" l="1"/>
  <c r="V7" i="42"/>
  <c r="S7" i="42" s="1"/>
  <c r="S5" i="42"/>
  <c r="V8" i="42"/>
  <c r="S8" i="42" s="1"/>
  <c r="V4" i="41"/>
  <c r="R4" i="41"/>
  <c r="U7" i="41"/>
  <c r="R7" i="41" s="1"/>
  <c r="V5" i="41"/>
  <c r="R5" i="41"/>
  <c r="U8" i="41"/>
  <c r="R8" i="41" s="1"/>
  <c r="T8" i="40"/>
  <c r="BA8" i="40"/>
  <c r="AX5" i="40"/>
  <c r="AX8" i="40" s="1"/>
  <c r="AI5" i="40"/>
  <c r="AI8" i="40" s="1"/>
  <c r="AS5" i="40"/>
  <c r="AS8" i="40" s="1"/>
  <c r="AB5" i="40"/>
  <c r="AB8" i="40" s="1"/>
  <c r="BA7" i="40"/>
  <c r="AX4" i="40"/>
  <c r="AX7" i="40" s="1"/>
  <c r="AI4" i="40"/>
  <c r="AI7" i="40" s="1"/>
  <c r="AS4" i="40"/>
  <c r="AS7" i="40" s="1"/>
  <c r="AB4" i="40"/>
  <c r="AB7" i="40" s="1"/>
  <c r="V8" i="40"/>
  <c r="AC4" i="40"/>
  <c r="AC5" i="40"/>
  <c r="U4" i="40"/>
  <c r="T7" i="40"/>
  <c r="S24" i="40"/>
  <c r="X7" i="40"/>
  <c r="AJ5" i="40"/>
  <c r="AJ8" i="40" s="1"/>
  <c r="X24" i="40"/>
  <c r="BB4" i="40"/>
  <c r="BB7" i="40" s="1"/>
  <c r="AT4" i="40"/>
  <c r="AT7" i="40" s="1"/>
  <c r="BB5" i="40"/>
  <c r="BB8" i="40" s="1"/>
  <c r="AA6" i="39"/>
  <c r="Z9" i="39"/>
  <c r="X6" i="39"/>
  <c r="X9" i="39" s="1"/>
  <c r="W9" i="39"/>
  <c r="AO6" i="39"/>
  <c r="AO9" i="39" s="1"/>
  <c r="AN9" i="39"/>
  <c r="V17" i="39"/>
  <c r="V20" i="39"/>
  <c r="AC7" i="39" s="1"/>
  <c r="V23" i="39"/>
  <c r="AU7" i="39" s="1"/>
  <c r="Q17" i="39"/>
  <c r="V18" i="39"/>
  <c r="V7" i="39" s="1"/>
  <c r="V19" i="39"/>
  <c r="Z7" i="39" s="1"/>
  <c r="Q20" i="39"/>
  <c r="AC6" i="39" s="1"/>
  <c r="V21" i="39"/>
  <c r="AM7" i="39" s="1"/>
  <c r="H37" i="37"/>
  <c r="H38" i="37" s="1"/>
  <c r="G38" i="37"/>
  <c r="J38" i="37"/>
  <c r="K38" i="37"/>
  <c r="J37" i="37"/>
  <c r="K24" i="37"/>
  <c r="J20" i="37"/>
  <c r="V8" i="41" l="1"/>
  <c r="S8" i="41" s="1"/>
  <c r="S5" i="41"/>
  <c r="V7" i="41"/>
  <c r="S7" i="41" s="1"/>
  <c r="S4" i="41"/>
  <c r="AT5" i="40"/>
  <c r="AT8" i="40" s="1"/>
  <c r="AJ4" i="40"/>
  <c r="AJ7" i="40" s="1"/>
  <c r="X8" i="40"/>
  <c r="Q8" i="40" s="1"/>
  <c r="Q5" i="40"/>
  <c r="Q7" i="40"/>
  <c r="Q4" i="40"/>
  <c r="U7" i="40"/>
  <c r="V4" i="40"/>
  <c r="AC8" i="40"/>
  <c r="AD5" i="40"/>
  <c r="AD8" i="40" s="1"/>
  <c r="AC7" i="40"/>
  <c r="AD4" i="40"/>
  <c r="AD7" i="40" s="1"/>
  <c r="AU5" i="40"/>
  <c r="AU8" i="40" s="1"/>
  <c r="AU4" i="40"/>
  <c r="AU7" i="40" s="1"/>
  <c r="Y5" i="40"/>
  <c r="Y4" i="40"/>
  <c r="Y7" i="40" s="1"/>
  <c r="AM10" i="39"/>
  <c r="AN7" i="39"/>
  <c r="AA7" i="39"/>
  <c r="Z10" i="39"/>
  <c r="Q24" i="39"/>
  <c r="R6" i="39"/>
  <c r="AC10" i="39"/>
  <c r="AD7" i="39"/>
  <c r="AD10" i="39" s="1"/>
  <c r="AC9" i="39"/>
  <c r="AD6" i="39"/>
  <c r="AD9" i="39" s="1"/>
  <c r="V10" i="39"/>
  <c r="W7" i="39"/>
  <c r="AU10" i="39"/>
  <c r="AV7" i="39"/>
  <c r="AV10" i="39" s="1"/>
  <c r="V24" i="39"/>
  <c r="R7" i="39"/>
  <c r="AA9" i="39"/>
  <c r="AB6" i="39"/>
  <c r="AB9" i="39" s="1"/>
  <c r="Y37" i="37"/>
  <c r="Z37" i="37"/>
  <c r="AA37" i="37"/>
  <c r="X37" i="37"/>
  <c r="Q33" i="37"/>
  <c r="Q29" i="37"/>
  <c r="Q30" i="37"/>
  <c r="H50" i="37"/>
  <c r="I50" i="37"/>
  <c r="J50" i="37"/>
  <c r="G50" i="37"/>
  <c r="L17" i="37"/>
  <c r="G17" i="37"/>
  <c r="Q34" i="37"/>
  <c r="Q35" i="37" s="1"/>
  <c r="Q36" i="37" s="1"/>
  <c r="W24" i="37"/>
  <c r="R24" i="37"/>
  <c r="AA20" i="37"/>
  <c r="AA22" i="37" s="1"/>
  <c r="V16" i="37"/>
  <c r="V22" i="37" s="1"/>
  <c r="AR7" i="37" s="1"/>
  <c r="AR10" i="37" s="1"/>
  <c r="Q16" i="37"/>
  <c r="Q23" i="37" s="1"/>
  <c r="AU6" i="37" s="1"/>
  <c r="V7" i="40" l="1"/>
  <c r="R7" i="40"/>
  <c r="Y8" i="40"/>
  <c r="R8" i="40" s="1"/>
  <c r="R5" i="40"/>
  <c r="R4" i="40"/>
  <c r="Z4" i="40"/>
  <c r="Z7" i="40" s="1"/>
  <c r="Z5" i="40"/>
  <c r="S7" i="39"/>
  <c r="O7" i="39"/>
  <c r="R10" i="39"/>
  <c r="X7" i="39"/>
  <c r="X10" i="39" s="1"/>
  <c r="W10" i="39"/>
  <c r="S6" i="39"/>
  <c r="O6" i="39"/>
  <c r="R9" i="39"/>
  <c r="AO7" i="39"/>
  <c r="AO10" i="39" s="1"/>
  <c r="AN10" i="39"/>
  <c r="AA10" i="39"/>
  <c r="AB7" i="39"/>
  <c r="AB10" i="39" s="1"/>
  <c r="AU9" i="37"/>
  <c r="AV6" i="37"/>
  <c r="AV9" i="37" s="1"/>
  <c r="Q17" i="37"/>
  <c r="Q18" i="37"/>
  <c r="V6" i="37" s="1"/>
  <c r="V19" i="37"/>
  <c r="Z7" i="37" s="1"/>
  <c r="V20" i="37"/>
  <c r="AC7" i="37" s="1"/>
  <c r="Q21" i="37"/>
  <c r="AM6" i="37" s="1"/>
  <c r="Q22" i="37"/>
  <c r="AR6" i="37" s="1"/>
  <c r="AR9" i="37" s="1"/>
  <c r="V23" i="37"/>
  <c r="AU7" i="37" s="1"/>
  <c r="V17" i="37"/>
  <c r="V18" i="37"/>
  <c r="V7" i="37" s="1"/>
  <c r="Q19" i="37"/>
  <c r="Z6" i="37" s="1"/>
  <c r="Q20" i="37"/>
  <c r="AC6" i="37" s="1"/>
  <c r="V21" i="37"/>
  <c r="AM7" i="37" s="1"/>
  <c r="AA47" i="35"/>
  <c r="AB47" i="35"/>
  <c r="AC47" i="35"/>
  <c r="Z47" i="35"/>
  <c r="R47" i="35"/>
  <c r="S47" i="35"/>
  <c r="T47" i="35"/>
  <c r="Q47" i="35"/>
  <c r="AA20" i="35"/>
  <c r="AA22" i="35" s="1"/>
  <c r="Q33" i="35"/>
  <c r="Q34" i="35" s="1"/>
  <c r="Q35" i="35" s="1"/>
  <c r="Q36" i="35" s="1"/>
  <c r="Q29" i="35"/>
  <c r="Q30" i="35" s="1"/>
  <c r="Z8" i="40" l="1"/>
  <c r="S8" i="40" s="1"/>
  <c r="S5" i="40"/>
  <c r="S4" i="40"/>
  <c r="S7" i="40"/>
  <c r="S9" i="39"/>
  <c r="P9" i="39" s="1"/>
  <c r="T6" i="39"/>
  <c r="P6" i="39"/>
  <c r="S10" i="39"/>
  <c r="P10" i="39" s="1"/>
  <c r="T7" i="39"/>
  <c r="P7" i="39"/>
  <c r="AM10" i="37"/>
  <c r="AN7" i="37"/>
  <c r="AA6" i="37"/>
  <c r="Z9" i="37"/>
  <c r="AC10" i="37"/>
  <c r="AD7" i="37"/>
  <c r="AD10" i="37" s="1"/>
  <c r="V9" i="37"/>
  <c r="W6" i="37"/>
  <c r="AC9" i="37"/>
  <c r="AD6" i="37"/>
  <c r="AD9" i="37" s="1"/>
  <c r="V10" i="37"/>
  <c r="W7" i="37"/>
  <c r="AU10" i="37"/>
  <c r="AV7" i="37"/>
  <c r="AV10" i="37" s="1"/>
  <c r="AM9" i="37"/>
  <c r="AN6" i="37"/>
  <c r="AA7" i="37"/>
  <c r="Z10" i="37"/>
  <c r="Q24" i="37"/>
  <c r="R6" i="37"/>
  <c r="V24" i="37"/>
  <c r="R7" i="37"/>
  <c r="AD31" i="36"/>
  <c r="AE31" i="36"/>
  <c r="AF31" i="36"/>
  <c r="AC31" i="36"/>
  <c r="Z19" i="36"/>
  <c r="Z20" i="36" s="1"/>
  <c r="Z21" i="36" s="1"/>
  <c r="Z22" i="36" s="1"/>
  <c r="Z15" i="36"/>
  <c r="Z16" i="36" s="1"/>
  <c r="U31" i="36"/>
  <c r="V31" i="36"/>
  <c r="W31" i="36"/>
  <c r="T31" i="36"/>
  <c r="Q6" i="39" l="1"/>
  <c r="T9" i="39"/>
  <c r="Q9" i="39" s="1"/>
  <c r="Q7" i="39"/>
  <c r="T10" i="39"/>
  <c r="Q10" i="39" s="1"/>
  <c r="L18" i="39" s="1"/>
  <c r="S7" i="37"/>
  <c r="O7" i="37"/>
  <c r="R10" i="37"/>
  <c r="O10" i="37" s="1"/>
  <c r="S6" i="37"/>
  <c r="R9" i="37"/>
  <c r="O9" i="37" s="1"/>
  <c r="O6" i="37"/>
  <c r="AO6" i="37"/>
  <c r="AO9" i="37" s="1"/>
  <c r="AN9" i="37"/>
  <c r="X7" i="37"/>
  <c r="X10" i="37" s="1"/>
  <c r="W10" i="37"/>
  <c r="AO7" i="37"/>
  <c r="AO10" i="37" s="1"/>
  <c r="AN10" i="37"/>
  <c r="AA10" i="37"/>
  <c r="AB7" i="37"/>
  <c r="AB10" i="37" s="1"/>
  <c r="AA9" i="37"/>
  <c r="AB6" i="37"/>
  <c r="AB9" i="37" s="1"/>
  <c r="X6" i="37"/>
  <c r="X9" i="37" s="1"/>
  <c r="W9" i="37"/>
  <c r="AV10" i="36"/>
  <c r="AU10" i="36"/>
  <c r="AR10" i="36"/>
  <c r="AO10" i="36"/>
  <c r="AM10" i="36"/>
  <c r="AD10" i="36"/>
  <c r="AC10" i="36"/>
  <c r="X10" i="36"/>
  <c r="V10" i="36"/>
  <c r="AV9" i="36"/>
  <c r="AU9" i="36"/>
  <c r="AR9" i="36"/>
  <c r="AO9" i="36"/>
  <c r="AM9" i="36"/>
  <c r="AD9" i="36"/>
  <c r="AC9" i="36"/>
  <c r="X9" i="36"/>
  <c r="V9" i="36"/>
  <c r="S9" i="37" l="1"/>
  <c r="P9" i="37" s="1"/>
  <c r="T6" i="37"/>
  <c r="P6" i="37"/>
  <c r="S10" i="37"/>
  <c r="P10" i="37" s="1"/>
  <c r="T7" i="37"/>
  <c r="P7" i="37"/>
  <c r="AA9" i="36"/>
  <c r="AB9" i="36"/>
  <c r="S10" i="36"/>
  <c r="S9" i="36"/>
  <c r="AA10" i="36"/>
  <c r="AB10" i="36"/>
  <c r="R9" i="36"/>
  <c r="W9" i="36"/>
  <c r="Z9" i="36"/>
  <c r="AN9" i="36"/>
  <c r="R10" i="36"/>
  <c r="W10" i="36"/>
  <c r="Z10" i="36"/>
  <c r="AN10" i="36"/>
  <c r="W24" i="35"/>
  <c r="R24" i="35"/>
  <c r="V16" i="35"/>
  <c r="V23" i="35" s="1"/>
  <c r="AU7" i="35" s="1"/>
  <c r="Q16" i="35"/>
  <c r="Q23" i="35" s="1"/>
  <c r="AU6" i="35" s="1"/>
  <c r="AU9" i="35" s="1"/>
  <c r="Q7" i="37" l="1"/>
  <c r="T10" i="37"/>
  <c r="Q10" i="37" s="1"/>
  <c r="L18" i="37" s="1"/>
  <c r="Q6" i="37"/>
  <c r="T9" i="37"/>
  <c r="Q9" i="37" s="1"/>
  <c r="AU10" i="35"/>
  <c r="AV7" i="35"/>
  <c r="AV10" i="35" s="1"/>
  <c r="O10" i="36"/>
  <c r="O9" i="36"/>
  <c r="T9" i="36"/>
  <c r="Q9" i="36" s="1"/>
  <c r="P10" i="36"/>
  <c r="P9" i="36"/>
  <c r="T10" i="36"/>
  <c r="Q10" i="36" s="1"/>
  <c r="Q17" i="35"/>
  <c r="R6" i="35" s="1"/>
  <c r="AV6" i="35"/>
  <c r="AV9" i="35" s="1"/>
  <c r="V17" i="35"/>
  <c r="R7" i="35" s="1"/>
  <c r="V18" i="35"/>
  <c r="V7" i="35" s="1"/>
  <c r="V19" i="35"/>
  <c r="Z7" i="35" s="1"/>
  <c r="Z10" i="35" s="1"/>
  <c r="V20" i="35"/>
  <c r="AC7" i="35" s="1"/>
  <c r="AC10" i="35" s="1"/>
  <c r="V21" i="35"/>
  <c r="AM7" i="35" s="1"/>
  <c r="V22" i="35"/>
  <c r="AR7" i="35" s="1"/>
  <c r="AR10" i="35" s="1"/>
  <c r="Q18" i="35"/>
  <c r="V6" i="35" s="1"/>
  <c r="Q19" i="35"/>
  <c r="Z6" i="35" s="1"/>
  <c r="Z9" i="35" s="1"/>
  <c r="Q20" i="35"/>
  <c r="AC6" i="35" s="1"/>
  <c r="Q21" i="35"/>
  <c r="AM6" i="35" s="1"/>
  <c r="Q22" i="35"/>
  <c r="AR6" i="35" s="1"/>
  <c r="AR9" i="35" s="1"/>
  <c r="AV7" i="34"/>
  <c r="AV10" i="34" s="1"/>
  <c r="AN7" i="34"/>
  <c r="AO7" i="34" s="1"/>
  <c r="AO10" i="34" s="1"/>
  <c r="AD7" i="34"/>
  <c r="AA7" i="34"/>
  <c r="AB7" i="34" s="1"/>
  <c r="AB10" i="34" s="1"/>
  <c r="W7" i="34"/>
  <c r="X7" i="34" s="1"/>
  <c r="X10" i="34" s="1"/>
  <c r="S7" i="34"/>
  <c r="T7" i="34" s="1"/>
  <c r="T10" i="34" s="1"/>
  <c r="Q16" i="34"/>
  <c r="Q22" i="34" s="1"/>
  <c r="V16" i="34"/>
  <c r="V22" i="34" s="1"/>
  <c r="W24" i="34"/>
  <c r="V19" i="34"/>
  <c r="AD6" i="34"/>
  <c r="Q23" i="34"/>
  <c r="Q19" i="34"/>
  <c r="R24" i="34"/>
  <c r="AV6" i="34"/>
  <c r="AV9" i="34" s="1"/>
  <c r="AN6" i="34"/>
  <c r="AN9" i="34" s="1"/>
  <c r="AA6" i="34"/>
  <c r="AB6" i="34" s="1"/>
  <c r="AB9" i="34" s="1"/>
  <c r="W6" i="34"/>
  <c r="X6" i="34" s="1"/>
  <c r="X9" i="34" s="1"/>
  <c r="S6" i="34"/>
  <c r="S9" i="34" s="1"/>
  <c r="W9" i="34"/>
  <c r="AU10" i="34"/>
  <c r="AR10" i="34"/>
  <c r="AM10" i="34"/>
  <c r="AD10" i="34"/>
  <c r="AC10" i="34"/>
  <c r="Z10" i="34"/>
  <c r="W10" i="34"/>
  <c r="V10" i="34"/>
  <c r="R10" i="34"/>
  <c r="AU9" i="34"/>
  <c r="AR9" i="34"/>
  <c r="AM9" i="34"/>
  <c r="AD9" i="34"/>
  <c r="AC9" i="34"/>
  <c r="Z9" i="34"/>
  <c r="V9" i="34"/>
  <c r="R9" i="34"/>
  <c r="O7" i="34"/>
  <c r="O6" i="34"/>
  <c r="AA10" i="34" l="1"/>
  <c r="AN10" i="34"/>
  <c r="AN7" i="35"/>
  <c r="AM10" i="35"/>
  <c r="O7" i="35"/>
  <c r="R10" i="35"/>
  <c r="S7" i="35"/>
  <c r="AA7" i="35"/>
  <c r="AA10" i="35" s="1"/>
  <c r="V10" i="35"/>
  <c r="W7" i="35"/>
  <c r="AD7" i="35"/>
  <c r="AD10" i="35" s="1"/>
  <c r="O6" i="35"/>
  <c r="AN6" i="35"/>
  <c r="AM9" i="35"/>
  <c r="R9" i="35"/>
  <c r="AC9" i="35"/>
  <c r="AD6" i="35"/>
  <c r="AD9" i="35" s="1"/>
  <c r="W6" i="35"/>
  <c r="V9" i="35"/>
  <c r="AA6" i="35"/>
  <c r="AA9" i="35" s="1"/>
  <c r="S6" i="35"/>
  <c r="Q24" i="35"/>
  <c r="V24" i="35"/>
  <c r="V17" i="34"/>
  <c r="S10" i="34"/>
  <c r="Q7" i="34"/>
  <c r="P10" i="34"/>
  <c r="P7" i="34"/>
  <c r="Q10" i="34"/>
  <c r="Q17" i="34"/>
  <c r="Q21" i="34"/>
  <c r="O10" i="34"/>
  <c r="Q18" i="34"/>
  <c r="Q20" i="34"/>
  <c r="V18" i="34"/>
  <c r="V20" i="34"/>
  <c r="V21" i="34"/>
  <c r="V23" i="34"/>
  <c r="AO6" i="34"/>
  <c r="AO9" i="34" s="1"/>
  <c r="AA9" i="34"/>
  <c r="T6" i="34"/>
  <c r="T9" i="34" s="1"/>
  <c r="Q9" i="34" s="1"/>
  <c r="O9" i="34"/>
  <c r="Q6" i="34"/>
  <c r="P6" i="34"/>
  <c r="P9" i="34"/>
  <c r="AV12" i="33"/>
  <c r="AU12" i="33"/>
  <c r="AR12" i="33"/>
  <c r="AO12" i="33"/>
  <c r="AN12" i="33"/>
  <c r="AM12" i="33"/>
  <c r="AD12" i="33"/>
  <c r="AC12" i="33"/>
  <c r="AB12" i="33"/>
  <c r="AA12" i="33"/>
  <c r="Z12" i="33"/>
  <c r="X12" i="33"/>
  <c r="W12" i="33"/>
  <c r="V12" i="33"/>
  <c r="T12" i="33"/>
  <c r="S12" i="33"/>
  <c r="R12" i="33"/>
  <c r="AV11" i="33"/>
  <c r="AU11" i="33"/>
  <c r="AR11" i="33"/>
  <c r="AO11" i="33"/>
  <c r="AN11" i="33"/>
  <c r="AM11" i="33"/>
  <c r="AD11" i="33"/>
  <c r="AC11" i="33"/>
  <c r="AB11" i="33"/>
  <c r="AA11" i="33"/>
  <c r="Z11" i="33"/>
  <c r="X11" i="33"/>
  <c r="W11" i="33"/>
  <c r="V11" i="33"/>
  <c r="T11" i="33"/>
  <c r="S11" i="33"/>
  <c r="R11" i="33"/>
  <c r="AN7" i="33"/>
  <c r="AO7" i="33" s="1"/>
  <c r="AB7" i="33"/>
  <c r="AA7" i="33"/>
  <c r="X7" i="33"/>
  <c r="W7" i="33"/>
  <c r="T7" i="33"/>
  <c r="S7" i="33"/>
  <c r="O12" i="33" l="1"/>
  <c r="Q12" i="33"/>
  <c r="AB7" i="35"/>
  <c r="AB6" i="35"/>
  <c r="AB9" i="35" s="1"/>
  <c r="O10" i="35"/>
  <c r="S10" i="35"/>
  <c r="T7" i="35"/>
  <c r="T10" i="35" s="1"/>
  <c r="P7" i="35"/>
  <c r="AO7" i="35"/>
  <c r="AO10" i="35" s="1"/>
  <c r="AN10" i="35"/>
  <c r="W10" i="35"/>
  <c r="X7" i="35"/>
  <c r="X10" i="35" s="1"/>
  <c r="O9" i="35"/>
  <c r="X6" i="35"/>
  <c r="X9" i="35" s="1"/>
  <c r="W9" i="35"/>
  <c r="AO6" i="35"/>
  <c r="AO9" i="35" s="1"/>
  <c r="AN9" i="35"/>
  <c r="AB10" i="35"/>
  <c r="S9" i="35"/>
  <c r="P9" i="35" s="1"/>
  <c r="P6" i="35"/>
  <c r="T6" i="35"/>
  <c r="V24" i="34"/>
  <c r="Q24" i="34"/>
  <c r="O11" i="33"/>
  <c r="Q11" i="33"/>
  <c r="P11" i="33"/>
  <c r="P12" i="33"/>
  <c r="R15" i="32"/>
  <c r="Q7" i="35" l="1"/>
  <c r="Q10" i="35"/>
  <c r="P10" i="35"/>
  <c r="Q6" i="35"/>
  <c r="T9" i="35"/>
  <c r="Q9" i="35" s="1"/>
  <c r="AC16" i="32"/>
  <c r="AC17" i="32" l="1"/>
  <c r="AD16" i="32" s="1"/>
  <c r="AR16" i="32"/>
  <c r="AS16" i="32" s="1"/>
  <c r="AU16" i="32"/>
  <c r="AV16" i="32" s="1"/>
  <c r="R16" i="32"/>
  <c r="S16" i="32" s="1"/>
  <c r="T16" i="32" s="1"/>
  <c r="Z16" i="32"/>
  <c r="AA16" i="32" s="1"/>
  <c r="AB16" i="32" s="1"/>
  <c r="AM16" i="32"/>
  <c r="AN16" i="32" s="1"/>
  <c r="AO16" i="32" s="1"/>
  <c r="V16" i="32"/>
  <c r="W16" i="32" s="1"/>
  <c r="X16" i="32" s="1"/>
  <c r="AV12" i="32"/>
  <c r="AU12" i="32"/>
  <c r="AR12" i="32"/>
  <c r="AO12" i="32"/>
  <c r="AN12" i="32"/>
  <c r="AM12" i="32"/>
  <c r="AD12" i="32"/>
  <c r="AC12" i="32"/>
  <c r="AB12" i="32"/>
  <c r="AA12" i="32"/>
  <c r="Z12" i="32"/>
  <c r="X12" i="32"/>
  <c r="W12" i="32"/>
  <c r="V12" i="32"/>
  <c r="T12" i="32"/>
  <c r="S12" i="32"/>
  <c r="R12" i="32"/>
  <c r="O12" i="32" s="1"/>
  <c r="AV11" i="32"/>
  <c r="AU11" i="32"/>
  <c r="AR11" i="32"/>
  <c r="AO11" i="32"/>
  <c r="AN11" i="32"/>
  <c r="AM11" i="32"/>
  <c r="AD11" i="32"/>
  <c r="AC11" i="32"/>
  <c r="AB11" i="32"/>
  <c r="AA11" i="32"/>
  <c r="Z11" i="32"/>
  <c r="X11" i="32"/>
  <c r="W11" i="32"/>
  <c r="V11" i="32"/>
  <c r="T11" i="32"/>
  <c r="S11" i="32"/>
  <c r="R11" i="32"/>
  <c r="Q8" i="32"/>
  <c r="P8" i="32"/>
  <c r="O8" i="32"/>
  <c r="AN7" i="32"/>
  <c r="AO7" i="32" s="1"/>
  <c r="AA7" i="32"/>
  <c r="AB7" i="32" s="1"/>
  <c r="W7" i="32"/>
  <c r="X7" i="32" s="1"/>
  <c r="S7" i="32"/>
  <c r="T7" i="32" s="1"/>
  <c r="Q6" i="32"/>
  <c r="P6" i="32"/>
  <c r="O6" i="32"/>
  <c r="P12" i="32" l="1"/>
  <c r="Q12" i="32"/>
  <c r="Q11" i="32"/>
  <c r="P11" i="32"/>
  <c r="O11" i="32"/>
  <c r="Z9" i="31"/>
  <c r="P10" i="31"/>
  <c r="Q10" i="31"/>
  <c r="R10" i="31"/>
  <c r="S10" i="31"/>
  <c r="T10" i="31"/>
  <c r="U10" i="31"/>
  <c r="V10" i="31"/>
  <c r="W10" i="31"/>
  <c r="X10" i="31"/>
  <c r="Y10" i="31"/>
  <c r="Z10" i="31"/>
  <c r="AA10" i="31"/>
  <c r="AB10" i="31"/>
  <c r="AC10" i="31"/>
  <c r="AD10" i="31"/>
  <c r="AE10" i="31"/>
  <c r="AF10" i="31"/>
  <c r="AG10" i="31"/>
  <c r="AH10" i="31"/>
  <c r="AI10" i="31"/>
  <c r="AJ10" i="31"/>
  <c r="AK10" i="31"/>
  <c r="AL10" i="31"/>
  <c r="AM10" i="31"/>
  <c r="AN10" i="31"/>
  <c r="AO10" i="31"/>
  <c r="AP10" i="31"/>
  <c r="AQ10" i="31"/>
  <c r="AR10" i="31"/>
  <c r="AS10" i="31"/>
  <c r="AT10" i="31"/>
  <c r="AU10" i="31"/>
  <c r="AV10" i="31"/>
  <c r="AW10" i="31"/>
  <c r="AX10" i="31"/>
  <c r="AY10" i="31"/>
  <c r="AZ10" i="31"/>
  <c r="BA10" i="31"/>
  <c r="BB10" i="31"/>
  <c r="BC10" i="31"/>
  <c r="BD10" i="31"/>
  <c r="BE10" i="31"/>
  <c r="BF10" i="31"/>
  <c r="BG10" i="31"/>
  <c r="BH10" i="31"/>
  <c r="BI10" i="31"/>
  <c r="BJ10" i="31"/>
  <c r="BK10" i="31"/>
  <c r="BL10" i="31"/>
  <c r="BM10" i="31"/>
  <c r="BN10" i="31"/>
  <c r="BO10" i="31"/>
  <c r="BP10" i="31"/>
  <c r="BQ10" i="31"/>
  <c r="BR10" i="31"/>
  <c r="BS10" i="31"/>
  <c r="O10" i="31"/>
  <c r="N10" i="31"/>
  <c r="R9" i="31"/>
  <c r="S9" i="31"/>
  <c r="T9" i="31"/>
  <c r="U9" i="31"/>
  <c r="V9" i="31"/>
  <c r="W9" i="31"/>
  <c r="X9" i="31"/>
  <c r="Y9" i="31"/>
  <c r="AA9" i="31"/>
  <c r="AB9" i="31"/>
  <c r="AC9" i="31"/>
  <c r="AD9" i="31"/>
  <c r="AE9" i="31"/>
  <c r="AF9" i="31"/>
  <c r="AG9" i="31"/>
  <c r="AH9" i="31"/>
  <c r="AI9" i="31"/>
  <c r="AJ9" i="31"/>
  <c r="AK9" i="31"/>
  <c r="AL9" i="31"/>
  <c r="AM9" i="31"/>
  <c r="AN9" i="31"/>
  <c r="AO9" i="31"/>
  <c r="AP9" i="31"/>
  <c r="AQ9" i="31"/>
  <c r="AR9" i="31"/>
  <c r="AS9" i="31"/>
  <c r="AT9" i="31"/>
  <c r="AU9" i="31"/>
  <c r="AV9" i="31"/>
  <c r="AW9" i="31"/>
  <c r="AX9" i="31"/>
  <c r="AY9" i="31"/>
  <c r="AZ9" i="31"/>
  <c r="BA9" i="31"/>
  <c r="BB9" i="31"/>
  <c r="BC9" i="31"/>
  <c r="BD9" i="31"/>
  <c r="BE9" i="31"/>
  <c r="BF9" i="31"/>
  <c r="BG9" i="31"/>
  <c r="BH9" i="31"/>
  <c r="BI9" i="31"/>
  <c r="BJ9" i="31"/>
  <c r="BK9" i="31"/>
  <c r="BL9" i="31"/>
  <c r="BM9" i="31"/>
  <c r="BN9" i="31"/>
  <c r="BO9" i="31"/>
  <c r="BP9" i="31"/>
  <c r="BQ9" i="31"/>
  <c r="BR9" i="31"/>
  <c r="BS9" i="31"/>
  <c r="Q9" i="31"/>
  <c r="P9" i="31"/>
  <c r="O9" i="31"/>
  <c r="N9" i="31"/>
  <c r="X11" i="30" l="1"/>
  <c r="Z11" i="30"/>
  <c r="AA11" i="30"/>
  <c r="AB11" i="30"/>
  <c r="AC11" i="30"/>
  <c r="AD11" i="30"/>
  <c r="W11" i="30"/>
  <c r="V11" i="30"/>
  <c r="T11" i="30"/>
  <c r="S11" i="30"/>
  <c r="R11" i="30"/>
  <c r="Q6" i="30"/>
  <c r="P6" i="30"/>
  <c r="O6" i="30"/>
  <c r="Q8" i="30"/>
  <c r="AN7" i="30"/>
  <c r="AO7" i="30" s="1"/>
  <c r="AN5" i="30"/>
  <c r="AO5" i="30" s="1"/>
  <c r="AD7" i="30"/>
  <c r="AD5" i="30"/>
  <c r="AA7" i="30"/>
  <c r="AB7" i="30" s="1"/>
  <c r="AA5" i="30"/>
  <c r="AB5" i="30" s="1"/>
  <c r="W7" i="30"/>
  <c r="X7" i="30" s="1"/>
  <c r="W5" i="30"/>
  <c r="X5" i="30" s="1"/>
  <c r="S7" i="30"/>
  <c r="T7" i="30" s="1"/>
  <c r="S5" i="30"/>
  <c r="T5" i="30" s="1"/>
  <c r="AV12" i="30" l="1"/>
  <c r="AU12" i="30"/>
  <c r="AR12" i="30"/>
  <c r="AO12" i="30"/>
  <c r="AN12" i="30"/>
  <c r="AM12" i="30"/>
  <c r="AD12" i="30"/>
  <c r="AC12" i="30"/>
  <c r="AB12" i="30"/>
  <c r="AA12" i="30"/>
  <c r="Z12" i="30"/>
  <c r="X12" i="30"/>
  <c r="W12" i="30"/>
  <c r="V12" i="30"/>
  <c r="T12" i="30"/>
  <c r="S12" i="30"/>
  <c r="R12" i="30"/>
  <c r="AV11" i="30"/>
  <c r="AU11" i="30"/>
  <c r="AR11" i="30"/>
  <c r="AO11" i="30"/>
  <c r="AN11" i="30"/>
  <c r="AM11" i="30"/>
  <c r="P8" i="30"/>
  <c r="O8" i="30"/>
  <c r="P12" i="30" l="1"/>
  <c r="O12" i="30"/>
  <c r="Q12" i="30"/>
  <c r="P11" i="30"/>
  <c r="O11" i="30"/>
  <c r="Q11" i="30"/>
  <c r="AV14" i="28"/>
  <c r="AU14" i="28"/>
  <c r="AR14" i="28"/>
  <c r="AO14" i="28"/>
  <c r="AN14" i="28"/>
  <c r="AM14" i="28"/>
  <c r="AD14" i="28"/>
  <c r="AC14" i="28"/>
  <c r="AB14" i="28"/>
  <c r="AA14" i="28"/>
  <c r="Z14" i="28"/>
  <c r="X14" i="28"/>
  <c r="W14" i="28"/>
  <c r="V14" i="28"/>
  <c r="T14" i="28"/>
  <c r="S14" i="28"/>
  <c r="R14" i="28"/>
  <c r="O14" i="28" s="1"/>
  <c r="O18" i="28" s="1"/>
  <c r="AV12" i="28"/>
  <c r="AU12" i="28"/>
  <c r="AR12" i="28"/>
  <c r="AO12" i="28"/>
  <c r="AN12" i="28"/>
  <c r="AM12" i="28"/>
  <c r="AD12" i="28"/>
  <c r="AC12" i="28"/>
  <c r="AB12" i="28"/>
  <c r="AA12" i="28"/>
  <c r="Z12" i="28"/>
  <c r="X12" i="28"/>
  <c r="W12" i="28"/>
  <c r="V12" i="28"/>
  <c r="T12" i="28"/>
  <c r="S12" i="28"/>
  <c r="R12" i="28"/>
  <c r="Q8" i="28"/>
  <c r="P8" i="28"/>
  <c r="O8" i="28"/>
  <c r="Q6" i="28"/>
  <c r="P6" i="28"/>
  <c r="O6" i="28"/>
  <c r="O12" i="28" l="1"/>
  <c r="O17" i="28" s="1"/>
  <c r="Q12" i="28"/>
  <c r="Q17" i="28" s="1"/>
  <c r="P12" i="28"/>
  <c r="P17" i="28" s="1"/>
  <c r="P14" i="28"/>
  <c r="P18" i="28" s="1"/>
  <c r="Q14" i="28"/>
  <c r="Q18" i="28" s="1"/>
  <c r="AV14" i="27"/>
  <c r="AU14" i="27"/>
  <c r="AR14" i="27"/>
  <c r="AO14" i="27"/>
  <c r="AN14" i="27"/>
  <c r="AM14" i="27"/>
  <c r="AD14" i="27"/>
  <c r="AC14" i="27"/>
  <c r="AB14" i="27"/>
  <c r="AA14" i="27"/>
  <c r="Z14" i="27"/>
  <c r="X14" i="27"/>
  <c r="W14" i="27"/>
  <c r="V14" i="27"/>
  <c r="T14" i="27"/>
  <c r="S14" i="27"/>
  <c r="R14" i="27"/>
  <c r="AV12" i="27"/>
  <c r="AU12" i="27"/>
  <c r="AR12" i="27"/>
  <c r="AO12" i="27"/>
  <c r="AN12" i="27"/>
  <c r="AM12" i="27"/>
  <c r="AD12" i="27"/>
  <c r="AC12" i="27"/>
  <c r="AB12" i="27"/>
  <c r="AA12" i="27"/>
  <c r="Z12" i="27"/>
  <c r="X12" i="27"/>
  <c r="W12" i="27"/>
  <c r="P12" i="27" s="1"/>
  <c r="V12" i="27"/>
  <c r="T12" i="27"/>
  <c r="S12" i="27"/>
  <c r="R12" i="27"/>
  <c r="Q8" i="27"/>
  <c r="P8" i="27"/>
  <c r="O8" i="27"/>
  <c r="Q6" i="27"/>
  <c r="P6" i="27"/>
  <c r="O6" i="27"/>
  <c r="P14" i="27" l="1"/>
  <c r="Q14" i="27"/>
  <c r="O14" i="27"/>
  <c r="O12" i="27"/>
  <c r="Q12" i="27"/>
  <c r="V25" i="26"/>
  <c r="X23" i="26"/>
  <c r="X20" i="26"/>
  <c r="AV14" i="26"/>
  <c r="AU14" i="26"/>
  <c r="AR14" i="26"/>
  <c r="AO14" i="26"/>
  <c r="AN14" i="26"/>
  <c r="AM14" i="26"/>
  <c r="AD14" i="26"/>
  <c r="AC14" i="26"/>
  <c r="AB14" i="26"/>
  <c r="AA14" i="26"/>
  <c r="Z14" i="26"/>
  <c r="X14" i="26"/>
  <c r="W14" i="26"/>
  <c r="V14" i="26"/>
  <c r="T14" i="26"/>
  <c r="S14" i="26"/>
  <c r="R14" i="26"/>
  <c r="AV12" i="26"/>
  <c r="AU12" i="26"/>
  <c r="AR12" i="26"/>
  <c r="AO12" i="26"/>
  <c r="AN12" i="26"/>
  <c r="AM12" i="26"/>
  <c r="AD12" i="26"/>
  <c r="AC12" i="26"/>
  <c r="AB12" i="26"/>
  <c r="AA12" i="26"/>
  <c r="Z12" i="26"/>
  <c r="X12" i="26"/>
  <c r="W12" i="26"/>
  <c r="V12" i="26"/>
  <c r="T12" i="26"/>
  <c r="S12" i="26"/>
  <c r="R12" i="26"/>
  <c r="P12" i="26"/>
  <c r="Q8" i="26"/>
  <c r="P8" i="26"/>
  <c r="O8" i="26"/>
  <c r="Q6" i="26"/>
  <c r="P6" i="26"/>
  <c r="O6" i="26"/>
  <c r="Q12" i="26" l="1"/>
  <c r="X25" i="26"/>
  <c r="O14" i="26"/>
  <c r="Q14" i="26"/>
  <c r="P14" i="26"/>
  <c r="O12" i="26"/>
  <c r="X23" i="25"/>
  <c r="X20" i="25"/>
  <c r="V25" i="25"/>
  <c r="X25" i="25" l="1"/>
  <c r="AV14" i="25"/>
  <c r="AU14" i="25"/>
  <c r="AR14" i="25"/>
  <c r="AO14" i="25"/>
  <c r="AN14" i="25"/>
  <c r="AM14" i="25"/>
  <c r="AD14" i="25"/>
  <c r="AC14" i="25"/>
  <c r="AB14" i="25"/>
  <c r="AA14" i="25"/>
  <c r="Z14" i="25"/>
  <c r="X14" i="25"/>
  <c r="W14" i="25"/>
  <c r="V14" i="25"/>
  <c r="T14" i="25"/>
  <c r="S14" i="25"/>
  <c r="R14" i="25"/>
  <c r="AV12" i="25"/>
  <c r="AU12" i="25"/>
  <c r="AR12" i="25"/>
  <c r="AO12" i="25"/>
  <c r="AN12" i="25"/>
  <c r="AM12" i="25"/>
  <c r="AD12" i="25"/>
  <c r="AC12" i="25"/>
  <c r="AB12" i="25"/>
  <c r="AA12" i="25"/>
  <c r="Z12" i="25"/>
  <c r="X12" i="25"/>
  <c r="W12" i="25"/>
  <c r="V12" i="25"/>
  <c r="T12" i="25"/>
  <c r="S12" i="25"/>
  <c r="R12" i="25"/>
  <c r="Q8" i="25"/>
  <c r="P8" i="25"/>
  <c r="O8" i="25"/>
  <c r="Q6" i="25"/>
  <c r="P6" i="25"/>
  <c r="O6" i="25"/>
  <c r="O14" i="25" l="1"/>
  <c r="Q14" i="25"/>
  <c r="P14" i="25"/>
  <c r="O12" i="25"/>
  <c r="P12" i="25"/>
  <c r="Q12" i="25"/>
  <c r="T40" i="24"/>
  <c r="U37" i="24"/>
  <c r="Z31" i="24"/>
  <c r="Q24" i="24" l="1"/>
  <c r="P24" i="24"/>
  <c r="O24" i="24"/>
  <c r="Q22" i="24"/>
  <c r="P22" i="24"/>
  <c r="O22" i="24"/>
  <c r="AV13" i="24"/>
  <c r="AU13" i="24"/>
  <c r="AR13" i="24"/>
  <c r="AO13" i="24"/>
  <c r="AN13" i="24"/>
  <c r="AM13" i="24"/>
  <c r="AD13" i="24"/>
  <c r="AC13" i="24"/>
  <c r="AB13" i="24"/>
  <c r="AA13" i="24"/>
  <c r="Z13" i="24"/>
  <c r="X13" i="24"/>
  <c r="W13" i="24"/>
  <c r="P13" i="24" s="1"/>
  <c r="V13" i="24"/>
  <c r="T13" i="24"/>
  <c r="S13" i="24"/>
  <c r="R13" i="24"/>
  <c r="AV11" i="24"/>
  <c r="AU11" i="24"/>
  <c r="AR11" i="24"/>
  <c r="AO11" i="24"/>
  <c r="AN11" i="24"/>
  <c r="AM11" i="24"/>
  <c r="AD11" i="24"/>
  <c r="AC11" i="24"/>
  <c r="AB11" i="24"/>
  <c r="AA11" i="24"/>
  <c r="Z11" i="24"/>
  <c r="X11" i="24"/>
  <c r="W11" i="24"/>
  <c r="V11" i="24"/>
  <c r="T11" i="24"/>
  <c r="S11" i="24"/>
  <c r="R11" i="24"/>
  <c r="Q8" i="24"/>
  <c r="P8" i="24"/>
  <c r="O8" i="24"/>
  <c r="Q6" i="24"/>
  <c r="P6" i="24"/>
  <c r="O6" i="24"/>
  <c r="Q13" i="24" l="1"/>
  <c r="O13" i="24"/>
  <c r="Q11" i="24"/>
  <c r="P11" i="24"/>
  <c r="O11" i="24"/>
  <c r="AN7" i="22"/>
  <c r="AO7" i="22" s="1"/>
  <c r="AD7" i="22"/>
  <c r="AA7" i="22"/>
  <c r="AB7" i="22" s="1"/>
  <c r="W7" i="22"/>
  <c r="X7" i="22" s="1"/>
  <c r="S7" i="22"/>
  <c r="T7" i="22" s="1"/>
  <c r="R9" i="22"/>
  <c r="I16" i="22" l="1"/>
  <c r="L37" i="22"/>
  <c r="J12" i="15"/>
  <c r="AC9" i="22"/>
  <c r="AO9" i="22"/>
  <c r="AA9" i="22"/>
  <c r="W9" i="22"/>
  <c r="S9" i="22"/>
  <c r="AN9" i="22"/>
  <c r="AO5" i="22" s="1"/>
  <c r="AB9" i="22"/>
  <c r="Z9" i="22"/>
  <c r="X9" i="22"/>
  <c r="V9" i="22"/>
  <c r="T9" i="22"/>
  <c r="T5" i="22" s="1"/>
  <c r="AM9" i="22"/>
  <c r="AU9" i="22"/>
  <c r="Q22" i="22"/>
  <c r="P22" i="22"/>
  <c r="O22" i="22"/>
  <c r="Q20" i="22"/>
  <c r="P20" i="22"/>
  <c r="O20" i="22"/>
  <c r="AV13" i="22"/>
  <c r="AU13" i="22"/>
  <c r="AR13" i="22"/>
  <c r="AO13" i="22"/>
  <c r="AN13" i="22"/>
  <c r="AM13" i="22"/>
  <c r="AD13" i="22"/>
  <c r="AC13" i="22"/>
  <c r="AB13" i="22"/>
  <c r="AA13" i="22"/>
  <c r="Z13" i="22"/>
  <c r="X13" i="22"/>
  <c r="W13" i="22"/>
  <c r="V13" i="22"/>
  <c r="T13" i="22"/>
  <c r="S13" i="22"/>
  <c r="R13" i="22"/>
  <c r="AV11" i="22"/>
  <c r="AU11" i="22"/>
  <c r="AR11" i="22"/>
  <c r="AO11" i="22"/>
  <c r="AN11" i="22"/>
  <c r="AM11" i="22"/>
  <c r="AD11" i="22"/>
  <c r="AC11" i="22"/>
  <c r="AB11" i="22"/>
  <c r="AA11" i="22"/>
  <c r="Z11" i="22"/>
  <c r="X11" i="22"/>
  <c r="W11" i="22"/>
  <c r="V11" i="22"/>
  <c r="T11" i="22"/>
  <c r="S11" i="22"/>
  <c r="R11" i="22"/>
  <c r="Q8" i="22"/>
  <c r="P8" i="22"/>
  <c r="O8" i="22"/>
  <c r="Q6" i="22"/>
  <c r="P6" i="22"/>
  <c r="O6" i="22"/>
  <c r="Q13" i="22" l="1"/>
  <c r="O13" i="22"/>
  <c r="X5" i="22"/>
  <c r="P13" i="22"/>
  <c r="AB5" i="22"/>
  <c r="Q11" i="22"/>
  <c r="P11" i="22"/>
  <c r="O11" i="22"/>
  <c r="AV13" i="21"/>
  <c r="AU13" i="21"/>
  <c r="AR13" i="21"/>
  <c r="AO13" i="21"/>
  <c r="AN13" i="21"/>
  <c r="AM13" i="21"/>
  <c r="AD13" i="21"/>
  <c r="AC13" i="21"/>
  <c r="AB13" i="21"/>
  <c r="AA13" i="21"/>
  <c r="Z13" i="21"/>
  <c r="X13" i="21"/>
  <c r="W13" i="21"/>
  <c r="V13" i="21"/>
  <c r="T13" i="21"/>
  <c r="S13" i="21"/>
  <c r="R13" i="21"/>
  <c r="AV11" i="21"/>
  <c r="AU11" i="21"/>
  <c r="AR11" i="21"/>
  <c r="AO11" i="21"/>
  <c r="AN11" i="21"/>
  <c r="AM11" i="21"/>
  <c r="AD11" i="21"/>
  <c r="AC11" i="21"/>
  <c r="AB11" i="21"/>
  <c r="AA11" i="21"/>
  <c r="Z11" i="21"/>
  <c r="X11" i="21"/>
  <c r="W11" i="21"/>
  <c r="V11" i="21"/>
  <c r="T11" i="21"/>
  <c r="S11" i="21"/>
  <c r="R11" i="21"/>
  <c r="Q24" i="21" l="1"/>
  <c r="P24" i="21"/>
  <c r="O24" i="21"/>
  <c r="Q22" i="21"/>
  <c r="P22" i="21"/>
  <c r="O22" i="21"/>
  <c r="Q11" i="21"/>
  <c r="O13" i="21" l="1"/>
  <c r="Q13" i="21"/>
  <c r="P13" i="21"/>
  <c r="P11" i="21"/>
  <c r="O11" i="21"/>
  <c r="Q8" i="21"/>
  <c r="P8" i="21"/>
  <c r="O8" i="21"/>
  <c r="Q6" i="21"/>
  <c r="P6" i="21"/>
  <c r="O6" i="21"/>
  <c r="AB20" i="20" l="1"/>
  <c r="X24" i="20" l="1"/>
  <c r="W24" i="20"/>
  <c r="AV12" i="20"/>
  <c r="AU12" i="20"/>
  <c r="AR12" i="20"/>
  <c r="AO12" i="20"/>
  <c r="AN12" i="20"/>
  <c r="AM12" i="20"/>
  <c r="AD12" i="20"/>
  <c r="AC12" i="20"/>
  <c r="AB12" i="20"/>
  <c r="AA12" i="20"/>
  <c r="Z12" i="20"/>
  <c r="X12" i="20"/>
  <c r="W12" i="20"/>
  <c r="V12" i="20"/>
  <c r="T12" i="20"/>
  <c r="S12" i="20"/>
  <c r="R12" i="20"/>
  <c r="Q6" i="20"/>
  <c r="Q8" i="20"/>
  <c r="AD11" i="20"/>
  <c r="T11" i="20"/>
  <c r="X11" i="20"/>
  <c r="AB11" i="20"/>
  <c r="AO11" i="20"/>
  <c r="Q12" i="20" l="1"/>
  <c r="Q11" i="20"/>
  <c r="AV11" i="20"/>
  <c r="AU11" i="20"/>
  <c r="AR11" i="20"/>
  <c r="AN11" i="20"/>
  <c r="AM11" i="20"/>
  <c r="AC11" i="20"/>
  <c r="AA11" i="20"/>
  <c r="Z11" i="20"/>
  <c r="W11" i="20"/>
  <c r="V11" i="20"/>
  <c r="S11" i="20"/>
  <c r="R11" i="20"/>
  <c r="P12" i="20" l="1"/>
  <c r="U12" i="20"/>
  <c r="O12" i="20"/>
  <c r="AQ11" i="20"/>
  <c r="AP11" i="20"/>
  <c r="Y11" i="20"/>
  <c r="U11" i="20"/>
  <c r="P11" i="20"/>
  <c r="O11" i="20"/>
  <c r="P8" i="20"/>
  <c r="O8" i="20"/>
  <c r="P6" i="20"/>
  <c r="O6" i="20"/>
  <c r="Y18" i="18" l="1"/>
  <c r="W20" i="18"/>
  <c r="R10" i="19"/>
  <c r="AR10" i="19" l="1"/>
  <c r="AO10" i="19"/>
  <c r="AN10" i="19"/>
  <c r="AM10" i="19"/>
  <c r="AD10" i="19"/>
  <c r="AC10" i="19"/>
  <c r="AB10" i="19"/>
  <c r="AA10" i="19"/>
  <c r="Z10" i="19"/>
  <c r="X10" i="19"/>
  <c r="W10" i="19"/>
  <c r="V10" i="19"/>
  <c r="U10" i="19"/>
  <c r="T10" i="19"/>
  <c r="S10" i="19"/>
  <c r="Q9" i="19"/>
  <c r="AD9" i="19"/>
  <c r="Y9" i="19"/>
  <c r="U9" i="19"/>
  <c r="Q10" i="19" l="1"/>
  <c r="P10" i="19"/>
  <c r="O10" i="19"/>
  <c r="P9" i="19"/>
  <c r="O9" i="19"/>
  <c r="Q6" i="19"/>
  <c r="P6" i="19"/>
  <c r="O6" i="19"/>
  <c r="Q5" i="19"/>
  <c r="P5" i="19"/>
  <c r="O5" i="19"/>
  <c r="AO10" i="18" l="1"/>
  <c r="AB10" i="18"/>
  <c r="X10" i="18"/>
  <c r="T10" i="18"/>
  <c r="AC10" i="18"/>
  <c r="AA10" i="18"/>
  <c r="W10" i="18"/>
  <c r="S10" i="18"/>
  <c r="AV10" i="18"/>
  <c r="AN10" i="18"/>
  <c r="AU10" i="18"/>
  <c r="AR10" i="18"/>
  <c r="AM10" i="18"/>
  <c r="Z10" i="18"/>
  <c r="V10" i="18"/>
  <c r="R10" i="18"/>
  <c r="AO9" i="18"/>
  <c r="X9" i="18"/>
  <c r="AB9" i="18"/>
  <c r="T9" i="18"/>
  <c r="AC9" i="18"/>
  <c r="AA9" i="18"/>
  <c r="W9" i="18"/>
  <c r="V9" i="18"/>
  <c r="AV9" i="18"/>
  <c r="AN9" i="18"/>
  <c r="AU9" i="18"/>
  <c r="AR9" i="18"/>
  <c r="AM9" i="18"/>
  <c r="Z9" i="18"/>
  <c r="R9" i="18"/>
  <c r="U10" i="18"/>
  <c r="AQ9" i="18"/>
  <c r="AP9" i="18"/>
  <c r="AD9" i="18"/>
  <c r="Y9" i="18"/>
  <c r="U9" i="18"/>
  <c r="Q10" i="18" l="1"/>
  <c r="P10" i="18"/>
  <c r="O10" i="18"/>
  <c r="Q9" i="18"/>
  <c r="O9" i="18"/>
  <c r="O5" i="18"/>
  <c r="Q6" i="18"/>
  <c r="P6" i="18"/>
  <c r="O6" i="18"/>
  <c r="Q5" i="18"/>
  <c r="P5" i="18"/>
  <c r="Q6" i="17" l="1"/>
  <c r="P6" i="17"/>
  <c r="O6" i="17"/>
  <c r="Q5" i="17"/>
  <c r="P5" i="17"/>
  <c r="O5" i="17"/>
  <c r="AB9" i="16" l="1"/>
  <c r="X9" i="16"/>
  <c r="T9" i="16"/>
  <c r="AO9" i="16"/>
  <c r="AV9" i="16"/>
  <c r="AC9" i="16"/>
  <c r="Z9" i="16" l="1"/>
  <c r="V9" i="16"/>
  <c r="R9" i="16"/>
  <c r="AM9" i="16"/>
  <c r="AB8" i="16"/>
  <c r="X8" i="16"/>
  <c r="T8" i="16"/>
  <c r="AM8" i="16"/>
  <c r="AC8" i="16" l="1"/>
  <c r="AV8" i="16"/>
  <c r="Z8" i="16"/>
  <c r="AU8" i="16"/>
  <c r="AR8" i="16"/>
  <c r="R8" i="16"/>
  <c r="AU9" i="16"/>
  <c r="U8" i="16"/>
  <c r="Q9" i="16"/>
  <c r="P8" i="16"/>
  <c r="O9" i="16" l="1"/>
  <c r="Q8" i="16"/>
  <c r="O8" i="16"/>
  <c r="Q6" i="16"/>
  <c r="P6" i="16"/>
  <c r="O6" i="16"/>
  <c r="Q5" i="16"/>
  <c r="P5" i="16"/>
  <c r="O5" i="16"/>
  <c r="E17" i="15" l="1"/>
  <c r="X9" i="14" l="1"/>
  <c r="T9" i="14"/>
  <c r="AO9" i="14"/>
  <c r="AB9" i="14"/>
  <c r="AO10" i="14"/>
  <c r="AB10" i="14"/>
  <c r="X10" i="14"/>
  <c r="T10" i="14"/>
  <c r="AV10" i="14"/>
  <c r="AC10" i="14"/>
  <c r="W10" i="14"/>
  <c r="S10" i="14"/>
  <c r="AA10" i="14"/>
  <c r="AR10" i="14"/>
  <c r="AM10" i="14"/>
  <c r="Z10" i="14"/>
  <c r="V10" i="14"/>
  <c r="R10" i="14"/>
  <c r="AU10" i="14"/>
  <c r="AN9" i="14" l="1"/>
  <c r="AC9" i="14"/>
  <c r="AA9" i="14"/>
  <c r="W9" i="14"/>
  <c r="S9" i="14"/>
  <c r="AU9" i="14"/>
  <c r="AR9" i="14"/>
  <c r="AM9" i="14"/>
  <c r="Z9" i="14"/>
  <c r="V9" i="14"/>
  <c r="R9" i="14"/>
  <c r="O9" i="14" s="1"/>
  <c r="P10" i="14"/>
  <c r="AV9" i="14"/>
  <c r="Q9" i="14"/>
  <c r="P9" i="14" l="1"/>
  <c r="O10" i="14"/>
  <c r="Q10" i="14"/>
  <c r="P6" i="14"/>
  <c r="Q6" i="14"/>
  <c r="O6" i="14"/>
  <c r="Q5" i="14"/>
  <c r="P5" i="14"/>
  <c r="O5" i="14"/>
  <c r="X16" i="13"/>
  <c r="T19" i="13"/>
  <c r="T21" i="13" s="1"/>
  <c r="T22" i="13" s="1"/>
  <c r="Q6" i="13"/>
  <c r="P6" i="13"/>
  <c r="O6" i="13"/>
  <c r="Q5" i="13"/>
  <c r="P5" i="13"/>
  <c r="Z8" i="13"/>
  <c r="AB8" i="13"/>
  <c r="AO9" i="13"/>
  <c r="AB9" i="13"/>
  <c r="AA9" i="13"/>
  <c r="AC9" i="13"/>
  <c r="AV9" i="13"/>
  <c r="Z9" i="13"/>
  <c r="S9" i="13"/>
  <c r="AR9" i="13"/>
  <c r="AM9" i="13"/>
  <c r="V9" i="13"/>
  <c r="AO8" i="13"/>
  <c r="X8" i="13"/>
  <c r="AV8" i="13"/>
  <c r="AC8" i="13"/>
  <c r="AA8" i="13"/>
  <c r="AR8" i="13"/>
  <c r="X9" i="13"/>
  <c r="AU9" i="13"/>
  <c r="W9" i="13"/>
  <c r="W8" i="13"/>
  <c r="V8" i="13"/>
  <c r="T9" i="13"/>
  <c r="T8" i="13"/>
  <c r="S8" i="13"/>
  <c r="R9" i="13"/>
  <c r="R8" i="13"/>
  <c r="Z7" i="12"/>
  <c r="V22" i="13" l="1"/>
  <c r="P9" i="13"/>
  <c r="O8" i="13"/>
  <c r="P8" i="13"/>
  <c r="Q9" i="13"/>
  <c r="O9" i="13"/>
  <c r="Q8" i="13"/>
  <c r="O5" i="12"/>
  <c r="Q6" i="12"/>
  <c r="P6" i="12"/>
  <c r="O6" i="12"/>
  <c r="Q5" i="12"/>
  <c r="P5" i="12"/>
  <c r="Q5" i="11"/>
  <c r="P5" i="11"/>
  <c r="O5" i="11"/>
  <c r="Q6" i="11"/>
  <c r="P6" i="11"/>
  <c r="O6" i="11"/>
  <c r="Q10" i="10"/>
  <c r="P10" i="10"/>
  <c r="O10" i="10"/>
  <c r="Q9" i="10"/>
  <c r="P9" i="10"/>
  <c r="O9" i="10"/>
  <c r="Q6" i="10"/>
  <c r="P6" i="10"/>
  <c r="O6" i="10"/>
  <c r="Q5" i="10"/>
  <c r="P5" i="10"/>
  <c r="O5" i="10"/>
  <c r="Q6" i="9"/>
  <c r="P6" i="9"/>
  <c r="O6" i="9"/>
  <c r="Q5" i="9"/>
  <c r="P5" i="9"/>
  <c r="O5" i="9"/>
  <c r="Q4" i="8"/>
  <c r="Q5" i="8"/>
  <c r="P5" i="8"/>
  <c r="O5" i="8"/>
  <c r="P4" i="8"/>
  <c r="O4" i="8"/>
  <c r="Q5" i="7"/>
  <c r="P5" i="7"/>
  <c r="O5" i="7"/>
  <c r="Q4" i="7"/>
  <c r="P4" i="7"/>
  <c r="O4" i="7"/>
  <c r="Q4" i="6"/>
  <c r="P4" i="6"/>
  <c r="O4" i="6"/>
  <c r="O5" i="6"/>
  <c r="Q5" i="6"/>
  <c r="P5" i="6"/>
  <c r="X8" i="4"/>
  <c r="X9" i="4"/>
  <c r="P4" i="4"/>
  <c r="Q4" i="4"/>
  <c r="Q5" i="4"/>
  <c r="P5" i="4"/>
  <c r="O5" i="4"/>
  <c r="O4" i="4"/>
  <c r="AH4" i="4"/>
  <c r="P9" i="18"/>
  <c r="AB16" i="40"/>
</calcChain>
</file>

<file path=xl/sharedStrings.xml><?xml version="1.0" encoding="utf-8"?>
<sst xmlns="http://schemas.openxmlformats.org/spreadsheetml/2006/main" count="15483" uniqueCount="238">
  <si>
    <t>Sl. No</t>
  </si>
  <si>
    <t>ULB Name</t>
  </si>
  <si>
    <t>Wards</t>
  </si>
  <si>
    <t>D2D Collection</t>
  </si>
  <si>
    <t>Source Segregation</t>
  </si>
  <si>
    <t>Bulk waste generators</t>
  </si>
  <si>
    <t>Fine Collected (Y/N)</t>
  </si>
  <si>
    <t>If Yes then Amount in Rupees for this month</t>
  </si>
  <si>
    <t>Overall Waste Details</t>
  </si>
  <si>
    <t>Wet Waste</t>
  </si>
  <si>
    <t>Dry Waste</t>
  </si>
  <si>
    <t>Plastic Waste</t>
  </si>
  <si>
    <t>Mixed Waste</t>
  </si>
  <si>
    <r>
      <t xml:space="preserve">No. of waste Processing facility
</t>
    </r>
    <r>
      <rPr>
        <b/>
        <sz val="11"/>
        <color rgb="FF000000"/>
        <rFont val="Arial"/>
        <family val="2"/>
      </rPr>
      <t xml:space="preserve">(1000 Kg = 1 Tonne)
</t>
    </r>
  </si>
  <si>
    <t>Dumpsite</t>
  </si>
  <si>
    <t>Bye Laws</t>
  </si>
  <si>
    <t>ULBs which falls Under NGT OA. No.</t>
  </si>
  <si>
    <t>Total Waste Generated</t>
  </si>
  <si>
    <t>Total Waste Collected</t>
  </si>
  <si>
    <t>Total Waste Processed</t>
  </si>
  <si>
    <t>Total Wet Waste Generated</t>
  </si>
  <si>
    <t>Total Wet Waste Collected</t>
  </si>
  <si>
    <t>Total Wet Waste Processed through functional facilities</t>
  </si>
  <si>
    <t>Total capacity of Wet Waste Processing facilities (functional)</t>
  </si>
  <si>
    <t>Total dry Waste Generated</t>
  </si>
  <si>
    <t>Total dry Waste Collected</t>
  </si>
  <si>
    <t>Total dry Waste Processed through functional facilities eg MRF</t>
  </si>
  <si>
    <t>Total capacity of dry Waste Processing facilities (functional)</t>
  </si>
  <si>
    <t>Total Plastic Waste Generated</t>
  </si>
  <si>
    <t>Total Plastic Waste Collected</t>
  </si>
  <si>
    <t>Total Plastic Waste Processed through functional facilities</t>
  </si>
  <si>
    <t>Total mixed Waste Collected</t>
  </si>
  <si>
    <t>Total mixed Waste Processed through functional facilities</t>
  </si>
  <si>
    <t>MRF
(Capacity greater than 5 TPD)</t>
  </si>
  <si>
    <t>DesignedCapacity
TPD</t>
  </si>
  <si>
    <t>MRF
(Capacity less than 5 TPD)</t>
  </si>
  <si>
    <t>Designed Capacity
TPD</t>
  </si>
  <si>
    <t>Wet waste processing facility
(Capacity greater than 5 TPD)</t>
  </si>
  <si>
    <t>Wet waste processing facility
(Capacity less than 5 TPD)</t>
  </si>
  <si>
    <t>Area of Dumpsite</t>
  </si>
  <si>
    <t xml:space="preserve">Height of waste
</t>
  </si>
  <si>
    <t>Ownership</t>
  </si>
  <si>
    <t>Waste present
in Tons</t>
  </si>
  <si>
    <t xml:space="preserve">Disposal per day
</t>
  </si>
  <si>
    <t>Is legacy waste present</t>
  </si>
  <si>
    <t xml:space="preserve">Quantity
</t>
  </si>
  <si>
    <t xml:space="preserve">Is it a scientific landfill?
</t>
  </si>
  <si>
    <t>Solid Waste Management</t>
  </si>
  <si>
    <t>Plastic Waste Management</t>
  </si>
  <si>
    <t>673/2018</t>
  </si>
  <si>
    <t>325/2015</t>
  </si>
  <si>
    <t>Residential</t>
  </si>
  <si>
    <t>Commercial</t>
  </si>
  <si>
    <t>Total Wards</t>
  </si>
  <si>
    <t>No.s</t>
  </si>
  <si>
    <t>Y/N</t>
  </si>
  <si>
    <t>Rs.</t>
  </si>
  <si>
    <t>TPD</t>
  </si>
  <si>
    <t xml:space="preserve">No.s
</t>
  </si>
  <si>
    <t>Sq Meters</t>
  </si>
  <si>
    <t>Meters</t>
  </si>
  <si>
    <t>ULB/Others</t>
  </si>
  <si>
    <t>Tons</t>
  </si>
  <si>
    <t>(Y/N)</t>
  </si>
  <si>
    <t>Mangaldoi M.B.</t>
  </si>
  <si>
    <t>No</t>
  </si>
  <si>
    <t>Others</t>
  </si>
  <si>
    <t>Yes</t>
  </si>
  <si>
    <t>MIS September 2020</t>
  </si>
  <si>
    <t>Month</t>
  </si>
  <si>
    <t>Sl. No.</t>
  </si>
  <si>
    <t>District</t>
  </si>
  <si>
    <t>ULB</t>
  </si>
  <si>
    <t>Population
2011 census</t>
  </si>
  <si>
    <t>Generated (TPD)</t>
  </si>
  <si>
    <t>Collected (TPD)</t>
  </si>
  <si>
    <t>Processed (TPD)</t>
  </si>
  <si>
    <t>D2D</t>
  </si>
  <si>
    <t>Source Seggregation</t>
  </si>
  <si>
    <t>MRF</t>
  </si>
  <si>
    <t>Pit/Vermi/Drum/ Bed Compost</t>
  </si>
  <si>
    <t>OWC</t>
  </si>
  <si>
    <t>Landfill/ Dumpsite</t>
  </si>
  <si>
    <t>Any other processing plant</t>
  </si>
  <si>
    <t>C&amp;D waste for the particular month</t>
  </si>
  <si>
    <t>E-waste</t>
  </si>
  <si>
    <t>Wet</t>
  </si>
  <si>
    <t>Dry</t>
  </si>
  <si>
    <t>Plastic</t>
  </si>
  <si>
    <t>Total</t>
  </si>
  <si>
    <t>Mixed</t>
  </si>
  <si>
    <t>no. of wards</t>
  </si>
  <si>
    <t>nos.</t>
  </si>
  <si>
    <t>Total Capacity (TPD)</t>
  </si>
  <si>
    <t>Is legacy waste present in the Dumpsite (Yes/No)</t>
  </si>
  <si>
    <t>Is it a Scientific Landfill Site (Yes/No)</t>
  </si>
  <si>
    <t>Total Capacity (Tons)</t>
  </si>
  <si>
    <t>Generated (Tons)</t>
  </si>
  <si>
    <t>Processed (Tons)</t>
  </si>
  <si>
    <t>C &amp; D Waste</t>
  </si>
  <si>
    <t>Bio-Medical Waste</t>
  </si>
  <si>
    <t>E-Waste</t>
  </si>
  <si>
    <t>Total 
C &amp; D Waste Generated</t>
  </si>
  <si>
    <t>Total 
C &amp; D Waste Collected</t>
  </si>
  <si>
    <t>Total 
C &amp; D Waste Processed</t>
  </si>
  <si>
    <t>Number of C &amp; D Waste Processing Plant</t>
  </si>
  <si>
    <t>Capacity of C &amp; D Waste Processing Plant</t>
  </si>
  <si>
    <t>Total Bio-Medical Waste Genereted</t>
  </si>
  <si>
    <t>No. of Hospitals and Health Care facilities</t>
  </si>
  <si>
    <t>Status of Treatment Facility/
CBMWTF</t>
  </si>
  <si>
    <t>Quantity of E-waste generated</t>
  </si>
  <si>
    <t>Quantity of E-waste collected</t>
  </si>
  <si>
    <t>Whether segregation of e-waste is donedone from Municipal solid waste</t>
  </si>
  <si>
    <t>Total Nos of authorized e-waste collection centres/recyclers/dismantlers within ULB area.</t>
  </si>
  <si>
    <t>Whether ULB have their own e-waste collection centre.</t>
  </si>
  <si>
    <t>If yes, provide numbers</t>
  </si>
  <si>
    <t>Whether ULBs collection centres are connected to authorized e-waste collectors/ channels ?</t>
  </si>
  <si>
    <t>Whether there is any Electrical and Electronic Equipment production company(operational/closed) ?</t>
  </si>
  <si>
    <t>If yes, whether the e-waste generated there is collected by ULB ?</t>
  </si>
  <si>
    <t>Proposed, Under-Construction or Existing</t>
  </si>
  <si>
    <t>Yes/No</t>
  </si>
  <si>
    <t>Kharupetia MB</t>
  </si>
  <si>
    <t>NO</t>
  </si>
  <si>
    <t>NA</t>
  </si>
  <si>
    <t>As per 2011 census</t>
  </si>
  <si>
    <t>Verification</t>
  </si>
  <si>
    <t>Population</t>
  </si>
  <si>
    <t>(Yes/No)</t>
  </si>
  <si>
    <t>Pending</t>
  </si>
  <si>
    <t>Next Month reduce the waste generate</t>
  </si>
  <si>
    <t>Challan Issued and Fine Collected</t>
  </si>
  <si>
    <t>Total number of challan issued</t>
  </si>
  <si>
    <t>Amount of Fine Collected</t>
  </si>
  <si>
    <t>Total Waste Generated
(in TPD)</t>
  </si>
  <si>
    <t>Total Waste Collected
(in TPD)</t>
  </si>
  <si>
    <t>Total Waste Processed 
(in TPD)</t>
  </si>
  <si>
    <t>Mangaldai</t>
  </si>
  <si>
    <t>Kharupetia</t>
  </si>
  <si>
    <t>Sl.</t>
  </si>
  <si>
    <t>Description</t>
  </si>
  <si>
    <t>Details</t>
  </si>
  <si>
    <t>Waste Generated Per Day (tons)</t>
  </si>
  <si>
    <t> 7.8 TPD</t>
  </si>
  <si>
    <t>Waste Collected Per Day (tons)</t>
  </si>
  <si>
    <t> 4.57 TPD</t>
  </si>
  <si>
    <t xml:space="preserve">Share of Major Sources of Waste </t>
  </si>
  <si>
    <t>--- </t>
  </si>
  <si>
    <t>a</t>
  </si>
  <si>
    <t xml:space="preserve">  Domestic</t>
  </si>
  <si>
    <t>b</t>
  </si>
  <si>
    <t xml:space="preserve">  Commercial/ Markets</t>
  </si>
  <si>
    <t>c</t>
  </si>
  <si>
    <t xml:space="preserve">  Industrial</t>
  </si>
  <si>
    <t>d</t>
  </si>
  <si>
    <t>Restaurant</t>
  </si>
  <si>
    <t>Hospital Waste (tons)</t>
  </si>
  <si>
    <t>Hazardous Waste (tons)</t>
  </si>
  <si>
    <t>Number of Roadside Bins</t>
  </si>
  <si>
    <t>Average Capacity Per Bin (in Kgs)</t>
  </si>
  <si>
    <t>15 nos</t>
  </si>
  <si>
    <t>650 Ltr.</t>
  </si>
  <si>
    <t>Mangaldai M.B.</t>
  </si>
  <si>
    <t>KTC</t>
  </si>
  <si>
    <t>MMB</t>
  </si>
  <si>
    <t>Y</t>
  </si>
  <si>
    <t>colle</t>
  </si>
  <si>
    <t>Proc</t>
  </si>
  <si>
    <t>Is the Dumpsite Permanent</t>
  </si>
  <si>
    <t>(Temporary/
Permanent)</t>
  </si>
  <si>
    <t>Temporary</t>
  </si>
  <si>
    <t>Permanent</t>
  </si>
  <si>
    <t>STP/FSTP</t>
  </si>
  <si>
    <t>Is Land allocated for setting up of STP/FSTP</t>
  </si>
  <si>
    <t xml:space="preserve">If Yes, Area 
</t>
  </si>
  <si>
    <t>In Bigha</t>
  </si>
  <si>
    <t>2B-2K-10L</t>
  </si>
  <si>
    <t>YES</t>
  </si>
  <si>
    <t>Total population</t>
  </si>
  <si>
    <t>02-00-00</t>
  </si>
  <si>
    <r>
      <t xml:space="preserve">No. of waste Processing facility
</t>
    </r>
    <r>
      <rPr>
        <b/>
        <sz val="11"/>
        <color theme="1"/>
        <rFont val="Arial"/>
        <family val="2"/>
      </rPr>
      <t>(1000 Kg = 1 Tonne)</t>
    </r>
  </si>
  <si>
    <r>
      <t xml:space="preserve">MRF
</t>
    </r>
    <r>
      <rPr>
        <b/>
        <sz val="10"/>
        <color rgb="FF000000"/>
        <rFont val="Arial"/>
        <family val="2"/>
      </rPr>
      <t>(Capacity greater than 5 TPD)</t>
    </r>
  </si>
  <si>
    <r>
      <t xml:space="preserve">MRF
</t>
    </r>
    <r>
      <rPr>
        <b/>
        <sz val="10"/>
        <color rgb="FF000000"/>
        <rFont val="Arial"/>
        <family val="2"/>
      </rPr>
      <t>(Capacity less than 5 TPD)</t>
    </r>
  </si>
  <si>
    <r>
      <t xml:space="preserve">Wet waste processing facility
</t>
    </r>
    <r>
      <rPr>
        <b/>
        <sz val="10"/>
        <color rgb="FF000000"/>
        <rFont val="Arial"/>
        <family val="2"/>
      </rPr>
      <t>(Capacity greater than 5 TPD)</t>
    </r>
  </si>
  <si>
    <r>
      <t xml:space="preserve">Wet waste processing facility
</t>
    </r>
    <r>
      <rPr>
        <b/>
        <sz val="10"/>
        <color rgb="FF000000"/>
        <rFont val="Arial"/>
        <family val="2"/>
      </rPr>
      <t>(Capacity less than 5 TPD)</t>
    </r>
  </si>
  <si>
    <t>Quantity of Waste present</t>
  </si>
  <si>
    <t xml:space="preserve">Residential
</t>
  </si>
  <si>
    <t xml:space="preserve">Commercial
</t>
  </si>
  <si>
    <t xml:space="preserve">Total Wards
</t>
  </si>
  <si>
    <t xml:space="preserve">Yes/No
</t>
  </si>
  <si>
    <t xml:space="preserve">Rs.
</t>
  </si>
  <si>
    <t xml:space="preserve">TPD
</t>
  </si>
  <si>
    <t>Tonnes</t>
  </si>
  <si>
    <t>Pupulation</t>
  </si>
  <si>
    <t>Per person</t>
  </si>
  <si>
    <t>grm</t>
  </si>
  <si>
    <t>Total Waste</t>
  </si>
  <si>
    <t>Mangaldai MB</t>
  </si>
  <si>
    <t>2B-0K-0L</t>
  </si>
  <si>
    <t>2B-00K-00L</t>
  </si>
  <si>
    <t>Sewage</t>
  </si>
  <si>
    <t>FS</t>
  </si>
  <si>
    <t>Domestic Hazardous</t>
  </si>
  <si>
    <t>Sanitary</t>
  </si>
  <si>
    <t>Waste Type</t>
  </si>
  <si>
    <t>Processing Capacity</t>
  </si>
  <si>
    <t>Collected</t>
  </si>
  <si>
    <t>Processed/Treated</t>
  </si>
  <si>
    <t>Unprocessed</t>
  </si>
  <si>
    <t>SINGLE USE PLASTIC DRIVE</t>
  </si>
  <si>
    <t>Land Alloted for Development of SLF</t>
  </si>
  <si>
    <t>Total Fine Collected</t>
  </si>
  <si>
    <t>User Fees Collected for D2D collection</t>
  </si>
  <si>
    <t>Total No. of drives carried out</t>
  </si>
  <si>
    <t>Total quantity of SUP seized</t>
  </si>
  <si>
    <t>Total No. of challans isssued against violators</t>
  </si>
  <si>
    <t>Total amount collected from violatore</t>
  </si>
  <si>
    <t>Status of Availability</t>
  </si>
  <si>
    <t>Area</t>
  </si>
  <si>
    <t>Rs( ₹)</t>
  </si>
  <si>
    <t>Nos.</t>
  </si>
  <si>
    <t>Kilogram</t>
  </si>
  <si>
    <t>Rs. (₹)</t>
  </si>
  <si>
    <t>Bigha-Katha-Lessa</t>
  </si>
  <si>
    <t>21-0K-0L</t>
  </si>
  <si>
    <t>6B-0K-0L</t>
  </si>
  <si>
    <t>FAECAL/SEPTIC TANKS</t>
  </si>
  <si>
    <t>Generated</t>
  </si>
  <si>
    <t>Grm</t>
  </si>
  <si>
    <t>Processing Input Capacity</t>
  </si>
  <si>
    <t>Total quantity of SUP seized (Kg)</t>
  </si>
  <si>
    <t>10B-0K-0L</t>
  </si>
  <si>
    <t xml:space="preserve">Mixed </t>
  </si>
  <si>
    <t xml:space="preserve">Wet </t>
  </si>
  <si>
    <t xml:space="preserve">Dry </t>
  </si>
  <si>
    <t xml:space="preserve">Domestic Hazardous </t>
  </si>
  <si>
    <t xml:space="preserve">Sanitary </t>
  </si>
  <si>
    <t xml:space="preserve"> </t>
  </si>
  <si>
    <t>KMB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</si>
</sst>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s.&quot;\ #,##0.00;[Red]&quot;Rs.&quot;\ \-#,##0.00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rgb="FF000000"/>
      <name val="Arial"/>
      <family val="2"/>
    </font>
    <font>
      <sz val="11"/>
      <color theme="1"/>
      <name val="Arial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sz val="13.5"/>
      <color theme="1"/>
      <name val="Arial"/>
      <family val="2"/>
    </font>
    <font>
      <sz val="11"/>
      <color rgb="FF5B636A"/>
      <name val="Arial"/>
      <family val="2"/>
    </font>
    <font>
      <b/>
      <sz val="9"/>
      <color rgb="FF343A4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5F606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D25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29">
    <xf numFmtId="0" fontId="0" fillId="0" borderId="0" xfId="0"/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7" fillId="12" borderId="14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12" borderId="14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7" fillId="14" borderId="16" xfId="0" applyFont="1" applyFill="1" applyBorder="1" applyAlignment="1">
      <alignment horizontal="center" vertical="center" wrapText="1"/>
    </xf>
    <xf numFmtId="0" fontId="4" fillId="14" borderId="16" xfId="0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0" borderId="16" xfId="0" applyBorder="1" applyAlignment="1">
      <alignment wrapText="1"/>
    </xf>
    <xf numFmtId="0" fontId="11" fillId="0" borderId="13" xfId="0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0" fillId="7" borderId="14" xfId="0" applyFill="1" applyBorder="1" applyAlignment="1">
      <alignment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6" borderId="16" xfId="0" applyFont="1" applyFill="1" applyBorder="1" applyAlignment="1">
      <alignment horizontal="center" vertical="center" wrapText="1"/>
    </xf>
    <xf numFmtId="0" fontId="1" fillId="16" borderId="16" xfId="0" applyFont="1" applyFill="1" applyBorder="1" applyAlignment="1">
      <alignment horizontal="center" vertical="top" wrapText="1"/>
    </xf>
    <xf numFmtId="0" fontId="1" fillId="16" borderId="16" xfId="0" applyFont="1" applyFill="1" applyBorder="1" applyAlignment="1">
      <alignment vertical="top" wrapText="1"/>
    </xf>
    <xf numFmtId="0" fontId="1" fillId="11" borderId="16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0" fillId="14" borderId="16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center" vertical="center" wrapText="1"/>
    </xf>
    <xf numFmtId="0" fontId="7" fillId="12" borderId="16" xfId="0" applyFont="1" applyFill="1" applyBorder="1" applyAlignment="1">
      <alignment horizontal="center" vertical="center" wrapText="1"/>
    </xf>
    <xf numFmtId="0" fontId="0" fillId="5" borderId="16" xfId="0" applyFill="1" applyBorder="1" applyAlignment="1">
      <alignment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0" fillId="6" borderId="16" xfId="0" applyFill="1" applyBorder="1" applyAlignment="1">
      <alignment vertical="center" wrapText="1"/>
    </xf>
    <xf numFmtId="0" fontId="0" fillId="7" borderId="16" xfId="0" applyFill="1" applyBorder="1" applyAlignment="1">
      <alignment vertical="center" wrapText="1"/>
    </xf>
    <xf numFmtId="0" fontId="0" fillId="8" borderId="16" xfId="0" applyFill="1" applyBorder="1" applyAlignment="1">
      <alignment vertical="center" wrapText="1"/>
    </xf>
    <xf numFmtId="0" fontId="0" fillId="9" borderId="16" xfId="0" applyFill="1" applyBorder="1" applyAlignment="1">
      <alignment vertical="center" wrapText="1"/>
    </xf>
    <xf numFmtId="0" fontId="0" fillId="10" borderId="16" xfId="0" applyFill="1" applyBorder="1" applyAlignment="1">
      <alignment vertical="center" wrapText="1"/>
    </xf>
    <xf numFmtId="0" fontId="0" fillId="13" borderId="16" xfId="0" applyFill="1" applyBorder="1" applyAlignment="1">
      <alignment vertical="center" wrapText="1"/>
    </xf>
    <xf numFmtId="0" fontId="0" fillId="16" borderId="16" xfId="0" applyFill="1" applyBorder="1" applyAlignment="1">
      <alignment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12" borderId="16" xfId="0" applyFont="1" applyFill="1" applyBorder="1" applyAlignment="1">
      <alignment horizontal="center" vertical="center" wrapText="1"/>
    </xf>
    <xf numFmtId="0" fontId="10" fillId="13" borderId="16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wrapText="1"/>
    </xf>
    <xf numFmtId="0" fontId="10" fillId="17" borderId="16" xfId="0" applyFont="1" applyFill="1" applyBorder="1" applyAlignment="1">
      <alignment horizontal="center" wrapText="1"/>
    </xf>
    <xf numFmtId="0" fontId="10" fillId="12" borderId="16" xfId="0" applyFont="1" applyFill="1" applyBorder="1" applyAlignment="1">
      <alignment horizontal="center" wrapText="1"/>
    </xf>
    <xf numFmtId="0" fontId="10" fillId="13" borderId="16" xfId="0" applyFont="1" applyFill="1" applyBorder="1" applyAlignment="1">
      <alignment horizontal="center" wrapText="1"/>
    </xf>
    <xf numFmtId="0" fontId="0" fillId="5" borderId="14" xfId="0" applyFill="1" applyBorder="1" applyAlignment="1">
      <alignment vertical="center" wrapText="1"/>
    </xf>
    <xf numFmtId="0" fontId="0" fillId="2" borderId="13" xfId="0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0" fillId="4" borderId="24" xfId="0" applyFill="1" applyBorder="1" applyAlignment="1">
      <alignment vertical="center" wrapText="1"/>
    </xf>
    <xf numFmtId="0" fontId="0" fillId="4" borderId="3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top" wrapText="1"/>
    </xf>
    <xf numFmtId="0" fontId="1" fillId="16" borderId="1" xfId="0" applyFont="1" applyFill="1" applyBorder="1" applyAlignment="1">
      <alignment vertical="top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7" fillId="12" borderId="14" xfId="0" applyFont="1" applyFill="1" applyBorder="1" applyAlignment="1">
      <alignment horizontal="center" vertical="center" wrapText="1"/>
    </xf>
    <xf numFmtId="0" fontId="17" fillId="13" borderId="14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17" fillId="17" borderId="14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14" borderId="16" xfId="0" applyFont="1" applyFill="1" applyBorder="1" applyAlignment="1">
      <alignment horizontal="center" vertical="center" wrapText="1"/>
    </xf>
    <xf numFmtId="0" fontId="0" fillId="13" borderId="16" xfId="0" applyFill="1" applyBorder="1" applyAlignment="1">
      <alignment horizontal="center" vertical="center" wrapText="1"/>
    </xf>
    <xf numFmtId="0" fontId="0" fillId="16" borderId="16" xfId="0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7" fillId="12" borderId="16" xfId="0" applyFont="1" applyFill="1" applyBorder="1" applyAlignment="1">
      <alignment horizontal="center" vertical="center" wrapText="1"/>
    </xf>
    <xf numFmtId="0" fontId="17" fillId="13" borderId="16" xfId="0" applyFont="1" applyFill="1" applyBorder="1" applyAlignment="1">
      <alignment horizontal="center" vertical="center" wrapText="1"/>
    </xf>
    <xf numFmtId="0" fontId="17" fillId="17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7" fillId="13" borderId="14" xfId="0" applyFont="1" applyFill="1" applyBorder="1" applyAlignment="1">
      <alignment horizontal="center" vertical="center" wrapText="1"/>
    </xf>
    <xf numFmtId="0" fontId="7" fillId="16" borderId="14" xfId="0" applyFont="1" applyFill="1" applyBorder="1" applyAlignment="1">
      <alignment horizontal="center" vertical="center" wrapText="1"/>
    </xf>
    <xf numFmtId="0" fontId="0" fillId="16" borderId="14" xfId="0" applyFill="1" applyBorder="1" applyAlignment="1">
      <alignment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1" fillId="20" borderId="16" xfId="0" applyFont="1" applyFill="1" applyBorder="1" applyAlignment="1">
      <alignment horizontal="center" vertical="center" wrapText="1"/>
    </xf>
    <xf numFmtId="0" fontId="1" fillId="21" borderId="16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wrapText="1"/>
    </xf>
    <xf numFmtId="0" fontId="0" fillId="3" borderId="14" xfId="0" applyFill="1" applyBorder="1" applyAlignment="1">
      <alignment wrapText="1"/>
    </xf>
    <xf numFmtId="0" fontId="7" fillId="10" borderId="14" xfId="0" applyFont="1" applyFill="1" applyBorder="1" applyAlignment="1">
      <alignment horizontal="center" wrapText="1"/>
    </xf>
    <xf numFmtId="0" fontId="7" fillId="12" borderId="14" xfId="0" applyFont="1" applyFill="1" applyBorder="1" applyAlignment="1">
      <alignment horizontal="center" wrapText="1"/>
    </xf>
    <xf numFmtId="0" fontId="7" fillId="18" borderId="14" xfId="0" applyFont="1" applyFill="1" applyBorder="1" applyAlignment="1">
      <alignment horizontal="center" wrapText="1"/>
    </xf>
    <xf numFmtId="0" fontId="7" fillId="6" borderId="14" xfId="0" applyFont="1" applyFill="1" applyBorder="1" applyAlignment="1">
      <alignment horizontal="center" wrapText="1"/>
    </xf>
    <xf numFmtId="0" fontId="7" fillId="7" borderId="14" xfId="0" applyFont="1" applyFill="1" applyBorder="1" applyAlignment="1">
      <alignment horizontal="center" wrapText="1"/>
    </xf>
    <xf numFmtId="0" fontId="7" fillId="8" borderId="14" xfId="0" applyFont="1" applyFill="1" applyBorder="1" applyAlignment="1">
      <alignment horizontal="center" wrapText="1"/>
    </xf>
    <xf numFmtId="0" fontId="7" fillId="9" borderId="14" xfId="0" applyFont="1" applyFill="1" applyBorder="1" applyAlignment="1">
      <alignment horizontal="center" wrapText="1"/>
    </xf>
    <xf numFmtId="0" fontId="7" fillId="13" borderId="14" xfId="0" applyFont="1" applyFill="1" applyBorder="1" applyAlignment="1">
      <alignment horizontal="center" wrapText="1"/>
    </xf>
    <xf numFmtId="0" fontId="7" fillId="16" borderId="14" xfId="0" applyFont="1" applyFill="1" applyBorder="1" applyAlignment="1">
      <alignment horizontal="center" wrapText="1"/>
    </xf>
    <xf numFmtId="0" fontId="0" fillId="16" borderId="14" xfId="0" applyFill="1" applyBorder="1" applyAlignment="1">
      <alignment wrapText="1"/>
    </xf>
    <xf numFmtId="0" fontId="7" fillId="0" borderId="14" xfId="0" applyFont="1" applyBorder="1" applyAlignment="1">
      <alignment horizontal="right" wrapText="1"/>
    </xf>
    <xf numFmtId="0" fontId="17" fillId="6" borderId="14" xfId="0" applyFont="1" applyFill="1" applyBorder="1" applyAlignment="1">
      <alignment horizontal="center" wrapText="1"/>
    </xf>
    <xf numFmtId="0" fontId="17" fillId="12" borderId="14" xfId="0" applyFont="1" applyFill="1" applyBorder="1" applyAlignment="1">
      <alignment horizontal="center" wrapText="1"/>
    </xf>
    <xf numFmtId="0" fontId="17" fillId="13" borderId="14" xfId="0" applyFont="1" applyFill="1" applyBorder="1" applyAlignment="1">
      <alignment horizont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12" borderId="37" xfId="0" applyFont="1" applyFill="1" applyBorder="1" applyAlignment="1">
      <alignment horizontal="center" vertical="center" wrapText="1"/>
    </xf>
    <xf numFmtId="0" fontId="1" fillId="14" borderId="0" xfId="0" applyFont="1" applyFill="1" applyBorder="1" applyAlignment="1">
      <alignment horizontal="center" vertical="center" wrapText="1"/>
    </xf>
    <xf numFmtId="0" fontId="4" fillId="14" borderId="0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4" fillId="14" borderId="35" xfId="0" applyFont="1" applyFill="1" applyBorder="1" applyAlignment="1">
      <alignment horizontal="center" vertical="center" wrapText="1"/>
    </xf>
    <xf numFmtId="0" fontId="1" fillId="14" borderId="3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7" fillId="10" borderId="21" xfId="0" applyFont="1" applyFill="1" applyBorder="1" applyAlignment="1">
      <alignment horizontal="center" vertical="center" wrapText="1"/>
    </xf>
    <xf numFmtId="0" fontId="7" fillId="12" borderId="21" xfId="0" applyFont="1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 vertical="center" wrapText="1"/>
    </xf>
    <xf numFmtId="0" fontId="0" fillId="16" borderId="21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17" fillId="6" borderId="21" xfId="0" applyFont="1" applyFill="1" applyBorder="1" applyAlignment="1">
      <alignment horizontal="center" vertical="center" wrapText="1"/>
    </xf>
    <xf numFmtId="0" fontId="17" fillId="12" borderId="21" xfId="0" applyFont="1" applyFill="1" applyBorder="1" applyAlignment="1">
      <alignment horizontal="center" vertical="center" wrapText="1"/>
    </xf>
    <xf numFmtId="0" fontId="17" fillId="13" borderId="21" xfId="0" applyFont="1" applyFill="1" applyBorder="1" applyAlignment="1">
      <alignment horizontal="center" vertical="center" wrapText="1"/>
    </xf>
    <xf numFmtId="0" fontId="0" fillId="0" borderId="16" xfId="0" applyBorder="1"/>
    <xf numFmtId="0" fontId="1" fillId="14" borderId="8" xfId="0" applyFont="1" applyFill="1" applyBorder="1" applyAlignment="1">
      <alignment horizontal="center" vertical="center" wrapText="1"/>
    </xf>
    <xf numFmtId="0" fontId="1" fillId="14" borderId="39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0" fontId="0" fillId="10" borderId="21" xfId="0" applyFill="1" applyBorder="1" applyAlignment="1">
      <alignment horizontal="center" vertical="center" wrapText="1"/>
    </xf>
    <xf numFmtId="0" fontId="0" fillId="10" borderId="16" xfId="0" applyFill="1" applyBorder="1" applyAlignment="1">
      <alignment horizontal="center" vertical="center" wrapText="1"/>
    </xf>
    <xf numFmtId="0" fontId="0" fillId="22" borderId="21" xfId="0" applyFill="1" applyBorder="1" applyAlignment="1">
      <alignment horizontal="center" vertical="center" wrapText="1"/>
    </xf>
    <xf numFmtId="0" fontId="0" fillId="19" borderId="16" xfId="0" applyFill="1" applyBorder="1" applyAlignment="1">
      <alignment horizontal="center" vertical="center" wrapText="1"/>
    </xf>
    <xf numFmtId="0" fontId="18" fillId="19" borderId="16" xfId="0" applyFont="1" applyFill="1" applyBorder="1" applyAlignment="1">
      <alignment horizontal="center" vertical="center" wrapText="1"/>
    </xf>
    <xf numFmtId="0" fontId="15" fillId="19" borderId="21" xfId="0" applyFont="1" applyFill="1" applyBorder="1" applyAlignment="1">
      <alignment horizontal="center" vertical="center" wrapText="1"/>
    </xf>
    <xf numFmtId="0" fontId="7" fillId="19" borderId="21" xfId="0" applyFont="1" applyFill="1" applyBorder="1" applyAlignment="1">
      <alignment horizontal="center" vertical="center" wrapText="1"/>
    </xf>
    <xf numFmtId="0" fontId="0" fillId="19" borderId="21" xfId="0" applyFill="1" applyBorder="1" applyAlignment="1">
      <alignment horizontal="center" vertical="center" wrapText="1"/>
    </xf>
    <xf numFmtId="0" fontId="0" fillId="19" borderId="21" xfId="0" applyFill="1" applyBorder="1" applyAlignment="1">
      <alignment horizontal="center" vertical="center"/>
    </xf>
    <xf numFmtId="0" fontId="17" fillId="19" borderId="21" xfId="0" applyFont="1" applyFill="1" applyBorder="1" applyAlignment="1">
      <alignment horizontal="center" vertical="center" wrapText="1"/>
    </xf>
    <xf numFmtId="0" fontId="17" fillId="19" borderId="16" xfId="0" applyFont="1" applyFill="1" applyBorder="1" applyAlignment="1">
      <alignment horizontal="center" vertical="center" wrapText="1"/>
    </xf>
    <xf numFmtId="0" fontId="0" fillId="19" borderId="16" xfId="0" applyFill="1" applyBorder="1"/>
    <xf numFmtId="0" fontId="3" fillId="19" borderId="16" xfId="0" applyFont="1" applyFill="1" applyBorder="1" applyAlignment="1">
      <alignment horizontal="center" vertical="center" wrapText="1"/>
    </xf>
    <xf numFmtId="0" fontId="7" fillId="19" borderId="16" xfId="0" applyFont="1" applyFill="1" applyBorder="1" applyAlignment="1">
      <alignment horizontal="center" vertical="center" wrapText="1"/>
    </xf>
    <xf numFmtId="0" fontId="10" fillId="19" borderId="16" xfId="0" applyFont="1" applyFill="1" applyBorder="1" applyAlignment="1">
      <alignment horizontal="center" vertical="center" wrapText="1"/>
    </xf>
    <xf numFmtId="0" fontId="0" fillId="23" borderId="21" xfId="0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10" borderId="35" xfId="0" applyFont="1" applyFill="1" applyBorder="1" applyAlignment="1">
      <alignment horizontal="center" vertical="center" wrapText="1"/>
    </xf>
    <xf numFmtId="0" fontId="0" fillId="10" borderId="0" xfId="0" applyFill="1"/>
    <xf numFmtId="0" fontId="1" fillId="10" borderId="0" xfId="0" applyFont="1" applyFill="1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 wrapText="1"/>
    </xf>
    <xf numFmtId="0" fontId="1" fillId="22" borderId="35" xfId="0" applyFont="1" applyFill="1" applyBorder="1" applyAlignment="1">
      <alignment horizontal="center" vertical="center" wrapText="1"/>
    </xf>
    <xf numFmtId="0" fontId="0" fillId="22" borderId="16" xfId="0" applyFill="1" applyBorder="1" applyAlignment="1">
      <alignment horizontal="center" vertical="center" wrapText="1"/>
    </xf>
    <xf numFmtId="0" fontId="0" fillId="22" borderId="0" xfId="0" applyFill="1"/>
    <xf numFmtId="0" fontId="1" fillId="22" borderId="0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4" borderId="35" xfId="0" applyFont="1" applyFill="1" applyBorder="1" applyAlignment="1">
      <alignment horizontal="center" vertical="center" wrapText="1"/>
    </xf>
    <xf numFmtId="0" fontId="0" fillId="24" borderId="21" xfId="0" applyFill="1" applyBorder="1" applyAlignment="1">
      <alignment horizontal="center" vertical="center" wrapText="1"/>
    </xf>
    <xf numFmtId="0" fontId="0" fillId="24" borderId="16" xfId="0" applyFill="1" applyBorder="1" applyAlignment="1">
      <alignment horizontal="center" vertical="center" wrapText="1"/>
    </xf>
    <xf numFmtId="0" fontId="0" fillId="24" borderId="0" xfId="0" applyFill="1"/>
    <xf numFmtId="0" fontId="1" fillId="24" borderId="0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22" borderId="16" xfId="0" applyFont="1" applyFill="1" applyBorder="1" applyAlignment="1">
      <alignment horizontal="center" vertical="center" wrapText="1"/>
    </xf>
    <xf numFmtId="0" fontId="1" fillId="24" borderId="16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0" fillId="23" borderId="16" xfId="0" applyFill="1" applyBorder="1" applyAlignment="1">
      <alignment horizontal="center" vertical="center" wrapText="1"/>
    </xf>
    <xf numFmtId="0" fontId="0" fillId="10" borderId="16" xfId="0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15" fillId="3" borderId="14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center" wrapText="1"/>
    </xf>
    <xf numFmtId="0" fontId="7" fillId="5" borderId="14" xfId="0" applyFont="1" applyFill="1" applyBorder="1" applyAlignment="1">
      <alignment horizontal="center" wrapText="1"/>
    </xf>
    <xf numFmtId="0" fontId="17" fillId="17" borderId="14" xfId="0" applyFont="1" applyFill="1" applyBorder="1" applyAlignment="1">
      <alignment horizontal="center" wrapText="1"/>
    </xf>
    <xf numFmtId="0" fontId="10" fillId="6" borderId="14" xfId="0" applyFont="1" applyFill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4" fillId="10" borderId="16" xfId="0" applyFont="1" applyFill="1" applyBorder="1" applyAlignment="1">
      <alignment horizontal="center" vertical="center" wrapText="1"/>
    </xf>
    <xf numFmtId="0" fontId="0" fillId="10" borderId="16" xfId="0" applyFill="1" applyBorder="1"/>
    <xf numFmtId="0" fontId="0" fillId="22" borderId="16" xfId="0" applyFill="1" applyBorder="1"/>
    <xf numFmtId="0" fontId="0" fillId="24" borderId="16" xfId="0" applyFill="1" applyBorder="1"/>
    <xf numFmtId="0" fontId="14" fillId="0" borderId="0" xfId="0" applyFont="1"/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vertical="center"/>
    </xf>
    <xf numFmtId="0" fontId="14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43" xfId="0" applyFont="1" applyBorder="1" applyAlignment="1">
      <alignment horizontal="right" vertical="center"/>
    </xf>
    <xf numFmtId="0" fontId="14" fillId="0" borderId="43" xfId="0" applyFont="1" applyBorder="1" applyAlignment="1">
      <alignment horizontal="right" vertical="center"/>
    </xf>
    <xf numFmtId="0" fontId="20" fillId="0" borderId="43" xfId="0" applyFont="1" applyBorder="1" applyAlignment="1">
      <alignment horizontal="right" vertical="center"/>
    </xf>
    <xf numFmtId="0" fontId="4" fillId="7" borderId="14" xfId="0" applyFont="1" applyFill="1" applyBorder="1" applyAlignment="1">
      <alignment horizontal="center" wrapText="1"/>
    </xf>
    <xf numFmtId="0" fontId="4" fillId="6" borderId="14" xfId="0" applyFont="1" applyFill="1" applyBorder="1" applyAlignment="1">
      <alignment horizont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/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0" fillId="0" borderId="16" xfId="0" applyBorder="1"/>
    <xf numFmtId="8" fontId="7" fillId="12" borderId="14" xfId="0" applyNumberFormat="1" applyFont="1" applyFill="1" applyBorder="1" applyAlignment="1">
      <alignment horizont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0" fillId="10" borderId="0" xfId="0" applyFill="1" applyBorder="1"/>
    <xf numFmtId="0" fontId="0" fillId="19" borderId="13" xfId="0" applyFill="1" applyBorder="1" applyAlignment="1">
      <alignment horizontal="center" vertical="center" wrapText="1"/>
    </xf>
    <xf numFmtId="0" fontId="3" fillId="19" borderId="14" xfId="0" applyFont="1" applyFill="1" applyBorder="1" applyAlignment="1">
      <alignment vertical="center" wrapText="1"/>
    </xf>
    <xf numFmtId="0" fontId="15" fillId="19" borderId="14" xfId="0" applyFont="1" applyFill="1" applyBorder="1" applyAlignment="1">
      <alignment horizontal="center" wrapText="1"/>
    </xf>
    <xf numFmtId="0" fontId="7" fillId="19" borderId="14" xfId="0" applyFont="1" applyFill="1" applyBorder="1" applyAlignment="1">
      <alignment horizontal="center" wrapText="1"/>
    </xf>
    <xf numFmtId="8" fontId="7" fillId="19" borderId="14" xfId="0" applyNumberFormat="1" applyFont="1" applyFill="1" applyBorder="1" applyAlignment="1">
      <alignment horizontal="center" wrapText="1"/>
    </xf>
    <xf numFmtId="0" fontId="0" fillId="19" borderId="14" xfId="0" applyFill="1" applyBorder="1" applyAlignment="1">
      <alignment wrapText="1"/>
    </xf>
    <xf numFmtId="0" fontId="17" fillId="19" borderId="14" xfId="0" applyFont="1" applyFill="1" applyBorder="1" applyAlignment="1">
      <alignment horizontal="center" wrapText="1"/>
    </xf>
    <xf numFmtId="0" fontId="10" fillId="19" borderId="14" xfId="0" applyFont="1" applyFill="1" applyBorder="1" applyAlignment="1">
      <alignment horizontal="center" wrapText="1"/>
    </xf>
    <xf numFmtId="0" fontId="0" fillId="19" borderId="0" xfId="0" applyFill="1"/>
    <xf numFmtId="0" fontId="1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0" fillId="24" borderId="13" xfId="0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vertical="center" wrapText="1"/>
    </xf>
    <xf numFmtId="0" fontId="15" fillId="24" borderId="14" xfId="0" applyFont="1" applyFill="1" applyBorder="1" applyAlignment="1">
      <alignment horizontal="center" wrapText="1"/>
    </xf>
    <xf numFmtId="0" fontId="7" fillId="24" borderId="14" xfId="0" applyFont="1" applyFill="1" applyBorder="1" applyAlignment="1">
      <alignment horizontal="center" wrapText="1"/>
    </xf>
    <xf numFmtId="0" fontId="0" fillId="24" borderId="14" xfId="0" applyFill="1" applyBorder="1" applyAlignment="1">
      <alignment wrapText="1"/>
    </xf>
    <xf numFmtId="0" fontId="17" fillId="24" borderId="14" xfId="0" applyFont="1" applyFill="1" applyBorder="1" applyAlignment="1">
      <alignment horizontal="center" wrapText="1"/>
    </xf>
    <xf numFmtId="0" fontId="10" fillId="24" borderId="14" xfId="0" applyFont="1" applyFill="1" applyBorder="1" applyAlignment="1">
      <alignment horizontal="center" wrapText="1"/>
    </xf>
    <xf numFmtId="0" fontId="3" fillId="3" borderId="16" xfId="0" applyFont="1" applyFill="1" applyBorder="1" applyAlignment="1">
      <alignment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4" fillId="19" borderId="16" xfId="0" applyFont="1" applyFill="1" applyBorder="1" applyAlignment="1">
      <alignment horizontal="center" vertical="center" wrapText="1"/>
    </xf>
    <xf numFmtId="0" fontId="0" fillId="0" borderId="0" xfId="0" applyFill="1"/>
    <xf numFmtId="0" fontId="15" fillId="3" borderId="16" xfId="0" applyFont="1" applyFill="1" applyBorder="1" applyAlignment="1">
      <alignment horizontal="center" wrapText="1"/>
    </xf>
    <xf numFmtId="0" fontId="7" fillId="10" borderId="16" xfId="0" applyFont="1" applyFill="1" applyBorder="1" applyAlignment="1">
      <alignment horizontal="center" wrapText="1"/>
    </xf>
    <xf numFmtId="0" fontId="7" fillId="12" borderId="16" xfId="0" applyFont="1" applyFill="1" applyBorder="1" applyAlignment="1">
      <alignment horizontal="center" wrapText="1"/>
    </xf>
    <xf numFmtId="0" fontId="7" fillId="5" borderId="16" xfId="0" applyFont="1" applyFill="1" applyBorder="1" applyAlignment="1">
      <alignment horizontal="center" wrapText="1"/>
    </xf>
    <xf numFmtId="0" fontId="7" fillId="6" borderId="16" xfId="0" applyFont="1" applyFill="1" applyBorder="1" applyAlignment="1">
      <alignment horizontal="center" wrapText="1"/>
    </xf>
    <xf numFmtId="0" fontId="7" fillId="7" borderId="16" xfId="0" applyFont="1" applyFill="1" applyBorder="1" applyAlignment="1">
      <alignment horizontal="center" wrapText="1"/>
    </xf>
    <xf numFmtId="0" fontId="7" fillId="8" borderId="16" xfId="0" applyFont="1" applyFill="1" applyBorder="1" applyAlignment="1">
      <alignment horizontal="center" wrapText="1"/>
    </xf>
    <xf numFmtId="0" fontId="7" fillId="9" borderId="16" xfId="0" applyFont="1" applyFill="1" applyBorder="1" applyAlignment="1">
      <alignment horizontal="center" wrapText="1"/>
    </xf>
    <xf numFmtId="0" fontId="7" fillId="13" borderId="16" xfId="0" applyFont="1" applyFill="1" applyBorder="1" applyAlignment="1">
      <alignment horizontal="center" wrapText="1"/>
    </xf>
    <xf numFmtId="0" fontId="7" fillId="16" borderId="16" xfId="0" applyFont="1" applyFill="1" applyBorder="1" applyAlignment="1">
      <alignment horizontal="center" wrapText="1"/>
    </xf>
    <xf numFmtId="0" fontId="3" fillId="19" borderId="16" xfId="0" applyFont="1" applyFill="1" applyBorder="1" applyAlignment="1">
      <alignment vertical="center" wrapText="1"/>
    </xf>
    <xf numFmtId="0" fontId="15" fillId="19" borderId="16" xfId="0" applyFont="1" applyFill="1" applyBorder="1" applyAlignment="1">
      <alignment horizontal="center" wrapText="1"/>
    </xf>
    <xf numFmtId="0" fontId="7" fillId="19" borderId="16" xfId="0" applyFont="1" applyFill="1" applyBorder="1" applyAlignment="1">
      <alignment horizontal="center" wrapText="1"/>
    </xf>
    <xf numFmtId="0" fontId="7" fillId="3" borderId="16" xfId="0" applyFont="1" applyFill="1" applyBorder="1" applyAlignment="1">
      <alignment horizontal="center" wrapText="1"/>
    </xf>
    <xf numFmtId="0" fontId="3" fillId="3" borderId="16" xfId="0" applyFont="1" applyFill="1" applyBorder="1" applyAlignment="1">
      <alignment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0" fillId="0" borderId="54" xfId="0" applyBorder="1" applyAlignment="1">
      <alignment wrapText="1"/>
    </xf>
    <xf numFmtId="0" fontId="21" fillId="14" borderId="16" xfId="0" applyFont="1" applyFill="1" applyBorder="1" applyAlignment="1">
      <alignment horizontal="center" vertical="center" wrapText="1"/>
    </xf>
    <xf numFmtId="0" fontId="1" fillId="25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0" fillId="16" borderId="16" xfId="0" applyFill="1" applyBorder="1" applyAlignment="1">
      <alignment wrapText="1"/>
    </xf>
    <xf numFmtId="0" fontId="17" fillId="6" borderId="16" xfId="0" applyFont="1" applyFill="1" applyBorder="1" applyAlignment="1">
      <alignment horizontal="center" wrapText="1"/>
    </xf>
    <xf numFmtId="0" fontId="17" fillId="12" borderId="16" xfId="0" applyFont="1" applyFill="1" applyBorder="1" applyAlignment="1">
      <alignment horizontal="center" wrapText="1"/>
    </xf>
    <xf numFmtId="0" fontId="17" fillId="13" borderId="16" xfId="0" applyFont="1" applyFill="1" applyBorder="1" applyAlignment="1">
      <alignment horizontal="center" wrapText="1"/>
    </xf>
    <xf numFmtId="0" fontId="0" fillId="19" borderId="16" xfId="0" applyFill="1" applyBorder="1" applyAlignment="1">
      <alignment wrapText="1"/>
    </xf>
    <xf numFmtId="0" fontId="17" fillId="19" borderId="16" xfId="0" applyFont="1" applyFill="1" applyBorder="1" applyAlignment="1">
      <alignment horizontal="center" wrapText="1"/>
    </xf>
    <xf numFmtId="0" fontId="10" fillId="19" borderId="16" xfId="0" applyFont="1" applyFill="1" applyBorder="1" applyAlignment="1">
      <alignment horizontal="center" wrapText="1"/>
    </xf>
    <xf numFmtId="0" fontId="17" fillId="17" borderId="16" xfId="0" applyFont="1" applyFill="1" applyBorder="1" applyAlignment="1">
      <alignment horizontal="center" wrapText="1"/>
    </xf>
    <xf numFmtId="0" fontId="10" fillId="25" borderId="16" xfId="0" applyFont="1" applyFill="1" applyBorder="1" applyAlignment="1">
      <alignment horizontal="center" vertical="center" wrapText="1"/>
    </xf>
    <xf numFmtId="0" fontId="0" fillId="25" borderId="13" xfId="0" applyFill="1" applyBorder="1" applyAlignment="1">
      <alignment horizontal="center" vertical="center" wrapText="1"/>
    </xf>
    <xf numFmtId="0" fontId="0" fillId="25" borderId="14" xfId="0" applyFill="1" applyBorder="1" applyAlignment="1">
      <alignment horizontal="center" vertical="center" wrapText="1"/>
    </xf>
    <xf numFmtId="0" fontId="10" fillId="26" borderId="16" xfId="0" applyFont="1" applyFill="1" applyBorder="1"/>
    <xf numFmtId="0" fontId="17" fillId="26" borderId="16" xfId="0" applyFont="1" applyFill="1" applyBorder="1"/>
    <xf numFmtId="0" fontId="3" fillId="3" borderId="16" xfId="0" applyFont="1" applyFill="1" applyBorder="1" applyAlignment="1">
      <alignment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3" fillId="3" borderId="16" xfId="0" applyFont="1" applyFill="1" applyBorder="1" applyAlignment="1">
      <alignment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1" fontId="0" fillId="0" borderId="0" xfId="0" applyNumberFormat="1"/>
    <xf numFmtId="1" fontId="7" fillId="5" borderId="16" xfId="0" applyNumberFormat="1" applyFont="1" applyFill="1" applyBorder="1" applyAlignment="1">
      <alignment horizontal="center" wrapText="1"/>
    </xf>
    <xf numFmtId="1" fontId="7" fillId="10" borderId="16" xfId="0" applyNumberFormat="1" applyFont="1" applyFill="1" applyBorder="1" applyAlignment="1">
      <alignment horizontal="center" wrapText="1"/>
    </xf>
    <xf numFmtId="1" fontId="7" fillId="19" borderId="16" xfId="0" applyNumberFormat="1" applyFont="1" applyFill="1" applyBorder="1" applyAlignment="1">
      <alignment horizontal="center" wrapText="1"/>
    </xf>
    <xf numFmtId="0" fontId="3" fillId="3" borderId="16" xfId="0" applyFont="1" applyFill="1" applyBorder="1" applyAlignment="1">
      <alignment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18" fillId="19" borderId="16" xfId="0" applyFont="1" applyFill="1" applyBorder="1" applyAlignment="1">
      <alignment horizontal="center" wrapText="1"/>
    </xf>
    <xf numFmtId="0" fontId="4" fillId="19" borderId="16" xfId="0" applyFont="1" applyFill="1" applyBorder="1" applyAlignment="1">
      <alignment horizontal="center" wrapText="1"/>
    </xf>
    <xf numFmtId="0" fontId="1" fillId="19" borderId="16" xfId="0" applyFont="1" applyFill="1" applyBorder="1" applyAlignment="1">
      <alignment wrapText="1"/>
    </xf>
    <xf numFmtId="0" fontId="5" fillId="19" borderId="16" xfId="0" applyFont="1" applyFill="1" applyBorder="1" applyAlignment="1">
      <alignment horizontal="center" wrapText="1"/>
    </xf>
    <xf numFmtId="0" fontId="14" fillId="19" borderId="16" xfId="0" applyFont="1" applyFill="1" applyBorder="1" applyAlignment="1">
      <alignment horizontal="center" wrapText="1"/>
    </xf>
    <xf numFmtId="0" fontId="1" fillId="19" borderId="16" xfId="0" applyFont="1" applyFill="1" applyBorder="1"/>
    <xf numFmtId="0" fontId="1" fillId="0" borderId="0" xfId="0" applyFont="1" applyFill="1"/>
    <xf numFmtId="0" fontId="0" fillId="0" borderId="0" xfId="0" applyAlignment="1">
      <alignment horizont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1" fontId="0" fillId="0" borderId="0" xfId="0" applyNumberFormat="1" applyAlignment="1">
      <alignment horizontal="right"/>
    </xf>
    <xf numFmtId="0" fontId="3" fillId="3" borderId="16" xfId="0" applyFont="1" applyFill="1" applyBorder="1" applyAlignment="1">
      <alignment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3" borderId="16" xfId="0" applyFont="1" applyFill="1" applyBorder="1" applyAlignment="1">
      <alignment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2" fontId="7" fillId="5" borderId="16" xfId="0" applyNumberFormat="1" applyFont="1" applyFill="1" applyBorder="1" applyAlignment="1">
      <alignment horizontal="center" wrapText="1"/>
    </xf>
    <xf numFmtId="0" fontId="3" fillId="3" borderId="16" xfId="0" applyFont="1" applyFill="1" applyBorder="1" applyAlignment="1">
      <alignment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2" fontId="0" fillId="0" borderId="0" xfId="0" applyNumberFormat="1"/>
    <xf numFmtId="2" fontId="0" fillId="2" borderId="16" xfId="0" applyNumberFormat="1" applyFill="1" applyBorder="1" applyAlignment="1">
      <alignment horizontal="center" vertical="center" wrapText="1"/>
    </xf>
    <xf numFmtId="2" fontId="3" fillId="3" borderId="16" xfId="0" applyNumberFormat="1" applyFont="1" applyFill="1" applyBorder="1" applyAlignment="1">
      <alignment vertical="center" wrapText="1"/>
    </xf>
    <xf numFmtId="2" fontId="7" fillId="10" borderId="16" xfId="0" applyNumberFormat="1" applyFont="1" applyFill="1" applyBorder="1" applyAlignment="1">
      <alignment horizontal="center" wrapText="1"/>
    </xf>
    <xf numFmtId="2" fontId="7" fillId="6" borderId="16" xfId="0" applyNumberFormat="1" applyFont="1" applyFill="1" applyBorder="1" applyAlignment="1">
      <alignment horizontal="center" wrapText="1"/>
    </xf>
    <xf numFmtId="2" fontId="7" fillId="7" borderId="16" xfId="0" applyNumberFormat="1" applyFont="1" applyFill="1" applyBorder="1" applyAlignment="1">
      <alignment horizontal="center" wrapText="1"/>
    </xf>
    <xf numFmtId="2" fontId="7" fillId="8" borderId="16" xfId="0" applyNumberFormat="1" applyFont="1" applyFill="1" applyBorder="1" applyAlignment="1">
      <alignment horizontal="center" wrapText="1"/>
    </xf>
    <xf numFmtId="2" fontId="7" fillId="9" borderId="16" xfId="0" applyNumberFormat="1" applyFont="1" applyFill="1" applyBorder="1" applyAlignment="1">
      <alignment horizontal="center" wrapText="1"/>
    </xf>
    <xf numFmtId="2" fontId="7" fillId="13" borderId="16" xfId="0" applyNumberFormat="1" applyFont="1" applyFill="1" applyBorder="1" applyAlignment="1">
      <alignment horizontal="center" wrapText="1"/>
    </xf>
    <xf numFmtId="2" fontId="7" fillId="16" borderId="16" xfId="0" applyNumberFormat="1" applyFont="1" applyFill="1" applyBorder="1" applyAlignment="1">
      <alignment horizontal="center" wrapText="1"/>
    </xf>
    <xf numFmtId="2" fontId="0" fillId="16" borderId="16" xfId="0" applyNumberFormat="1" applyFill="1" applyBorder="1" applyAlignment="1">
      <alignment wrapText="1"/>
    </xf>
    <xf numFmtId="2" fontId="7" fillId="0" borderId="16" xfId="0" applyNumberFormat="1" applyFont="1" applyBorder="1" applyAlignment="1">
      <alignment horizontal="center" wrapText="1"/>
    </xf>
    <xf numFmtId="2" fontId="17" fillId="6" borderId="16" xfId="0" applyNumberFormat="1" applyFont="1" applyFill="1" applyBorder="1" applyAlignment="1">
      <alignment horizontal="center" wrapText="1"/>
    </xf>
    <xf numFmtId="2" fontId="10" fillId="26" borderId="16" xfId="0" applyNumberFormat="1" applyFont="1" applyFill="1" applyBorder="1"/>
    <xf numFmtId="2" fontId="17" fillId="26" borderId="16" xfId="0" applyNumberFormat="1" applyFont="1" applyFill="1" applyBorder="1"/>
    <xf numFmtId="2" fontId="17" fillId="12" borderId="16" xfId="0" applyNumberFormat="1" applyFont="1" applyFill="1" applyBorder="1" applyAlignment="1">
      <alignment horizontal="center" wrapText="1"/>
    </xf>
    <xf numFmtId="2" fontId="17" fillId="13" borderId="16" xfId="0" applyNumberFormat="1" applyFont="1" applyFill="1" applyBorder="1" applyAlignment="1">
      <alignment horizontal="center" wrapText="1"/>
    </xf>
    <xf numFmtId="2" fontId="10" fillId="6" borderId="16" xfId="0" applyNumberFormat="1" applyFont="1" applyFill="1" applyBorder="1" applyAlignment="1">
      <alignment horizontal="center" wrapText="1"/>
    </xf>
    <xf numFmtId="2" fontId="10" fillId="25" borderId="16" xfId="0" applyNumberFormat="1" applyFont="1" applyFill="1" applyBorder="1" applyAlignment="1">
      <alignment horizontal="center" vertical="center" wrapText="1"/>
    </xf>
    <xf numFmtId="2" fontId="0" fillId="0" borderId="54" xfId="0" applyNumberFormat="1" applyBorder="1" applyAlignment="1">
      <alignment wrapText="1"/>
    </xf>
    <xf numFmtId="1" fontId="7" fillId="16" borderId="16" xfId="0" applyNumberFormat="1" applyFont="1" applyFill="1" applyBorder="1" applyAlignment="1">
      <alignment horizontal="center" wrapText="1"/>
    </xf>
    <xf numFmtId="0" fontId="3" fillId="3" borderId="16" xfId="0" applyFont="1" applyFill="1" applyBorder="1" applyAlignment="1">
      <alignment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1" fontId="15" fillId="3" borderId="16" xfId="0" applyNumberFormat="1" applyFont="1" applyFill="1" applyBorder="1" applyAlignment="1">
      <alignment horizontal="center" wrapText="1"/>
    </xf>
    <xf numFmtId="1" fontId="7" fillId="12" borderId="16" xfId="0" applyNumberFormat="1" applyFont="1" applyFill="1" applyBorder="1" applyAlignment="1">
      <alignment horizontal="center" wrapText="1"/>
    </xf>
    <xf numFmtId="0" fontId="22" fillId="3" borderId="13" xfId="0" applyFont="1" applyFill="1" applyBorder="1" applyAlignment="1">
      <alignment vertical="center" wrapText="1"/>
    </xf>
    <xf numFmtId="0" fontId="23" fillId="3" borderId="14" xfId="0" applyFont="1" applyFill="1" applyBorder="1" applyAlignment="1">
      <alignment horizontal="center" wrapText="1"/>
    </xf>
    <xf numFmtId="0" fontId="24" fillId="3" borderId="14" xfId="0" applyFont="1" applyFill="1" applyBorder="1" applyAlignment="1">
      <alignment horizontal="center" wrapText="1"/>
    </xf>
    <xf numFmtId="0" fontId="24" fillId="10" borderId="14" xfId="0" applyFont="1" applyFill="1" applyBorder="1" applyAlignment="1">
      <alignment horizontal="center" wrapText="1"/>
    </xf>
    <xf numFmtId="0" fontId="24" fillId="12" borderId="14" xfId="0" applyFont="1" applyFill="1" applyBorder="1" applyAlignment="1">
      <alignment horizontal="center" wrapText="1"/>
    </xf>
    <xf numFmtId="0" fontId="24" fillId="5" borderId="14" xfId="0" applyFont="1" applyFill="1" applyBorder="1" applyAlignment="1">
      <alignment horizontal="center" wrapText="1"/>
    </xf>
    <xf numFmtId="0" fontId="24" fillId="6" borderId="14" xfId="0" applyFont="1" applyFill="1" applyBorder="1" applyAlignment="1">
      <alignment horizontal="center" wrapText="1"/>
    </xf>
    <xf numFmtId="0" fontId="24" fillId="7" borderId="14" xfId="0" applyFont="1" applyFill="1" applyBorder="1" applyAlignment="1">
      <alignment horizontal="center" wrapText="1"/>
    </xf>
    <xf numFmtId="0" fontId="24" fillId="8" borderId="14" xfId="0" applyFont="1" applyFill="1" applyBorder="1" applyAlignment="1">
      <alignment horizontal="center" wrapText="1"/>
    </xf>
    <xf numFmtId="0" fontId="24" fillId="9" borderId="14" xfId="0" applyFont="1" applyFill="1" applyBorder="1" applyAlignment="1">
      <alignment horizontal="center" wrapText="1"/>
    </xf>
    <xf numFmtId="0" fontId="24" fillId="13" borderId="14" xfId="0" applyFont="1" applyFill="1" applyBorder="1" applyAlignment="1">
      <alignment horizontal="center" wrapText="1"/>
    </xf>
    <xf numFmtId="0" fontId="24" fillId="16" borderId="14" xfId="0" applyFont="1" applyFill="1" applyBorder="1" applyAlignment="1">
      <alignment horizontal="center" wrapText="1"/>
    </xf>
    <xf numFmtId="0" fontId="10" fillId="16" borderId="14" xfId="0" applyFont="1" applyFill="1" applyBorder="1" applyAlignment="1">
      <alignment wrapText="1"/>
    </xf>
    <xf numFmtId="0" fontId="10" fillId="27" borderId="14" xfId="0" applyFont="1" applyFill="1" applyBorder="1" applyAlignment="1">
      <alignment wrapText="1"/>
    </xf>
    <xf numFmtId="0" fontId="10" fillId="17" borderId="14" xfId="0" applyFont="1" applyFill="1" applyBorder="1" applyAlignment="1">
      <alignment horizontal="center" wrapText="1"/>
    </xf>
    <xf numFmtId="0" fontId="10" fillId="12" borderId="14" xfId="0" applyFont="1" applyFill="1" applyBorder="1" applyAlignment="1">
      <alignment horizontal="center" wrapText="1"/>
    </xf>
    <xf numFmtId="0" fontId="10" fillId="13" borderId="14" xfId="0" applyFont="1" applyFill="1" applyBorder="1" applyAlignment="1">
      <alignment horizontal="center" wrapText="1"/>
    </xf>
    <xf numFmtId="0" fontId="10" fillId="25" borderId="14" xfId="0" applyFont="1" applyFill="1" applyBorder="1" applyAlignment="1">
      <alignment horizontal="center" wrapText="1"/>
    </xf>
    <xf numFmtId="0" fontId="10" fillId="25" borderId="14" xfId="0" applyFont="1" applyFill="1" applyBorder="1" applyAlignment="1">
      <alignment wrapText="1"/>
    </xf>
    <xf numFmtId="0" fontId="14" fillId="9" borderId="55" xfId="0" applyFont="1" applyFill="1" applyBorder="1" applyAlignment="1">
      <alignment wrapText="1"/>
    </xf>
    <xf numFmtId="0" fontId="10" fillId="9" borderId="56" xfId="0" applyFont="1" applyFill="1" applyBorder="1" applyAlignment="1">
      <alignment horizontal="center" wrapText="1"/>
    </xf>
    <xf numFmtId="0" fontId="10" fillId="10" borderId="56" xfId="0" applyFont="1" applyFill="1" applyBorder="1" applyAlignment="1">
      <alignment horizontal="center" wrapText="1"/>
    </xf>
    <xf numFmtId="0" fontId="10" fillId="0" borderId="56" xfId="0" applyFont="1" applyBorder="1" applyAlignment="1">
      <alignment horizontal="center" wrapText="1"/>
    </xf>
    <xf numFmtId="0" fontId="10" fillId="5" borderId="56" xfId="0" applyFont="1" applyFill="1" applyBorder="1" applyAlignment="1">
      <alignment horizontal="center" wrapText="1"/>
    </xf>
    <xf numFmtId="0" fontId="10" fillId="6" borderId="56" xfId="0" applyFont="1" applyFill="1" applyBorder="1" applyAlignment="1">
      <alignment horizontal="center" wrapText="1"/>
    </xf>
    <xf numFmtId="0" fontId="10" fillId="7" borderId="56" xfId="0" applyFont="1" applyFill="1" applyBorder="1" applyAlignment="1">
      <alignment horizontal="center" wrapText="1"/>
    </xf>
    <xf numFmtId="0" fontId="10" fillId="8" borderId="56" xfId="0" applyFont="1" applyFill="1" applyBorder="1" applyAlignment="1">
      <alignment horizontal="center" wrapText="1"/>
    </xf>
    <xf numFmtId="0" fontId="10" fillId="0" borderId="56" xfId="0" applyFont="1" applyBorder="1" applyAlignment="1">
      <alignment wrapText="1"/>
    </xf>
    <xf numFmtId="0" fontId="10" fillId="0" borderId="24" xfId="0" applyFont="1" applyBorder="1" applyAlignment="1">
      <alignment horizontal="center" wrapText="1"/>
    </xf>
    <xf numFmtId="0" fontId="10" fillId="9" borderId="24" xfId="0" applyFont="1" applyFill="1" applyBorder="1" applyAlignment="1">
      <alignment horizontal="center" wrapText="1"/>
    </xf>
    <xf numFmtId="0" fontId="10" fillId="9" borderId="14" xfId="0" applyFont="1" applyFill="1" applyBorder="1" applyAlignment="1">
      <alignment horizontal="center" wrapText="1"/>
    </xf>
    <xf numFmtId="0" fontId="10" fillId="25" borderId="56" xfId="0" applyFont="1" applyFill="1" applyBorder="1" applyAlignment="1">
      <alignment horizontal="center" wrapText="1"/>
    </xf>
    <xf numFmtId="0" fontId="10" fillId="10" borderId="16" xfId="0" applyFont="1" applyFill="1" applyBorder="1" applyAlignment="1">
      <alignment horizontal="center" wrapText="1"/>
    </xf>
    <xf numFmtId="0" fontId="17" fillId="10" borderId="16" xfId="0" applyFont="1" applyFill="1" applyBorder="1" applyAlignment="1">
      <alignment horizontal="center" wrapText="1"/>
    </xf>
    <xf numFmtId="0" fontId="10" fillId="10" borderId="16" xfId="0" applyFont="1" applyFill="1" applyBorder="1"/>
    <xf numFmtId="0" fontId="17" fillId="10" borderId="16" xfId="0" applyFont="1" applyFill="1" applyBorder="1"/>
    <xf numFmtId="0" fontId="10" fillId="10" borderId="16" xfId="0" applyFont="1" applyFill="1" applyBorder="1" applyAlignment="1">
      <alignment horizontal="center" vertical="center" wrapText="1"/>
    </xf>
    <xf numFmtId="0" fontId="0" fillId="10" borderId="13" xfId="0" applyFill="1" applyBorder="1" applyAlignment="1">
      <alignment horizontal="center" vertical="center" wrapText="1"/>
    </xf>
    <xf numFmtId="0" fontId="0" fillId="10" borderId="14" xfId="0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14" fillId="19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/>
    <xf numFmtId="0" fontId="0" fillId="21" borderId="0" xfId="0" applyFill="1" applyAlignment="1"/>
    <xf numFmtId="1" fontId="7" fillId="6" borderId="16" xfId="0" applyNumberFormat="1" applyFont="1" applyFill="1" applyBorder="1" applyAlignment="1">
      <alignment horizontal="center" wrapText="1"/>
    </xf>
    <xf numFmtId="1" fontId="7" fillId="7" borderId="16" xfId="0" applyNumberFormat="1" applyFont="1" applyFill="1" applyBorder="1" applyAlignment="1">
      <alignment horizontal="center" wrapText="1"/>
    </xf>
    <xf numFmtId="0" fontId="3" fillId="3" borderId="16" xfId="0" applyFont="1" applyFill="1" applyBorder="1" applyAlignment="1">
      <alignment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10" fillId="27" borderId="13" xfId="0" applyFont="1" applyFill="1" applyBorder="1" applyAlignment="1">
      <alignment horizontal="center" wrapText="1"/>
    </xf>
    <xf numFmtId="0" fontId="10" fillId="27" borderId="14" xfId="0" applyFont="1" applyFill="1" applyBorder="1" applyAlignment="1">
      <alignment horizontal="center" wrapText="1"/>
    </xf>
    <xf numFmtId="0" fontId="10" fillId="10" borderId="14" xfId="0" applyFont="1" applyFill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10" fillId="5" borderId="14" xfId="0" applyFont="1" applyFill="1" applyBorder="1" applyAlignment="1">
      <alignment horizontal="center" wrapText="1"/>
    </xf>
    <xf numFmtId="0" fontId="10" fillId="7" borderId="14" xfId="0" applyFont="1" applyFill="1" applyBorder="1" applyAlignment="1">
      <alignment horizontal="center" wrapText="1"/>
    </xf>
    <xf numFmtId="0" fontId="10" fillId="8" borderId="14" xfId="0" applyFont="1" applyFill="1" applyBorder="1" applyAlignment="1">
      <alignment horizontal="center" wrapText="1"/>
    </xf>
    <xf numFmtId="0" fontId="10" fillId="0" borderId="14" xfId="0" applyFont="1" applyBorder="1" applyAlignment="1">
      <alignment wrapText="1"/>
    </xf>
    <xf numFmtId="0" fontId="23" fillId="12" borderId="13" xfId="0" applyFont="1" applyFill="1" applyBorder="1" applyAlignment="1">
      <alignment horizontal="center" wrapText="1"/>
    </xf>
    <xf numFmtId="0" fontId="25" fillId="5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8" fillId="16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5" fillId="25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center" vertical="center" wrapText="1"/>
    </xf>
    <xf numFmtId="0" fontId="25" fillId="14" borderId="31" xfId="0" applyFont="1" applyFill="1" applyBorder="1" applyAlignment="1">
      <alignment horizontal="center" vertical="center" wrapText="1"/>
    </xf>
    <xf numFmtId="0" fontId="28" fillId="14" borderId="1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1" fontId="0" fillId="21" borderId="16" xfId="0" applyNumberForma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3" fillId="3" borderId="16" xfId="0" applyFont="1" applyFill="1" applyBorder="1" applyAlignment="1">
      <alignment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vertical="center" wrapText="1"/>
    </xf>
    <xf numFmtId="0" fontId="23" fillId="12" borderId="14" xfId="0" applyFont="1" applyFill="1" applyBorder="1" applyAlignment="1">
      <alignment horizontal="center" wrapText="1"/>
    </xf>
    <xf numFmtId="3" fontId="29" fillId="0" borderId="0" xfId="0" applyNumberFormat="1" applyFont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/>
    <xf numFmtId="0" fontId="0" fillId="0" borderId="16" xfId="0" applyFont="1" applyBorder="1" applyAlignment="1">
      <alignment horizontal="center"/>
    </xf>
    <xf numFmtId="2" fontId="0" fillId="10" borderId="16" xfId="0" applyNumberFormat="1" applyFont="1" applyFill="1" applyBorder="1" applyAlignment="1">
      <alignment horizontal="center"/>
    </xf>
    <xf numFmtId="2" fontId="0" fillId="0" borderId="0" xfId="0" applyNumberFormat="1" applyBorder="1"/>
    <xf numFmtId="0" fontId="0" fillId="0" borderId="0" xfId="0" applyFill="1" applyBorder="1"/>
    <xf numFmtId="2" fontId="7" fillId="0" borderId="0" xfId="0" applyNumberFormat="1" applyFont="1" applyFill="1" applyBorder="1" applyAlignment="1">
      <alignment horizontal="center" wrapText="1"/>
    </xf>
    <xf numFmtId="2" fontId="0" fillId="0" borderId="16" xfId="0" applyNumberFormat="1" applyFont="1" applyBorder="1" applyAlignment="1">
      <alignment horizontal="center"/>
    </xf>
    <xf numFmtId="0" fontId="3" fillId="3" borderId="16" xfId="0" applyFont="1" applyFill="1" applyBorder="1" applyAlignment="1">
      <alignment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wrapText="1"/>
    </xf>
    <xf numFmtId="0" fontId="24" fillId="0" borderId="14" xfId="0" applyFont="1" applyBorder="1" applyAlignment="1">
      <alignment horizontal="center" wrapText="1"/>
    </xf>
    <xf numFmtId="0" fontId="31" fillId="29" borderId="0" xfId="0" applyFont="1" applyFill="1" applyAlignment="1">
      <alignment horizontal="left" vertical="center" indent="2"/>
    </xf>
    <xf numFmtId="0" fontId="31" fillId="29" borderId="0" xfId="0" applyFont="1" applyFill="1" applyAlignment="1">
      <alignment horizontal="left" vertical="center"/>
    </xf>
    <xf numFmtId="0" fontId="30" fillId="28" borderId="0" xfId="0" applyFont="1" applyFill="1" applyAlignment="1">
      <alignment horizontal="left" vertical="center" indent="2"/>
    </xf>
    <xf numFmtId="0" fontId="30" fillId="28" borderId="0" xfId="0" applyFont="1" applyFill="1" applyAlignment="1">
      <alignment vertical="center"/>
    </xf>
    <xf numFmtId="0" fontId="31" fillId="29" borderId="0" xfId="0" applyFont="1" applyFill="1" applyAlignment="1">
      <alignment horizontal="left" vertical="center" wrapText="1"/>
    </xf>
    <xf numFmtId="0" fontId="31" fillId="29" borderId="0" xfId="0" applyFont="1" applyFill="1" applyAlignment="1">
      <alignment horizontal="left" vertical="center" wrapText="1" indent="2"/>
    </xf>
    <xf numFmtId="0" fontId="30" fillId="28" borderId="0" xfId="0" applyFont="1" applyFill="1" applyAlignment="1">
      <alignment horizontal="left" vertical="center" wrapText="1" indent="2"/>
    </xf>
    <xf numFmtId="0" fontId="3" fillId="3" borderId="16" xfId="0" applyFont="1" applyFill="1" applyBorder="1" applyAlignment="1">
      <alignment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10" borderId="16" xfId="0" applyNumberFormat="1" applyFill="1" applyBorder="1"/>
    <xf numFmtId="0" fontId="10" fillId="4" borderId="24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vertical="center" wrapText="1"/>
    </xf>
    <xf numFmtId="0" fontId="32" fillId="16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2" borderId="37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32" fillId="14" borderId="1" xfId="0" applyFont="1" applyFill="1" applyBorder="1" applyAlignment="1">
      <alignment horizontal="center" vertical="center" wrapText="1"/>
    </xf>
    <xf numFmtId="0" fontId="0" fillId="19" borderId="0" xfId="0" applyFill="1" applyBorder="1"/>
    <xf numFmtId="0" fontId="3" fillId="3" borderId="16" xfId="0" applyFont="1" applyFill="1" applyBorder="1" applyAlignment="1">
      <alignment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 applyAlignment="1">
      <alignment horizontal="left"/>
    </xf>
    <xf numFmtId="0" fontId="0" fillId="0" borderId="16" xfId="0" applyBorder="1"/>
    <xf numFmtId="2" fontId="7" fillId="8" borderId="45" xfId="0" applyNumberFormat="1" applyFont="1" applyFill="1" applyBorder="1" applyAlignment="1">
      <alignment horizontal="center" wrapText="1"/>
    </xf>
    <xf numFmtId="1" fontId="7" fillId="10" borderId="46" xfId="0" applyNumberFormat="1" applyFont="1" applyFill="1" applyBorder="1" applyAlignment="1">
      <alignment horizontal="center" wrapText="1"/>
    </xf>
    <xf numFmtId="0" fontId="7" fillId="10" borderId="46" xfId="0" applyFont="1" applyFill="1" applyBorder="1" applyAlignment="1">
      <alignment horizontal="center" wrapText="1"/>
    </xf>
    <xf numFmtId="0" fontId="14" fillId="14" borderId="39" xfId="0" applyFont="1" applyFill="1" applyBorder="1" applyAlignment="1">
      <alignment horizontal="center" vertical="center" wrapText="1"/>
    </xf>
    <xf numFmtId="0" fontId="5" fillId="14" borderId="39" xfId="0" applyFont="1" applyFill="1" applyBorder="1" applyAlignment="1">
      <alignment horizontal="center" vertical="center" wrapText="1"/>
    </xf>
    <xf numFmtId="0" fontId="0" fillId="21" borderId="16" xfId="0" applyFill="1" applyBorder="1" applyAlignment="1"/>
    <xf numFmtId="0" fontId="0" fillId="21" borderId="16" xfId="0" applyFill="1" applyBorder="1"/>
    <xf numFmtId="1" fontId="7" fillId="12" borderId="45" xfId="0" applyNumberFormat="1" applyFont="1" applyFill="1" applyBorder="1" applyAlignment="1">
      <alignment horizontal="center" wrapText="1"/>
    </xf>
    <xf numFmtId="0" fontId="7" fillId="12" borderId="45" xfId="0" applyFont="1" applyFill="1" applyBorder="1" applyAlignment="1">
      <alignment horizontal="center" wrapText="1"/>
    </xf>
    <xf numFmtId="2" fontId="7" fillId="5" borderId="46" xfId="0" applyNumberFormat="1" applyFont="1" applyFill="1" applyBorder="1" applyAlignment="1">
      <alignment horizontal="center" wrapText="1"/>
    </xf>
    <xf numFmtId="1" fontId="7" fillId="5" borderId="46" xfId="0" applyNumberFormat="1" applyFont="1" applyFill="1" applyBorder="1" applyAlignment="1">
      <alignment horizontal="center" wrapText="1"/>
    </xf>
    <xf numFmtId="0" fontId="7" fillId="12" borderId="16" xfId="0" applyFont="1" applyFill="1" applyBorder="1" applyAlignment="1">
      <alignment horizontal="left" wrapText="1"/>
    </xf>
    <xf numFmtId="1" fontId="7" fillId="8" borderId="16" xfId="0" applyNumberFormat="1" applyFont="1" applyFill="1" applyBorder="1" applyAlignment="1">
      <alignment horizontal="center" wrapText="1"/>
    </xf>
    <xf numFmtId="1" fontId="7" fillId="9" borderId="16" xfId="0" applyNumberFormat="1" applyFont="1" applyFill="1" applyBorder="1" applyAlignment="1">
      <alignment horizontal="center" wrapText="1"/>
    </xf>
    <xf numFmtId="1" fontId="7" fillId="13" borderId="16" xfId="0" applyNumberFormat="1" applyFont="1" applyFill="1" applyBorder="1" applyAlignment="1">
      <alignment horizontal="center" wrapText="1"/>
    </xf>
    <xf numFmtId="1" fontId="0" fillId="16" borderId="16" xfId="0" applyNumberFormat="1" applyFill="1" applyBorder="1" applyAlignment="1">
      <alignment wrapText="1"/>
    </xf>
    <xf numFmtId="1" fontId="7" fillId="0" borderId="16" xfId="0" applyNumberFormat="1" applyFont="1" applyBorder="1" applyAlignment="1">
      <alignment horizontal="center" wrapText="1"/>
    </xf>
    <xf numFmtId="2" fontId="7" fillId="21" borderId="46" xfId="0" applyNumberFormat="1" applyFont="1" applyFill="1" applyBorder="1" applyAlignment="1">
      <alignment horizontal="center" wrapText="1"/>
    </xf>
    <xf numFmtId="1" fontId="0" fillId="21" borderId="16" xfId="0" applyNumberFormat="1" applyFill="1" applyBorder="1"/>
    <xf numFmtId="0" fontId="3" fillId="3" borderId="16" xfId="0" applyFont="1" applyFill="1" applyBorder="1" applyAlignment="1">
      <alignment vertical="center" wrapText="1"/>
    </xf>
    <xf numFmtId="0" fontId="0" fillId="0" borderId="16" xfId="0" applyBorder="1" applyAlignment="1">
      <alignment horizontal="left"/>
    </xf>
    <xf numFmtId="0" fontId="31" fillId="29" borderId="16" xfId="0" applyFont="1" applyFill="1" applyBorder="1" applyAlignment="1">
      <alignment horizontal="left" vertical="center" indent="2"/>
    </xf>
    <xf numFmtId="0" fontId="31" fillId="29" borderId="16" xfId="0" applyFont="1" applyFill="1" applyBorder="1" applyAlignment="1">
      <alignment horizontal="left" vertical="center"/>
    </xf>
    <xf numFmtId="0" fontId="30" fillId="28" borderId="16" xfId="0" applyFont="1" applyFill="1" applyBorder="1" applyAlignment="1">
      <alignment horizontal="left" vertical="center" indent="2"/>
    </xf>
    <xf numFmtId="0" fontId="30" fillId="28" borderId="16" xfId="0" applyFont="1" applyFill="1" applyBorder="1" applyAlignment="1">
      <alignment vertical="center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 applyAlignment="1">
      <alignment horizontal="left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 applyAlignment="1">
      <alignment horizontal="left"/>
    </xf>
    <xf numFmtId="0" fontId="17" fillId="22" borderId="0" xfId="0" applyFont="1" applyFill="1"/>
    <xf numFmtId="1" fontId="7" fillId="22" borderId="16" xfId="0" applyNumberFormat="1" applyFont="1" applyFill="1" applyBorder="1" applyAlignment="1">
      <alignment horizontal="center" wrapText="1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 applyAlignment="1">
      <alignment horizontal="left"/>
    </xf>
    <xf numFmtId="0" fontId="0" fillId="0" borderId="16" xfId="0" applyFont="1" applyBorder="1" applyAlignment="1">
      <alignment horizontal="center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 applyAlignment="1">
      <alignment horizontal="left"/>
    </xf>
    <xf numFmtId="0" fontId="0" fillId="0" borderId="16" xfId="0" applyFont="1" applyBorder="1" applyAlignment="1">
      <alignment horizontal="center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 applyAlignment="1">
      <alignment horizontal="left"/>
    </xf>
    <xf numFmtId="0" fontId="0" fillId="0" borderId="16" xfId="0" applyFont="1" applyBorder="1" applyAlignment="1">
      <alignment horizontal="center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 applyAlignment="1">
      <alignment horizontal="left"/>
    </xf>
    <xf numFmtId="0" fontId="0" fillId="0" borderId="16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 applyAlignment="1">
      <alignment horizontal="left"/>
    </xf>
    <xf numFmtId="0" fontId="0" fillId="0" borderId="16" xfId="0" applyFont="1" applyBorder="1" applyAlignment="1">
      <alignment horizontal="center"/>
    </xf>
    <xf numFmtId="0" fontId="3" fillId="3" borderId="16" xfId="0" applyFont="1" applyFill="1" applyBorder="1" applyAlignment="1">
      <alignment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7" fillId="19" borderId="16" xfId="0" applyFont="1" applyFill="1" applyBorder="1" applyAlignment="1">
      <alignment horizontal="left" wrapText="1"/>
    </xf>
    <xf numFmtId="2" fontId="7" fillId="19" borderId="16" xfId="0" applyNumberFormat="1" applyFont="1" applyFill="1" applyBorder="1" applyAlignment="1">
      <alignment horizontal="center" wrapText="1"/>
    </xf>
    <xf numFmtId="2" fontId="17" fillId="10" borderId="16" xfId="0" applyNumberFormat="1" applyFont="1" applyFill="1" applyBorder="1"/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vertical="center" wrapText="1"/>
    </xf>
    <xf numFmtId="0" fontId="32" fillId="16" borderId="16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0" fontId="32" fillId="14" borderId="16" xfId="0" applyFont="1" applyFill="1" applyBorder="1" applyAlignment="1">
      <alignment horizontal="center" vertical="center" wrapText="1"/>
    </xf>
    <xf numFmtId="2" fontId="7" fillId="21" borderId="16" xfId="0" applyNumberFormat="1" applyFont="1" applyFill="1" applyBorder="1" applyAlignment="1">
      <alignment horizontal="center" wrapText="1"/>
    </xf>
    <xf numFmtId="0" fontId="0" fillId="32" borderId="16" xfId="0" applyFill="1" applyBorder="1" applyAlignment="1"/>
    <xf numFmtId="0" fontId="0" fillId="32" borderId="16" xfId="0" applyFill="1" applyBorder="1"/>
    <xf numFmtId="1" fontId="0" fillId="2" borderId="16" xfId="0" applyNumberForma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16" xfId="0" applyFont="1" applyBorder="1" applyAlignment="1">
      <alignment horizontal="center"/>
    </xf>
    <xf numFmtId="0" fontId="14" fillId="11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16" xfId="0" applyFont="1" applyBorder="1" applyAlignment="1">
      <alignment horizontal="center"/>
    </xf>
    <xf numFmtId="0" fontId="14" fillId="12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1" fontId="10" fillId="28" borderId="16" xfId="0" applyNumberFormat="1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33" fillId="29" borderId="16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1" fontId="0" fillId="0" borderId="16" xfId="0" applyNumberFormat="1" applyFont="1" applyBorder="1" applyAlignment="1">
      <alignment horizontal="center"/>
    </xf>
    <xf numFmtId="0" fontId="10" fillId="19" borderId="16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6" xfId="0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0" fontId="33" fillId="29" borderId="16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1" fontId="10" fillId="28" borderId="16" xfId="0" applyNumberFormat="1" applyFont="1" applyFill="1" applyBorder="1" applyAlignment="1">
      <alignment horizontal="center" vertical="center"/>
    </xf>
    <xf numFmtId="0" fontId="10" fillId="19" borderId="16" xfId="0" applyFont="1" applyFill="1" applyBorder="1" applyAlignment="1">
      <alignment horizontal="center" vertical="center"/>
    </xf>
    <xf numFmtId="0" fontId="14" fillId="12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0" fillId="19" borderId="0" xfId="0" applyFill="1" applyBorder="1" applyAlignment="1">
      <alignment horizontal="center"/>
    </xf>
    <xf numFmtId="0" fontId="0" fillId="22" borderId="0" xfId="0" applyFill="1" applyBorder="1" applyAlignment="1">
      <alignment horizontal="center"/>
    </xf>
    <xf numFmtId="0" fontId="10" fillId="10" borderId="47" xfId="0" applyFont="1" applyFill="1" applyBorder="1" applyAlignment="1">
      <alignment horizontal="center" vertical="center"/>
    </xf>
    <xf numFmtId="0" fontId="14" fillId="22" borderId="37" xfId="0" applyFont="1" applyFill="1" applyBorder="1" applyAlignment="1">
      <alignment horizontal="center" vertical="center" wrapText="1"/>
    </xf>
    <xf numFmtId="0" fontId="14" fillId="14" borderId="37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2" fontId="7" fillId="22" borderId="16" xfId="0" applyNumberFormat="1" applyFont="1" applyFill="1" applyBorder="1" applyAlignment="1">
      <alignment horizontal="center" wrapText="1"/>
    </xf>
    <xf numFmtId="2" fontId="7" fillId="33" borderId="16" xfId="0" applyNumberFormat="1" applyFont="1" applyFill="1" applyBorder="1" applyAlignment="1">
      <alignment horizontal="center" wrapText="1"/>
    </xf>
    <xf numFmtId="0" fontId="7" fillId="33" borderId="16" xfId="0" applyFont="1" applyFill="1" applyBorder="1" applyAlignment="1">
      <alignment horizontal="center" wrapText="1"/>
    </xf>
    <xf numFmtId="0" fontId="10" fillId="4" borderId="13" xfId="0" applyFont="1" applyFill="1" applyBorder="1" applyAlignment="1">
      <alignment vertical="center" wrapText="1"/>
    </xf>
    <xf numFmtId="0" fontId="10" fillId="4" borderId="14" xfId="0" applyFont="1" applyFill="1" applyBorder="1" applyAlignment="1">
      <alignment vertical="center" wrapText="1"/>
    </xf>
    <xf numFmtId="0" fontId="14" fillId="4" borderId="37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14" borderId="21" xfId="0" applyFont="1" applyFill="1" applyBorder="1" applyAlignment="1">
      <alignment horizontal="center" vertical="center" wrapText="1"/>
    </xf>
    <xf numFmtId="0" fontId="14" fillId="14" borderId="8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6" xfId="0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0" fontId="33" fillId="29" borderId="16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1" fontId="10" fillId="28" borderId="16" xfId="0" applyNumberFormat="1" applyFont="1" applyFill="1" applyBorder="1" applyAlignment="1">
      <alignment horizontal="center" vertical="center"/>
    </xf>
    <xf numFmtId="0" fontId="10" fillId="19" borderId="16" xfId="0" applyFont="1" applyFill="1" applyBorder="1" applyAlignment="1">
      <alignment horizontal="center" vertical="center"/>
    </xf>
    <xf numFmtId="0" fontId="14" fillId="12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30" fillId="28" borderId="0" xfId="0" applyFont="1" applyFill="1" applyAlignment="1">
      <alignment horizontal="left" vertical="center" indent="1"/>
    </xf>
    <xf numFmtId="0" fontId="3" fillId="3" borderId="16" xfId="0" applyFont="1" applyFill="1" applyBorder="1" applyAlignment="1">
      <alignment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6" xfId="0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0" fontId="33" fillId="29" borderId="16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1" fontId="10" fillId="28" borderId="16" xfId="0" applyNumberFormat="1" applyFont="1" applyFill="1" applyBorder="1" applyAlignment="1">
      <alignment horizontal="center" vertical="center"/>
    </xf>
    <xf numFmtId="0" fontId="10" fillId="19" borderId="16" xfId="0" applyFont="1" applyFill="1" applyBorder="1" applyAlignment="1">
      <alignment horizontal="center" vertical="center"/>
    </xf>
    <xf numFmtId="0" fontId="14" fillId="12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24" fillId="34" borderId="13" xfId="0" applyFont="1" applyFill="1" applyBorder="1" applyAlignment="1">
      <alignment horizontal="center" wrapText="1"/>
    </xf>
    <xf numFmtId="0" fontId="24" fillId="34" borderId="14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0" fontId="10" fillId="19" borderId="16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1" fontId="10" fillId="28" borderId="16" xfId="0" applyNumberFormat="1" applyFont="1" applyFill="1" applyBorder="1" applyAlignment="1">
      <alignment horizontal="center" vertical="center"/>
    </xf>
    <xf numFmtId="0" fontId="33" fillId="29" borderId="16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0" xfId="0" applyAlignment="1">
      <alignment vertical="center" wrapText="1"/>
    </xf>
    <xf numFmtId="0" fontId="0" fillId="0" borderId="16" xfId="0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0" fontId="10" fillId="19" borderId="16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1" fontId="10" fillId="28" borderId="16" xfId="0" applyNumberFormat="1" applyFont="1" applyFill="1" applyBorder="1" applyAlignment="1">
      <alignment horizontal="center" vertical="center"/>
    </xf>
    <xf numFmtId="0" fontId="33" fillId="29" borderId="16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34" fillId="29" borderId="0" xfId="0" applyFont="1" applyFill="1" applyAlignment="1">
      <alignment horizontal="left" vertical="center" indent="2"/>
    </xf>
    <xf numFmtId="0" fontId="34" fillId="29" borderId="0" xfId="0" applyFont="1" applyFill="1" applyAlignment="1">
      <alignment horizontal="left" vertical="center" indent="1"/>
    </xf>
    <xf numFmtId="0" fontId="0" fillId="0" borderId="16" xfId="0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0" fontId="10" fillId="19" borderId="16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1" fontId="10" fillId="28" borderId="16" xfId="0" applyNumberFormat="1" applyFont="1" applyFill="1" applyBorder="1" applyAlignment="1">
      <alignment horizontal="center" vertical="center"/>
    </xf>
    <xf numFmtId="0" fontId="33" fillId="29" borderId="16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6" xfId="0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0" fontId="10" fillId="19" borderId="16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1" fontId="10" fillId="28" borderId="16" xfId="0" applyNumberFormat="1" applyFont="1" applyFill="1" applyBorder="1" applyAlignment="1">
      <alignment horizontal="center" vertical="center"/>
    </xf>
    <xf numFmtId="0" fontId="33" fillId="29" borderId="16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33" fillId="29" borderId="16" xfId="0" applyFont="1" applyFill="1" applyBorder="1" applyAlignment="1">
      <alignment horizontal="center" vertical="center"/>
    </xf>
    <xf numFmtId="1" fontId="10" fillId="28" borderId="16" xfId="0" applyNumberFormat="1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0" fontId="10" fillId="19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21" borderId="16" xfId="0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33" fillId="29" borderId="16" xfId="0" applyFont="1" applyFill="1" applyBorder="1" applyAlignment="1">
      <alignment horizontal="center" vertical="center"/>
    </xf>
    <xf numFmtId="1" fontId="10" fillId="28" borderId="16" xfId="0" applyNumberFormat="1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0" fontId="10" fillId="19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6" xfId="0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0" fontId="10" fillId="19" borderId="16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1" fontId="10" fillId="28" borderId="16" xfId="0" applyNumberFormat="1" applyFont="1" applyFill="1" applyBorder="1" applyAlignment="1">
      <alignment horizontal="center" vertical="center"/>
    </xf>
    <xf numFmtId="0" fontId="33" fillId="29" borderId="16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33" fillId="29" borderId="16" xfId="0" applyFont="1" applyFill="1" applyBorder="1" applyAlignment="1">
      <alignment horizontal="center" vertical="center"/>
    </xf>
    <xf numFmtId="1" fontId="10" fillId="28" borderId="16" xfId="0" applyNumberFormat="1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0" fontId="10" fillId="19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17" fontId="0" fillId="0" borderId="0" xfId="0" applyNumberFormat="1"/>
    <xf numFmtId="0" fontId="0" fillId="0" borderId="16" xfId="0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0" fontId="10" fillId="19" borderId="16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1" fontId="10" fillId="28" borderId="16" xfId="0" applyNumberFormat="1" applyFont="1" applyFill="1" applyBorder="1" applyAlignment="1">
      <alignment horizontal="center" vertical="center"/>
    </xf>
    <xf numFmtId="0" fontId="33" fillId="29" borderId="16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6" xfId="0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0" fontId="10" fillId="19" borderId="16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1" fontId="10" fillId="28" borderId="16" xfId="0" applyNumberFormat="1" applyFont="1" applyFill="1" applyBorder="1" applyAlignment="1">
      <alignment horizontal="center" vertical="center"/>
    </xf>
    <xf numFmtId="0" fontId="33" fillId="29" borderId="16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0" fontId="14" fillId="4" borderId="16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26" fillId="3" borderId="16" xfId="0" applyFont="1" applyFill="1" applyBorder="1" applyAlignment="1">
      <alignment horizontal="center" vertical="center" wrapText="1"/>
    </xf>
    <xf numFmtId="0" fontId="14" fillId="12" borderId="16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0" fillId="30" borderId="20" xfId="0" applyFont="1" applyFill="1" applyBorder="1" applyAlignment="1">
      <alignment horizontal="center" vertical="center" wrapText="1"/>
    </xf>
    <xf numFmtId="0" fontId="10" fillId="30" borderId="19" xfId="0" applyFont="1" applyFill="1" applyBorder="1" applyAlignment="1">
      <alignment horizontal="center" vertical="center" wrapText="1"/>
    </xf>
    <xf numFmtId="0" fontId="10" fillId="30" borderId="17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26" fillId="9" borderId="16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6" borderId="16" xfId="0" applyFont="1" applyFill="1" applyBorder="1" applyAlignment="1">
      <alignment horizontal="center" vertical="center" wrapText="1"/>
    </xf>
    <xf numFmtId="0" fontId="0" fillId="19" borderId="52" xfId="0" applyFill="1" applyBorder="1" applyAlignment="1">
      <alignment horizontal="center"/>
    </xf>
    <xf numFmtId="0" fontId="0" fillId="31" borderId="45" xfId="0" applyFont="1" applyFill="1" applyBorder="1" applyAlignment="1">
      <alignment horizontal="center"/>
    </xf>
    <xf numFmtId="0" fontId="0" fillId="31" borderId="47" xfId="0" applyFont="1" applyFill="1" applyBorder="1" applyAlignment="1">
      <alignment horizontal="center"/>
    </xf>
    <xf numFmtId="0" fontId="0" fillId="31" borderId="46" xfId="0" applyFont="1" applyFill="1" applyBorder="1" applyAlignment="1">
      <alignment horizontal="center"/>
    </xf>
    <xf numFmtId="0" fontId="0" fillId="31" borderId="16" xfId="0" applyFill="1" applyBorder="1" applyAlignment="1">
      <alignment horizontal="center"/>
    </xf>
    <xf numFmtId="0" fontId="14" fillId="11" borderId="16" xfId="0" applyFont="1" applyFill="1" applyBorder="1" applyAlignment="1">
      <alignment horizontal="center" vertical="center" wrapText="1"/>
    </xf>
    <xf numFmtId="0" fontId="0" fillId="0" borderId="45" xfId="0" applyFont="1" applyBorder="1" applyAlignment="1">
      <alignment horizontal="left"/>
    </xf>
    <xf numFmtId="0" fontId="0" fillId="0" borderId="46" xfId="0" applyFont="1" applyBorder="1" applyAlignment="1">
      <alignment horizontal="left"/>
    </xf>
    <xf numFmtId="2" fontId="0" fillId="10" borderId="45" xfId="0" applyNumberFormat="1" applyFill="1" applyBorder="1" applyAlignment="1">
      <alignment horizontal="center"/>
    </xf>
    <xf numFmtId="2" fontId="0" fillId="10" borderId="46" xfId="0" applyNumberFormat="1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10" borderId="45" xfId="0" applyFont="1" applyFill="1" applyBorder="1" applyAlignment="1">
      <alignment horizontal="left"/>
    </xf>
    <xf numFmtId="0" fontId="0" fillId="10" borderId="46" xfId="0" applyFont="1" applyFill="1" applyBorder="1" applyAlignment="1">
      <alignment horizontal="left"/>
    </xf>
    <xf numFmtId="0" fontId="0" fillId="10" borderId="45" xfId="0" applyFill="1" applyBorder="1" applyAlignment="1">
      <alignment horizontal="center"/>
    </xf>
    <xf numFmtId="0" fontId="0" fillId="10" borderId="46" xfId="0" applyFill="1" applyBorder="1" applyAlignment="1">
      <alignment horizontal="center"/>
    </xf>
    <xf numFmtId="2" fontId="0" fillId="10" borderId="16" xfId="0" applyNumberFormat="1" applyFill="1" applyBorder="1" applyAlignment="1">
      <alignment horizontal="center"/>
    </xf>
    <xf numFmtId="0" fontId="0" fillId="10" borderId="45" xfId="0" applyFill="1" applyBorder="1" applyAlignment="1">
      <alignment horizontal="center" wrapText="1"/>
    </xf>
    <xf numFmtId="0" fontId="0" fillId="10" borderId="46" xfId="0" applyFill="1" applyBorder="1" applyAlignment="1">
      <alignment horizontal="center" wrapText="1"/>
    </xf>
    <xf numFmtId="0" fontId="0" fillId="10" borderId="16" xfId="0" applyFill="1" applyBorder="1" applyAlignment="1">
      <alignment horizontal="center" wrapText="1"/>
    </xf>
    <xf numFmtId="0" fontId="0" fillId="0" borderId="45" xfId="0" applyFont="1" applyBorder="1" applyAlignment="1">
      <alignment horizontal="center"/>
    </xf>
    <xf numFmtId="0" fontId="0" fillId="0" borderId="46" xfId="0" applyFont="1" applyBorder="1" applyAlignment="1">
      <alignment horizontal="center"/>
    </xf>
    <xf numFmtId="0" fontId="0" fillId="0" borderId="4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0" borderId="58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33" fillId="29" borderId="16" xfId="0" applyFont="1" applyFill="1" applyBorder="1" applyAlignment="1">
      <alignment horizontal="center" vertical="center"/>
    </xf>
    <xf numFmtId="0" fontId="10" fillId="28" borderId="16" xfId="0" applyFont="1" applyFill="1" applyBorder="1" applyAlignment="1">
      <alignment horizontal="center" vertical="center"/>
    </xf>
    <xf numFmtId="1" fontId="10" fillId="28" borderId="16" xfId="0" applyNumberFormat="1" applyFont="1" applyFill="1" applyBorder="1" applyAlignment="1">
      <alignment horizontal="center" vertical="center"/>
    </xf>
    <xf numFmtId="0" fontId="0" fillId="22" borderId="16" xfId="0" applyFill="1" applyBorder="1" applyAlignment="1">
      <alignment horizontal="center"/>
    </xf>
    <xf numFmtId="0" fontId="10" fillId="28" borderId="16" xfId="0" applyFont="1" applyFill="1" applyBorder="1" applyAlignment="1">
      <alignment horizontal="center" vertical="center" wrapText="1"/>
    </xf>
    <xf numFmtId="1" fontId="10" fillId="10" borderId="16" xfId="0" applyNumberFormat="1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1" fontId="10" fillId="10" borderId="45" xfId="0" applyNumberFormat="1" applyFont="1" applyFill="1" applyBorder="1" applyAlignment="1">
      <alignment horizontal="center" vertical="center"/>
    </xf>
    <xf numFmtId="1" fontId="10" fillId="10" borderId="46" xfId="0" applyNumberFormat="1" applyFont="1" applyFill="1" applyBorder="1" applyAlignment="1">
      <alignment horizontal="center" vertical="center"/>
    </xf>
    <xf numFmtId="0" fontId="10" fillId="28" borderId="45" xfId="0" applyFont="1" applyFill="1" applyBorder="1" applyAlignment="1">
      <alignment horizontal="center" vertical="center"/>
    </xf>
    <xf numFmtId="0" fontId="10" fillId="28" borderId="46" xfId="0" applyFont="1" applyFill="1" applyBorder="1" applyAlignment="1">
      <alignment horizontal="center" vertical="center"/>
    </xf>
    <xf numFmtId="0" fontId="10" fillId="10" borderId="46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16" xfId="0" applyFont="1" applyBorder="1" applyAlignment="1">
      <alignment horizontal="center"/>
    </xf>
    <xf numFmtId="1" fontId="0" fillId="0" borderId="16" xfId="0" applyNumberFormat="1" applyFont="1" applyBorder="1" applyAlignment="1">
      <alignment horizontal="center"/>
    </xf>
    <xf numFmtId="1" fontId="10" fillId="19" borderId="16" xfId="0" applyNumberFormat="1" applyFont="1" applyFill="1" applyBorder="1" applyAlignment="1">
      <alignment horizontal="center" vertical="center"/>
    </xf>
    <xf numFmtId="0" fontId="10" fillId="19" borderId="16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0" fontId="13" fillId="0" borderId="19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" fillId="4" borderId="8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4" fillId="5" borderId="12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1" fillId="12" borderId="12" xfId="0" applyFont="1" applyFill="1" applyBorder="1" applyAlignment="1">
      <alignment vertical="center" wrapText="1"/>
    </xf>
    <xf numFmtId="0" fontId="1" fillId="12" borderId="7" xfId="0" applyFont="1" applyFill="1" applyBorder="1" applyAlignment="1">
      <alignment vertical="center" wrapText="1"/>
    </xf>
    <xf numFmtId="0" fontId="1" fillId="13" borderId="12" xfId="0" applyFont="1" applyFill="1" applyBorder="1" applyAlignment="1">
      <alignment vertical="center" wrapText="1"/>
    </xf>
    <xf numFmtId="0" fontId="1" fillId="13" borderId="7" xfId="0" applyFont="1" applyFill="1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2" fillId="15" borderId="0" xfId="0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vertical="center" wrapText="1"/>
    </xf>
    <xf numFmtId="0" fontId="1" fillId="6" borderId="7" xfId="0" applyFont="1" applyFill="1" applyBorder="1" applyAlignment="1">
      <alignment vertical="center" wrapText="1"/>
    </xf>
    <xf numFmtId="0" fontId="1" fillId="7" borderId="12" xfId="0" applyFont="1" applyFill="1" applyBorder="1" applyAlignment="1">
      <alignment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vertical="center" wrapText="1"/>
    </xf>
    <xf numFmtId="0" fontId="1" fillId="8" borderId="12" xfId="0" applyFont="1" applyFill="1" applyBorder="1" applyAlignment="1">
      <alignment vertical="center" wrapText="1"/>
    </xf>
    <xf numFmtId="0" fontId="1" fillId="8" borderId="6" xfId="0" applyFont="1" applyFill="1" applyBorder="1" applyAlignment="1">
      <alignment vertical="center" wrapText="1"/>
    </xf>
    <xf numFmtId="0" fontId="1" fillId="8" borderId="7" xfId="0" applyFont="1" applyFill="1" applyBorder="1" applyAlignment="1">
      <alignment vertical="center" wrapText="1"/>
    </xf>
    <xf numFmtId="0" fontId="1" fillId="9" borderId="12" xfId="0" applyFont="1" applyFill="1" applyBorder="1" applyAlignment="1">
      <alignment vertical="center" wrapText="1"/>
    </xf>
    <xf numFmtId="0" fontId="1" fillId="9" borderId="7" xfId="0" applyFont="1" applyFill="1" applyBorder="1" applyAlignment="1">
      <alignment vertical="center" wrapText="1"/>
    </xf>
    <xf numFmtId="0" fontId="6" fillId="10" borderId="12" xfId="0" applyFont="1" applyFill="1" applyBorder="1" applyAlignment="1">
      <alignment vertical="center" wrapText="1"/>
    </xf>
    <xf numFmtId="0" fontId="6" fillId="10" borderId="6" xfId="0" applyFont="1" applyFill="1" applyBorder="1" applyAlignment="1">
      <alignment vertical="center" wrapText="1"/>
    </xf>
    <xf numFmtId="0" fontId="6" fillId="10" borderId="7" xfId="0" applyFont="1" applyFill="1" applyBorder="1" applyAlignment="1">
      <alignment vertical="center" wrapText="1"/>
    </xf>
    <xf numFmtId="0" fontId="1" fillId="11" borderId="12" xfId="0" applyFont="1" applyFill="1" applyBorder="1" applyAlignment="1">
      <alignment vertical="center" wrapText="1"/>
    </xf>
    <xf numFmtId="0" fontId="1" fillId="11" borderId="6" xfId="0" applyFont="1" applyFill="1" applyBorder="1" applyAlignment="1">
      <alignment vertical="center" wrapText="1"/>
    </xf>
    <xf numFmtId="0" fontId="1" fillId="11" borderId="7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 wrapText="1"/>
    </xf>
    <xf numFmtId="0" fontId="1" fillId="4" borderId="16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10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6" fillId="10" borderId="16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 wrapText="1"/>
    </xf>
    <xf numFmtId="0" fontId="1" fillId="12" borderId="17" xfId="0" applyFont="1" applyFill="1" applyBorder="1" applyAlignment="1">
      <alignment horizontal="center" vertical="center" wrapText="1"/>
    </xf>
    <xf numFmtId="0" fontId="1" fillId="13" borderId="20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 wrapText="1"/>
    </xf>
    <xf numFmtId="0" fontId="14" fillId="13" borderId="20" xfId="0" applyFont="1" applyFill="1" applyBorder="1" applyAlignment="1">
      <alignment horizontal="center" vertical="center" wrapText="1"/>
    </xf>
    <xf numFmtId="0" fontId="14" fillId="13" borderId="19" xfId="0" applyFont="1" applyFill="1" applyBorder="1" applyAlignment="1">
      <alignment horizontal="center" vertical="center" wrapText="1"/>
    </xf>
    <xf numFmtId="0" fontId="14" fillId="13" borderId="17" xfId="0" applyFont="1" applyFill="1" applyBorder="1" applyAlignment="1">
      <alignment horizontal="center" vertical="center" wrapText="1"/>
    </xf>
    <xf numFmtId="0" fontId="14" fillId="16" borderId="20" xfId="0" applyFont="1" applyFill="1" applyBorder="1" applyAlignment="1">
      <alignment horizontal="center" vertical="center" wrapText="1"/>
    </xf>
    <xf numFmtId="0" fontId="14" fillId="16" borderId="19" xfId="0" applyFont="1" applyFill="1" applyBorder="1" applyAlignment="1">
      <alignment horizontal="center" vertical="center" wrapText="1"/>
    </xf>
    <xf numFmtId="0" fontId="14" fillId="16" borderId="17" xfId="0" applyFont="1" applyFill="1" applyBorder="1" applyAlignment="1">
      <alignment horizontal="center" vertical="center" wrapText="1"/>
    </xf>
    <xf numFmtId="0" fontId="1" fillId="11" borderId="20" xfId="0" applyFont="1" applyFill="1" applyBorder="1" applyAlignment="1">
      <alignment horizontal="center" vertical="center" wrapText="1"/>
    </xf>
    <xf numFmtId="0" fontId="1" fillId="11" borderId="19" xfId="0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1" fillId="8" borderId="20" xfId="0" applyFont="1" applyFill="1" applyBorder="1" applyAlignment="1">
      <alignment horizontal="center" vertical="center" wrapText="1"/>
    </xf>
    <xf numFmtId="0" fontId="1" fillId="8" borderId="19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 wrapText="1"/>
    </xf>
    <xf numFmtId="0" fontId="6" fillId="20" borderId="16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12" borderId="12" xfId="0" applyFont="1" applyFill="1" applyBorder="1" applyAlignment="1">
      <alignment horizontal="center" vertical="center" wrapText="1"/>
    </xf>
    <xf numFmtId="0" fontId="0" fillId="0" borderId="7" xfId="0" applyBorder="1"/>
    <xf numFmtId="0" fontId="19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16" xfId="0" applyBorder="1"/>
    <xf numFmtId="0" fontId="6" fillId="9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1" fillId="8" borderId="45" xfId="0" applyFont="1" applyFill="1" applyBorder="1" applyAlignment="1">
      <alignment horizontal="center" vertical="center" wrapText="1"/>
    </xf>
    <xf numFmtId="0" fontId="1" fillId="8" borderId="47" xfId="0" applyFont="1" applyFill="1" applyBorder="1" applyAlignment="1">
      <alignment horizontal="center" vertical="center" wrapText="1"/>
    </xf>
    <xf numFmtId="0" fontId="1" fillId="8" borderId="46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1" fillId="4" borderId="48" xfId="0" applyFont="1" applyFill="1" applyBorder="1" applyAlignment="1">
      <alignment horizontal="center" vertical="center" wrapText="1"/>
    </xf>
    <xf numFmtId="0" fontId="1" fillId="4" borderId="49" xfId="0" applyFont="1" applyFill="1" applyBorder="1" applyAlignment="1">
      <alignment horizontal="center" vertical="center" wrapText="1"/>
    </xf>
    <xf numFmtId="0" fontId="1" fillId="4" borderId="50" xfId="0" applyFont="1" applyFill="1" applyBorder="1" applyAlignment="1">
      <alignment horizontal="center" vertical="center" wrapText="1"/>
    </xf>
    <xf numFmtId="0" fontId="1" fillId="4" borderId="51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center" vertical="center" wrapText="1"/>
    </xf>
    <xf numFmtId="0" fontId="1" fillId="4" borderId="53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4" fillId="5" borderId="45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6" borderId="46" xfId="0" applyFont="1" applyFill="1" applyBorder="1" applyAlignment="1">
      <alignment horizontal="center" vertical="center" wrapText="1"/>
    </xf>
    <xf numFmtId="0" fontId="1" fillId="7" borderId="45" xfId="0" applyFont="1" applyFill="1" applyBorder="1" applyAlignment="1">
      <alignment horizontal="center" vertical="center" wrapText="1"/>
    </xf>
    <xf numFmtId="0" fontId="1" fillId="7" borderId="47" xfId="0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12" borderId="45" xfId="0" applyFont="1" applyFill="1" applyBorder="1" applyAlignment="1">
      <alignment horizontal="center" vertical="center" wrapText="1"/>
    </xf>
    <xf numFmtId="0" fontId="1" fillId="12" borderId="46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9" borderId="45" xfId="0" applyFont="1" applyFill="1" applyBorder="1" applyAlignment="1">
      <alignment horizontal="center" vertical="center" wrapText="1"/>
    </xf>
    <xf numFmtId="0" fontId="1" fillId="9" borderId="46" xfId="0" applyFont="1" applyFill="1" applyBorder="1" applyAlignment="1">
      <alignment horizontal="center" vertical="center" wrapText="1"/>
    </xf>
    <xf numFmtId="0" fontId="6" fillId="9" borderId="45" xfId="0" applyFont="1" applyFill="1" applyBorder="1" applyAlignment="1">
      <alignment horizontal="center" vertical="center" wrapText="1"/>
    </xf>
    <xf numFmtId="0" fontId="6" fillId="9" borderId="47" xfId="0" applyFont="1" applyFill="1" applyBorder="1" applyAlignment="1">
      <alignment horizontal="center" vertical="center" wrapText="1"/>
    </xf>
    <xf numFmtId="0" fontId="6" fillId="9" borderId="46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0" fontId="14" fillId="13" borderId="47" xfId="0" applyFont="1" applyFill="1" applyBorder="1" applyAlignment="1">
      <alignment horizontal="center" vertical="center" wrapText="1"/>
    </xf>
    <xf numFmtId="0" fontId="14" fillId="13" borderId="46" xfId="0" applyFont="1" applyFill="1" applyBorder="1" applyAlignment="1">
      <alignment horizontal="center" vertical="center" wrapText="1"/>
    </xf>
    <xf numFmtId="0" fontId="14" fillId="16" borderId="45" xfId="0" applyFont="1" applyFill="1" applyBorder="1" applyAlignment="1">
      <alignment horizontal="center" vertical="center" wrapText="1"/>
    </xf>
    <xf numFmtId="0" fontId="14" fillId="16" borderId="47" xfId="0" applyFont="1" applyFill="1" applyBorder="1" applyAlignment="1">
      <alignment horizontal="center" vertical="center" wrapText="1"/>
    </xf>
    <xf numFmtId="0" fontId="14" fillId="16" borderId="46" xfId="0" applyFont="1" applyFill="1" applyBorder="1" applyAlignment="1">
      <alignment horizontal="center" vertical="center" wrapText="1"/>
    </xf>
    <xf numFmtId="0" fontId="1" fillId="11" borderId="45" xfId="0" applyFont="1" applyFill="1" applyBorder="1" applyAlignment="1">
      <alignment horizontal="center" vertical="center" wrapText="1"/>
    </xf>
    <xf numFmtId="0" fontId="1" fillId="11" borderId="47" xfId="0" applyFont="1" applyFill="1" applyBorder="1" applyAlignment="1">
      <alignment horizontal="center" vertical="center" wrapText="1"/>
    </xf>
    <xf numFmtId="0" fontId="1" fillId="11" borderId="46" xfId="0" applyFont="1" applyFill="1" applyBorder="1" applyAlignment="1">
      <alignment horizontal="center" vertical="center" wrapText="1"/>
    </xf>
    <xf numFmtId="0" fontId="1" fillId="25" borderId="45" xfId="0" applyFont="1" applyFill="1" applyBorder="1" applyAlignment="1">
      <alignment horizontal="center" vertical="center" wrapText="1"/>
    </xf>
    <xf numFmtId="0" fontId="1" fillId="25" borderId="4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/>
    </xf>
    <xf numFmtId="0" fontId="0" fillId="0" borderId="0" xfId="0" applyAlignment="1">
      <alignment horizontal="center" vertical="center" wrapText="1"/>
    </xf>
    <xf numFmtId="0" fontId="25" fillId="8" borderId="12" xfId="0" applyFont="1" applyFill="1" applyBorder="1" applyAlignment="1">
      <alignment horizontal="center" vertical="center" wrapText="1"/>
    </xf>
    <xf numFmtId="0" fontId="25" fillId="8" borderId="6" xfId="0" applyFont="1" applyFill="1" applyBorder="1" applyAlignment="1">
      <alignment horizontal="center" vertical="center" wrapText="1"/>
    </xf>
    <xf numFmtId="0" fontId="25" fillId="8" borderId="7" xfId="0" applyFont="1" applyFill="1" applyBorder="1" applyAlignment="1">
      <alignment horizontal="center" vertical="center" wrapText="1"/>
    </xf>
    <xf numFmtId="0" fontId="25" fillId="2" borderId="39" xfId="0" applyFont="1" applyFill="1" applyBorder="1" applyAlignment="1">
      <alignment horizontal="center" vertical="center" wrapText="1"/>
    </xf>
    <xf numFmtId="0" fontId="25" fillId="2" borderId="26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22" fillId="3" borderId="32" xfId="0" applyFont="1" applyFill="1" applyBorder="1" applyAlignment="1">
      <alignment horizontal="center" vertical="center" wrapText="1"/>
    </xf>
    <xf numFmtId="0" fontId="22" fillId="3" borderId="57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25" fillId="4" borderId="34" xfId="0" applyFont="1" applyFill="1" applyBorder="1" applyAlignment="1">
      <alignment horizontal="center" vertical="center" wrapText="1"/>
    </xf>
    <xf numFmtId="0" fontId="25" fillId="4" borderId="29" xfId="0" applyFont="1" applyFill="1" applyBorder="1" applyAlignment="1">
      <alignment horizontal="center" vertical="center" wrapText="1"/>
    </xf>
    <xf numFmtId="0" fontId="25" fillId="4" borderId="30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center" vertical="center" wrapText="1"/>
    </xf>
    <xf numFmtId="0" fontId="25" fillId="4" borderId="9" xfId="0" applyFont="1" applyFill="1" applyBorder="1" applyAlignment="1">
      <alignment horizontal="center" vertical="center" wrapText="1"/>
    </xf>
    <xf numFmtId="0" fontId="25" fillId="5" borderId="12" xfId="0" applyFont="1" applyFill="1" applyBorder="1" applyAlignment="1">
      <alignment horizontal="center" vertical="center" wrapText="1"/>
    </xf>
    <xf numFmtId="0" fontId="25" fillId="5" borderId="6" xfId="0" applyFont="1" applyFill="1" applyBorder="1" applyAlignment="1">
      <alignment horizontal="center" vertical="center" wrapText="1"/>
    </xf>
    <xf numFmtId="0" fontId="25" fillId="5" borderId="7" xfId="0" applyFont="1" applyFill="1" applyBorder="1" applyAlignment="1">
      <alignment horizontal="center" vertical="center" wrapText="1"/>
    </xf>
    <xf numFmtId="0" fontId="25" fillId="6" borderId="12" xfId="0" applyFont="1" applyFill="1" applyBorder="1" applyAlignment="1">
      <alignment horizontal="center" vertical="center" wrapText="1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25" fillId="7" borderId="12" xfId="0" applyFont="1" applyFill="1" applyBorder="1" applyAlignment="1">
      <alignment horizontal="center" vertical="center" wrapText="1"/>
    </xf>
    <xf numFmtId="0" fontId="25" fillId="7" borderId="6" xfId="0" applyFont="1" applyFill="1" applyBorder="1" applyAlignment="1">
      <alignment horizontal="center" vertical="center" wrapText="1"/>
    </xf>
    <xf numFmtId="0" fontId="25" fillId="7" borderId="7" xfId="0" applyFont="1" applyFill="1" applyBorder="1" applyAlignment="1">
      <alignment horizontal="center" vertical="center" wrapText="1"/>
    </xf>
    <xf numFmtId="0" fontId="25" fillId="12" borderId="12" xfId="0" applyFont="1" applyFill="1" applyBorder="1" applyAlignment="1">
      <alignment horizontal="center" vertical="center" wrapText="1"/>
    </xf>
    <xf numFmtId="0" fontId="25" fillId="12" borderId="7" xfId="0" applyFont="1" applyFill="1" applyBorder="1" applyAlignment="1">
      <alignment horizontal="center" vertical="center" wrapText="1"/>
    </xf>
    <xf numFmtId="0" fontId="25" fillId="13" borderId="12" xfId="0" applyFont="1" applyFill="1" applyBorder="1" applyAlignment="1">
      <alignment horizontal="center" vertical="center" wrapText="1"/>
    </xf>
    <xf numFmtId="0" fontId="25" fillId="13" borderId="7" xfId="0" applyFont="1" applyFill="1" applyBorder="1" applyAlignment="1">
      <alignment horizontal="center" vertical="center" wrapText="1"/>
    </xf>
    <xf numFmtId="0" fontId="25" fillId="25" borderId="12" xfId="0" applyFont="1" applyFill="1" applyBorder="1" applyAlignment="1">
      <alignment horizontal="center" vertical="center" wrapText="1"/>
    </xf>
    <xf numFmtId="0" fontId="25" fillId="25" borderId="7" xfId="0" applyFont="1" applyFill="1" applyBorder="1" applyAlignment="1">
      <alignment horizontal="center" vertical="center" wrapText="1"/>
    </xf>
    <xf numFmtId="0" fontId="25" fillId="9" borderId="12" xfId="0" applyFont="1" applyFill="1" applyBorder="1" applyAlignment="1">
      <alignment horizontal="center" vertical="center" wrapText="1"/>
    </xf>
    <xf numFmtId="0" fontId="25" fillId="9" borderId="7" xfId="0" applyFont="1" applyFill="1" applyBorder="1" applyAlignment="1">
      <alignment horizontal="center" vertical="center" wrapText="1"/>
    </xf>
    <xf numFmtId="0" fontId="26" fillId="9" borderId="20" xfId="0" applyFont="1" applyFill="1" applyBorder="1" applyAlignment="1">
      <alignment horizontal="center" vertical="center" wrapText="1"/>
    </xf>
    <xf numFmtId="0" fontId="26" fillId="9" borderId="19" xfId="0" applyFont="1" applyFill="1" applyBorder="1" applyAlignment="1">
      <alignment horizontal="center" vertical="center" wrapText="1"/>
    </xf>
    <xf numFmtId="0" fontId="26" fillId="9" borderId="17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14" fillId="13" borderId="7" xfId="0" applyFont="1" applyFill="1" applyBorder="1" applyAlignment="1">
      <alignment horizontal="center" vertical="center" wrapText="1"/>
    </xf>
    <xf numFmtId="0" fontId="14" fillId="16" borderId="12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0" fontId="25" fillId="11" borderId="12" xfId="0" applyFont="1" applyFill="1" applyBorder="1" applyAlignment="1">
      <alignment horizontal="center" vertical="center" wrapText="1"/>
    </xf>
    <xf numFmtId="0" fontId="25" fillId="11" borderId="6" xfId="0" applyFont="1" applyFill="1" applyBorder="1" applyAlignment="1">
      <alignment horizontal="center" vertical="center" wrapText="1"/>
    </xf>
    <xf numFmtId="0" fontId="25" fillId="11" borderId="7" xfId="0" applyFont="1" applyFill="1" applyBorder="1" applyAlignment="1">
      <alignment horizontal="center" vertical="center" wrapText="1"/>
    </xf>
    <xf numFmtId="0" fontId="0" fillId="0" borderId="47" xfId="0" applyFont="1" applyBorder="1" applyAlignment="1">
      <alignment horizontal="center"/>
    </xf>
    <xf numFmtId="0" fontId="30" fillId="28" borderId="0" xfId="0" applyFont="1" applyFill="1" applyAlignment="1">
      <alignment horizontal="center" vertical="center"/>
    </xf>
    <xf numFmtId="0" fontId="31" fillId="29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0" fillId="30" borderId="20" xfId="0" applyFont="1" applyFill="1" applyBorder="1" applyAlignment="1">
      <alignment horizontal="center" wrapText="1"/>
    </xf>
    <xf numFmtId="0" fontId="10" fillId="30" borderId="19" xfId="0" applyFont="1" applyFill="1" applyBorder="1" applyAlignment="1">
      <alignment horizontal="center" wrapText="1"/>
    </xf>
    <xf numFmtId="0" fontId="10" fillId="30" borderId="17" xfId="0" applyFont="1" applyFill="1" applyBorder="1" applyAlignment="1">
      <alignment horizontal="center" wrapText="1"/>
    </xf>
    <xf numFmtId="0" fontId="14" fillId="9" borderId="20" xfId="0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14" fillId="11" borderId="20" xfId="0" applyFont="1" applyFill="1" applyBorder="1" applyAlignment="1">
      <alignment horizontal="center" vertical="center" wrapText="1"/>
    </xf>
    <xf numFmtId="0" fontId="14" fillId="11" borderId="19" xfId="0" applyFont="1" applyFill="1" applyBorder="1" applyAlignment="1">
      <alignment horizontal="center" vertical="center" wrapText="1"/>
    </xf>
    <xf numFmtId="0" fontId="14" fillId="11" borderId="17" xfId="0" applyFont="1" applyFill="1" applyBorder="1" applyAlignment="1">
      <alignment horizontal="center" vertical="center" wrapText="1"/>
    </xf>
    <xf numFmtId="0" fontId="14" fillId="12" borderId="20" xfId="0" applyFont="1" applyFill="1" applyBorder="1" applyAlignment="1">
      <alignment horizontal="center" vertical="center" wrapText="1"/>
    </xf>
    <xf numFmtId="0" fontId="14" fillId="12" borderId="17" xfId="0" applyFont="1" applyFill="1" applyBorder="1" applyAlignment="1">
      <alignment horizontal="center" vertical="center" wrapText="1"/>
    </xf>
    <xf numFmtId="0" fontId="14" fillId="25" borderId="20" xfId="0" applyFont="1" applyFill="1" applyBorder="1" applyAlignment="1">
      <alignment horizontal="center" vertical="center" wrapText="1"/>
    </xf>
    <xf numFmtId="0" fontId="14" fillId="25" borderId="17" xfId="0" applyFont="1" applyFill="1" applyBorder="1" applyAlignment="1">
      <alignment horizontal="center" vertical="center" wrapText="1"/>
    </xf>
    <xf numFmtId="0" fontId="14" fillId="8" borderId="20" xfId="0" applyFont="1" applyFill="1" applyBorder="1" applyAlignment="1">
      <alignment horizontal="center" vertical="center" wrapText="1"/>
    </xf>
    <xf numFmtId="0" fontId="14" fillId="8" borderId="19" xfId="0" applyFont="1" applyFill="1" applyBorder="1" applyAlignment="1">
      <alignment horizontal="center" vertical="center" wrapText="1"/>
    </xf>
    <xf numFmtId="0" fontId="14" fillId="8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 wrapText="1"/>
    </xf>
    <xf numFmtId="0" fontId="26" fillId="3" borderId="32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center" vertical="center" wrapText="1"/>
    </xf>
    <xf numFmtId="0" fontId="14" fillId="4" borderId="33" xfId="0" applyFont="1" applyFill="1" applyBorder="1" applyAlignment="1">
      <alignment horizontal="center" vertical="center" wrapText="1"/>
    </xf>
    <xf numFmtId="0" fontId="14" fillId="4" borderId="27" xfId="0" applyFont="1" applyFill="1" applyBorder="1" applyAlignment="1">
      <alignment horizontal="center" vertical="center" wrapText="1"/>
    </xf>
    <xf numFmtId="0" fontId="14" fillId="4" borderId="28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5" borderId="20" xfId="0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center" vertical="center" wrapText="1"/>
    </xf>
    <xf numFmtId="0" fontId="14" fillId="6" borderId="17" xfId="0" applyFont="1" applyFill="1" applyBorder="1" applyAlignment="1">
      <alignment horizontal="center" vertical="center" wrapText="1"/>
    </xf>
    <xf numFmtId="0" fontId="14" fillId="7" borderId="20" xfId="0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center" vertical="center" wrapText="1"/>
    </xf>
    <xf numFmtId="0" fontId="14" fillId="7" borderId="17" xfId="0" applyFont="1" applyFill="1" applyBorder="1" applyAlignment="1">
      <alignment horizontal="center" vertical="center" wrapText="1"/>
    </xf>
    <xf numFmtId="0" fontId="30" fillId="28" borderId="16" xfId="0" applyFont="1" applyFill="1" applyBorder="1" applyAlignment="1">
      <alignment horizontal="center" vertical="center"/>
    </xf>
    <xf numFmtId="0" fontId="0" fillId="35" borderId="16" xfId="0" applyFill="1" applyBorder="1" applyAlignment="1">
      <alignment horizontal="center"/>
    </xf>
    <xf numFmtId="0" fontId="0" fillId="35" borderId="16" xfId="0" applyFill="1" applyBorder="1" applyAlignment="1">
      <alignment horizontal="center" wrapText="1"/>
    </xf>
    <xf numFmtId="1" fontId="10" fillId="0" borderId="45" xfId="0" applyNumberFormat="1" applyFont="1" applyFill="1" applyBorder="1" applyAlignment="1">
      <alignment horizontal="center" vertical="center"/>
    </xf>
    <xf numFmtId="1" fontId="10" fillId="0" borderId="46" xfId="0" applyNumberFormat="1" applyFont="1" applyFill="1" applyBorder="1" applyAlignment="1">
      <alignment horizontal="center" vertical="center"/>
    </xf>
    <xf numFmtId="0" fontId="0" fillId="31" borderId="58" xfId="0" applyFill="1" applyBorder="1" applyAlignment="1">
      <alignment horizontal="center"/>
    </xf>
    <xf numFmtId="0" fontId="0" fillId="31" borderId="0" xfId="0" applyFill="1" applyBorder="1" applyAlignment="1">
      <alignment horizontal="center"/>
    </xf>
    <xf numFmtId="2" fontId="0" fillId="10" borderId="58" xfId="0" applyNumberFormat="1" applyFill="1" applyBorder="1" applyAlignment="1">
      <alignment horizontal="center"/>
    </xf>
    <xf numFmtId="2" fontId="0" fillId="10" borderId="0" xfId="0" applyNumberFormat="1" applyFill="1" applyBorder="1" applyAlignment="1">
      <alignment horizontal="center"/>
    </xf>
    <xf numFmtId="0" fontId="0" fillId="10" borderId="58" xfId="0" applyFill="1" applyBorder="1" applyAlignment="1">
      <alignment horizontal="center" wrapText="1"/>
    </xf>
    <xf numFmtId="0" fontId="0" fillId="10" borderId="0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CA480"/>
      <color rgb="FF00D25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1"/>
  <sheetViews>
    <sheetView topLeftCell="M28" zoomScale="85" zoomScaleNormal="85" workbookViewId="0">
      <selection activeCell="Z41" sqref="Z41"/>
    </sheetView>
  </sheetViews>
  <sheetFormatPr defaultRowHeight="15" x14ac:dyDescent="0.25"/>
  <cols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873" t="s">
        <v>17</v>
      </c>
      <c r="R2" s="873" t="s">
        <v>18</v>
      </c>
      <c r="S2" s="873" t="s">
        <v>19</v>
      </c>
      <c r="T2" s="874" t="s">
        <v>20</v>
      </c>
      <c r="U2" s="874" t="s">
        <v>21</v>
      </c>
      <c r="V2" s="874" t="s">
        <v>22</v>
      </c>
      <c r="W2" s="874">
        <v>45</v>
      </c>
      <c r="X2" s="875" t="s">
        <v>24</v>
      </c>
      <c r="Y2" s="875" t="s">
        <v>25</v>
      </c>
      <c r="Z2" s="875" t="s">
        <v>26</v>
      </c>
      <c r="AA2" s="875" t="s">
        <v>27</v>
      </c>
      <c r="AB2" s="876" t="s">
        <v>28</v>
      </c>
      <c r="AC2" s="876" t="s">
        <v>29</v>
      </c>
      <c r="AD2" s="876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870" t="s">
        <v>31</v>
      </c>
      <c r="AJ2" s="870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856" t="s">
        <v>102</v>
      </c>
      <c r="AT2" s="856" t="s">
        <v>103</v>
      </c>
      <c r="AU2" s="856" t="s">
        <v>104</v>
      </c>
      <c r="AV2" s="856" t="s">
        <v>105</v>
      </c>
      <c r="AW2" s="856" t="s">
        <v>106</v>
      </c>
      <c r="AX2" s="857" t="s">
        <v>107</v>
      </c>
      <c r="AY2" s="857" t="s">
        <v>108</v>
      </c>
      <c r="AZ2" s="857" t="s">
        <v>109</v>
      </c>
      <c r="BA2" s="857" t="s">
        <v>110</v>
      </c>
      <c r="BB2" s="857" t="s">
        <v>111</v>
      </c>
      <c r="BC2" s="857" t="s">
        <v>112</v>
      </c>
      <c r="BD2" s="857" t="s">
        <v>113</v>
      </c>
      <c r="BE2" s="857" t="s">
        <v>114</v>
      </c>
      <c r="BF2" s="857" t="s">
        <v>115</v>
      </c>
      <c r="BG2" s="729" t="s">
        <v>116</v>
      </c>
      <c r="BH2" s="730" t="s">
        <v>117</v>
      </c>
      <c r="BI2" s="857" t="s">
        <v>118</v>
      </c>
      <c r="BJ2" s="871" t="s">
        <v>14</v>
      </c>
      <c r="BK2" s="871" t="s">
        <v>167</v>
      </c>
      <c r="BL2" s="871" t="s">
        <v>39</v>
      </c>
      <c r="BM2" s="871" t="s">
        <v>40</v>
      </c>
      <c r="BN2" s="871" t="s">
        <v>41</v>
      </c>
      <c r="BO2" s="871" t="s">
        <v>43</v>
      </c>
      <c r="BP2" s="871" t="s">
        <v>44</v>
      </c>
      <c r="BQ2" s="871" t="s">
        <v>46</v>
      </c>
      <c r="BR2" s="867" t="s">
        <v>47</v>
      </c>
      <c r="BS2" s="867" t="s">
        <v>48</v>
      </c>
      <c r="BT2" s="856" t="s">
        <v>49</v>
      </c>
      <c r="BU2" s="856" t="s">
        <v>50</v>
      </c>
      <c r="BV2" s="867" t="s">
        <v>131</v>
      </c>
      <c r="BW2" s="867" t="s">
        <v>132</v>
      </c>
      <c r="BX2" s="868" t="s">
        <v>172</v>
      </c>
      <c r="BY2" s="868" t="s">
        <v>173</v>
      </c>
      <c r="BZ2" s="869" t="s">
        <v>216</v>
      </c>
      <c r="CA2" s="869" t="s">
        <v>217</v>
      </c>
    </row>
    <row r="3" spans="1:79" ht="90.75" thickBot="1" x14ac:dyDescent="0.3">
      <c r="A3" s="872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868" t="s">
        <v>120</v>
      </c>
      <c r="BY3" s="868" t="s">
        <v>174</v>
      </c>
      <c r="BZ3" s="869" t="s">
        <v>120</v>
      </c>
      <c r="CA3" s="869" t="s">
        <v>222</v>
      </c>
    </row>
    <row r="4" spans="1:79" ht="31.5" x14ac:dyDescent="0.25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859">
        <v>28960</v>
      </c>
      <c r="Q4" s="438">
        <f>SUM(T4,X4,AB4,AS4,AX4,BA4)</f>
        <v>9.2725906084656096</v>
      </c>
      <c r="R4" s="438">
        <f>SUM(U4,Y4,AC4,AI4,AT4,BB4)</f>
        <v>6.8909061706349206</v>
      </c>
      <c r="S4" s="438">
        <f>SUM(V4,Z4,AD4,AJ4,AU4)</f>
        <v>3.4561712202380956</v>
      </c>
      <c r="T4" s="453">
        <f>S17</f>
        <v>3.9042486772486775</v>
      </c>
      <c r="U4" s="453">
        <f>T4/100*70</f>
        <v>2.7329740740740744</v>
      </c>
      <c r="V4" s="453">
        <f>T4/100*30</f>
        <v>1.1712746031746033</v>
      </c>
      <c r="W4" s="453">
        <v>0</v>
      </c>
      <c r="X4" s="454">
        <f>S18</f>
        <v>2.9281865079365081</v>
      </c>
      <c r="Y4" s="454">
        <f>X4/100*70</f>
        <v>2.0497305555555556</v>
      </c>
      <c r="Z4" s="454">
        <f>X4/100*30</f>
        <v>0.87845595238095242</v>
      </c>
      <c r="AA4" s="454">
        <v>0</v>
      </c>
      <c r="AB4" s="455">
        <f>S19</f>
        <v>0.48803108465608469</v>
      </c>
      <c r="AC4" s="455">
        <f>AB4/100*70</f>
        <v>0.34162175925925931</v>
      </c>
      <c r="AD4" s="455">
        <f>AB4/100*30</f>
        <v>0.14640932539682541</v>
      </c>
      <c r="AE4" s="201">
        <v>0</v>
      </c>
      <c r="AF4" s="823">
        <v>0</v>
      </c>
      <c r="AG4" s="823">
        <v>0</v>
      </c>
      <c r="AH4" s="823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1.4640932539682541</v>
      </c>
      <c r="AT4" s="457">
        <f>AS4/100*90</f>
        <v>1.3176839285714286</v>
      </c>
      <c r="AU4" s="457">
        <f>AT4/100*85</f>
        <v>1.1200313392857144</v>
      </c>
      <c r="AV4" s="457">
        <v>0</v>
      </c>
      <c r="AW4" s="457">
        <v>0</v>
      </c>
      <c r="AX4" s="458">
        <f>S22</f>
        <v>0.19521243386243387</v>
      </c>
      <c r="AY4" s="469">
        <v>4</v>
      </c>
      <c r="AZ4" s="459" t="s">
        <v>65</v>
      </c>
      <c r="BA4" s="460">
        <f>S23</f>
        <v>0.29281865079365077</v>
      </c>
      <c r="BB4" s="458">
        <f>BA4/100*85</f>
        <v>0.24889585317460317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1.1712746031746033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858" t="s">
        <v>67</v>
      </c>
      <c r="CA4" s="858" t="s">
        <v>223</v>
      </c>
    </row>
    <row r="5" spans="1:79" ht="31.5" x14ac:dyDescent="0.25">
      <c r="A5" s="50">
        <v>50</v>
      </c>
      <c r="B5" s="855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9.6990601851851856</v>
      </c>
      <c r="R5" s="438">
        <f>SUM(U5,Y5,AC5,AI5,AT5,BB5)</f>
        <v>7.1986376388888891</v>
      </c>
      <c r="S5" s="438">
        <f>SUM(V5,Z5,AD5,AJ5,AU5)</f>
        <v>3.6086902083333339</v>
      </c>
      <c r="T5" s="453">
        <f>X17</f>
        <v>4.083814814814815</v>
      </c>
      <c r="U5" s="453">
        <f>T5/100*70</f>
        <v>2.8586703703703704</v>
      </c>
      <c r="V5" s="453">
        <f>T5/100*30</f>
        <v>1.2251444444444446</v>
      </c>
      <c r="W5" s="345">
        <v>0</v>
      </c>
      <c r="X5" s="454">
        <f>X18</f>
        <v>3.0628611111111113</v>
      </c>
      <c r="Y5" s="454">
        <f>X5/100*70</f>
        <v>2.1440027777777781</v>
      </c>
      <c r="Z5" s="454">
        <f>X5/100*30</f>
        <v>0.91885833333333344</v>
      </c>
      <c r="AA5" s="346">
        <v>0</v>
      </c>
      <c r="AB5" s="455">
        <f>X19</f>
        <v>0.51047685185185188</v>
      </c>
      <c r="AC5" s="455">
        <f>AB5/100*70</f>
        <v>0.3573337962962963</v>
      </c>
      <c r="AD5" s="455">
        <f>AB5/100*30</f>
        <v>0.15314305555555557</v>
      </c>
      <c r="AE5" s="250">
        <v>0</v>
      </c>
      <c r="AF5" s="823">
        <v>0</v>
      </c>
      <c r="AG5" s="823">
        <v>0</v>
      </c>
      <c r="AH5" s="823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1.5314305555555556</v>
      </c>
      <c r="AT5" s="457">
        <f>AS5/100*90</f>
        <v>1.3782875000000001</v>
      </c>
      <c r="AU5" s="457">
        <f>AT5/100*85</f>
        <v>1.1715443750000001</v>
      </c>
      <c r="AV5" s="349">
        <v>0</v>
      </c>
      <c r="AW5" s="349">
        <v>0</v>
      </c>
      <c r="AX5" s="458">
        <f>X22</f>
        <v>0.20419074074074076</v>
      </c>
      <c r="AY5" s="350">
        <v>1</v>
      </c>
      <c r="AZ5" s="459" t="s">
        <v>65</v>
      </c>
      <c r="BA5" s="458">
        <f>X23</f>
        <v>0.30628611111111115</v>
      </c>
      <c r="BB5" s="824">
        <f>BA5/100*85</f>
        <v>0.26034319444444448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1.2251444444444446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858" t="s">
        <v>67</v>
      </c>
      <c r="CA5" s="858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31.5" x14ac:dyDescent="0.25">
      <c r="A7" s="50">
        <v>60</v>
      </c>
      <c r="B7" s="855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860">
        <f t="shared" si="0"/>
        <v>28960</v>
      </c>
      <c r="Q7" s="394">
        <f>SUM(T7,X7,AB7,AS7,AX7,BA7)</f>
        <v>278.17771825396829</v>
      </c>
      <c r="R7" s="394">
        <f>SUM(U7,Y7,AC7,AI7,AT7,BB7)</f>
        <v>206.72718511904762</v>
      </c>
      <c r="S7" s="394">
        <f>SUM(V7,Z7,AD7,AJ7,AU7)</f>
        <v>103.68513660714288</v>
      </c>
      <c r="T7" s="527">
        <f>T4*30</f>
        <v>117.12746031746033</v>
      </c>
      <c r="U7" s="527">
        <f t="shared" ref="U7:AD8" si="1">U4*30</f>
        <v>81.989222222222239</v>
      </c>
      <c r="V7" s="527">
        <f t="shared" si="1"/>
        <v>35.138238095238101</v>
      </c>
      <c r="W7" s="527">
        <f t="shared" si="1"/>
        <v>0</v>
      </c>
      <c r="X7" s="527">
        <f t="shared" si="1"/>
        <v>87.845595238095243</v>
      </c>
      <c r="Y7" s="527">
        <f t="shared" si="1"/>
        <v>61.491916666666668</v>
      </c>
      <c r="Z7" s="527">
        <f t="shared" si="1"/>
        <v>26.353678571428574</v>
      </c>
      <c r="AA7" s="527">
        <f t="shared" si="1"/>
        <v>0</v>
      </c>
      <c r="AB7" s="527">
        <f t="shared" si="1"/>
        <v>14.640932539682542</v>
      </c>
      <c r="AC7" s="527">
        <f t="shared" si="1"/>
        <v>10.24865277777778</v>
      </c>
      <c r="AD7" s="527">
        <f t="shared" si="1"/>
        <v>4.3922797619047627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43.922797619047621</v>
      </c>
      <c r="AT7" s="682">
        <f t="shared" ref="AT7:BB8" si="2">AT4*30</f>
        <v>39.530517857142854</v>
      </c>
      <c r="AU7" s="682">
        <f t="shared" si="2"/>
        <v>33.600940178571435</v>
      </c>
      <c r="AV7" s="682">
        <f t="shared" si="2"/>
        <v>0</v>
      </c>
      <c r="AW7" s="682">
        <f t="shared" si="2"/>
        <v>0</v>
      </c>
      <c r="AX7" s="682">
        <f t="shared" si="2"/>
        <v>5.8563730158730163</v>
      </c>
      <c r="AY7" s="682">
        <f t="shared" si="2"/>
        <v>120</v>
      </c>
      <c r="AZ7" s="682" t="e">
        <f t="shared" si="2"/>
        <v>#VALUE!</v>
      </c>
      <c r="BA7" s="682">
        <f t="shared" si="2"/>
        <v>8.7845595238095235</v>
      </c>
      <c r="BB7" s="682">
        <f t="shared" si="2"/>
        <v>7.4668755952380952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858" t="s">
        <v>67</v>
      </c>
      <c r="CA7" s="858" t="s">
        <v>223</v>
      </c>
    </row>
    <row r="8" spans="1:79" ht="31.5" x14ac:dyDescent="0.25">
      <c r="A8" s="50">
        <v>50</v>
      </c>
      <c r="B8" s="855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290.97180555555559</v>
      </c>
      <c r="R8" s="394">
        <f>SUM(U8,Y8,AC8,AI8,AT8,BB8)</f>
        <v>215.95912916666668</v>
      </c>
      <c r="S8" s="394">
        <f>SUM(V8,Z8,AD8,AJ8,AU8)</f>
        <v>108.26070625000001</v>
      </c>
      <c r="T8" s="527">
        <f>T5*30</f>
        <v>122.51444444444445</v>
      </c>
      <c r="U8" s="527">
        <f t="shared" si="1"/>
        <v>85.760111111111115</v>
      </c>
      <c r="V8" s="527">
        <f t="shared" si="1"/>
        <v>36.754333333333335</v>
      </c>
      <c r="W8" s="527">
        <f t="shared" si="1"/>
        <v>0</v>
      </c>
      <c r="X8" s="527">
        <f t="shared" si="1"/>
        <v>91.885833333333338</v>
      </c>
      <c r="Y8" s="527">
        <f t="shared" si="1"/>
        <v>64.320083333333343</v>
      </c>
      <c r="Z8" s="527">
        <f t="shared" si="1"/>
        <v>27.565750000000005</v>
      </c>
      <c r="AA8" s="527">
        <f t="shared" si="1"/>
        <v>0</v>
      </c>
      <c r="AB8" s="527">
        <f t="shared" si="1"/>
        <v>15.314305555555556</v>
      </c>
      <c r="AC8" s="527">
        <f t="shared" si="1"/>
        <v>10.720013888888889</v>
      </c>
      <c r="AD8" s="527">
        <f t="shared" si="1"/>
        <v>4.5942916666666669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45.942916666666669</v>
      </c>
      <c r="AT8" s="682">
        <f t="shared" si="2"/>
        <v>41.348625000000006</v>
      </c>
      <c r="AU8" s="682">
        <f t="shared" si="2"/>
        <v>35.146331250000003</v>
      </c>
      <c r="AV8" s="682">
        <f t="shared" si="2"/>
        <v>0</v>
      </c>
      <c r="AW8" s="682">
        <f t="shared" si="2"/>
        <v>0</v>
      </c>
      <c r="AX8" s="682">
        <f t="shared" si="2"/>
        <v>6.1257222222222225</v>
      </c>
      <c r="AY8" s="682">
        <f t="shared" si="2"/>
        <v>30</v>
      </c>
      <c r="AZ8" s="682" t="e">
        <f t="shared" si="2"/>
        <v>#VALUE!</v>
      </c>
      <c r="BA8" s="682">
        <f t="shared" si="2"/>
        <v>9.1885833333333338</v>
      </c>
      <c r="BB8" s="682">
        <f t="shared" si="2"/>
        <v>7.8102958333333348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858" t="s">
        <v>67</v>
      </c>
      <c r="CA8" s="858" t="s">
        <v>224</v>
      </c>
    </row>
    <row r="12" spans="1:79" x14ac:dyDescent="0.25"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861">
        <v>31179</v>
      </c>
      <c r="T14" s="861"/>
      <c r="V14" s="1127" t="s">
        <v>192</v>
      </c>
      <c r="W14" s="1128"/>
      <c r="X14" s="861">
        <v>32613</v>
      </c>
      <c r="Y14" s="861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861">
        <v>284</v>
      </c>
      <c r="T15" s="861" t="s">
        <v>227</v>
      </c>
      <c r="V15" s="1127" t="s">
        <v>193</v>
      </c>
      <c r="W15" s="1128"/>
      <c r="X15" s="861">
        <v>284</v>
      </c>
      <c r="Y15" s="861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9.7606216931216938</v>
      </c>
      <c r="T16" s="861"/>
      <c r="V16" s="1127" t="s">
        <v>195</v>
      </c>
      <c r="W16" s="1128"/>
      <c r="X16" s="596">
        <f>X14*X15/907200</f>
        <v>10.209537037037038</v>
      </c>
      <c r="Y16" s="861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3.9042486772486775</v>
      </c>
      <c r="T17" s="861">
        <v>40</v>
      </c>
      <c r="V17" s="1132" t="s">
        <v>9</v>
      </c>
      <c r="W17" s="1133"/>
      <c r="X17" s="592">
        <f>X16/100*40</f>
        <v>4.083814814814815</v>
      </c>
      <c r="Y17" s="861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2.9281865079365081</v>
      </c>
      <c r="T18" s="861">
        <v>30</v>
      </c>
      <c r="V18" s="1132" t="s">
        <v>10</v>
      </c>
      <c r="W18" s="1133"/>
      <c r="X18" s="592">
        <f>X16/100*30</f>
        <v>3.0628611111111113</v>
      </c>
      <c r="Y18" s="861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0.48803108465608469</v>
      </c>
      <c r="T19" s="861">
        <v>5</v>
      </c>
      <c r="V19" s="1132" t="s">
        <v>11</v>
      </c>
      <c r="W19" s="1133"/>
      <c r="X19" s="592">
        <f>X16/100*5</f>
        <v>0.51047685185185188</v>
      </c>
      <c r="Y19" s="861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0.48803108465608469</v>
      </c>
      <c r="T20" s="861">
        <v>5</v>
      </c>
      <c r="V20" s="1132" t="s">
        <v>12</v>
      </c>
      <c r="W20" s="1133"/>
      <c r="X20" s="592">
        <f>X16/100*5</f>
        <v>0.51047685185185188</v>
      </c>
      <c r="Y20" s="861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1.4640932539682541</v>
      </c>
      <c r="T21" s="861">
        <v>15</v>
      </c>
      <c r="V21" s="1132" t="s">
        <v>99</v>
      </c>
      <c r="W21" s="1133"/>
      <c r="X21" s="592">
        <f>X16/100*15</f>
        <v>1.5314305555555556</v>
      </c>
      <c r="Y21" s="861">
        <v>15</v>
      </c>
      <c r="AA21" s="1129">
        <f>AA20*30</f>
        <v>448.9776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0.19521243386243387</v>
      </c>
      <c r="T22" s="861">
        <v>2</v>
      </c>
      <c r="V22" s="1132" t="s">
        <v>100</v>
      </c>
      <c r="W22" s="1133"/>
      <c r="X22" s="592">
        <f>X16/100*2</f>
        <v>0.20419074074074076</v>
      </c>
      <c r="Y22" s="861">
        <v>2</v>
      </c>
      <c r="AA22" s="1129">
        <f>AA21/100*3</f>
        <v>13.469328000000001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0.29281865079365077</v>
      </c>
      <c r="T23" s="861">
        <v>3</v>
      </c>
      <c r="V23" s="1132" t="s">
        <v>101</v>
      </c>
      <c r="W23" s="1133"/>
      <c r="X23" s="592">
        <f>X16/100*3</f>
        <v>0.30628611111111115</v>
      </c>
      <c r="Y23" s="861">
        <v>3</v>
      </c>
    </row>
    <row r="24" spans="17:35" x14ac:dyDescent="0.25">
      <c r="Q24" s="1140" t="s">
        <v>89</v>
      </c>
      <c r="R24" s="1141"/>
      <c r="S24" s="596">
        <f>SUM(S17:S23)</f>
        <v>9.7606216931216938</v>
      </c>
      <c r="T24" s="861">
        <f>SUM(T17:T23)</f>
        <v>100</v>
      </c>
      <c r="V24" s="1140" t="s">
        <v>89</v>
      </c>
      <c r="W24" s="1141"/>
      <c r="X24" s="596">
        <f>SUM(X17:X23)</f>
        <v>10.209537037037038</v>
      </c>
      <c r="Y24" s="861">
        <f>SUM(Y17:Y23)</f>
        <v>100</v>
      </c>
      <c r="AA24">
        <v>3.25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863"/>
      <c r="AH29" s="863"/>
    </row>
    <row r="30" spans="17:35" x14ac:dyDescent="0.25">
      <c r="R30" s="1147" t="s">
        <v>86</v>
      </c>
      <c r="S30" s="1147"/>
      <c r="T30" s="1148">
        <f>U7</f>
        <v>81.989222222222239</v>
      </c>
      <c r="U30" s="1148"/>
      <c r="V30" s="1148">
        <f>V7</f>
        <v>35.138238095238101</v>
      </c>
      <c r="W30" s="1148"/>
      <c r="X30" s="393"/>
      <c r="AA30" s="1147" t="s">
        <v>86</v>
      </c>
      <c r="AB30" s="1147"/>
      <c r="AC30" s="1148">
        <f>U8</f>
        <v>85.760111111111115</v>
      </c>
      <c r="AD30" s="1148"/>
      <c r="AE30" s="1148">
        <f>V8</f>
        <v>36.754333333333335</v>
      </c>
      <c r="AF30" s="1148"/>
      <c r="AG30" s="865"/>
      <c r="AH30" s="865"/>
    </row>
    <row r="31" spans="17:35" x14ac:dyDescent="0.25">
      <c r="R31" s="1147" t="s">
        <v>87</v>
      </c>
      <c r="S31" s="1147"/>
      <c r="T31" s="1148">
        <f>Y7</f>
        <v>61.491916666666668</v>
      </c>
      <c r="U31" s="1148"/>
      <c r="V31" s="1148">
        <f>Z7</f>
        <v>26.353678571428574</v>
      </c>
      <c r="W31" s="1148"/>
      <c r="X31" s="393"/>
      <c r="AA31" s="1147" t="s">
        <v>87</v>
      </c>
      <c r="AB31" s="1147"/>
      <c r="AC31" s="1148">
        <f>Y8</f>
        <v>64.320083333333343</v>
      </c>
      <c r="AD31" s="1148"/>
      <c r="AE31" s="1148">
        <f>Z8</f>
        <v>27.565750000000005</v>
      </c>
      <c r="AF31" s="1148"/>
      <c r="AG31" s="865"/>
      <c r="AH31" s="865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864"/>
      <c r="AH32" s="864"/>
    </row>
    <row r="33" spans="18:34" x14ac:dyDescent="0.25">
      <c r="R33" s="1147" t="s">
        <v>202</v>
      </c>
      <c r="S33" s="1147"/>
      <c r="T33" s="1151">
        <v>4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864"/>
      <c r="AH33" s="864"/>
    </row>
    <row r="34" spans="18:34" x14ac:dyDescent="0.25">
      <c r="R34" s="1147" t="s">
        <v>90</v>
      </c>
      <c r="S34" s="1147"/>
      <c r="T34" s="1153">
        <f>T35-T32-T33</f>
        <v>51.246046230158726</v>
      </c>
      <c r="U34" s="1154"/>
      <c r="V34" s="1153">
        <f>V35-V32-V33</f>
        <v>37.193219940476197</v>
      </c>
      <c r="W34" s="1154"/>
      <c r="AA34" s="1155" t="s">
        <v>90</v>
      </c>
      <c r="AB34" s="1156"/>
      <c r="AC34" s="1153">
        <f>AC35-AC32-AC33</f>
        <v>55.878934722222226</v>
      </c>
      <c r="AD34" s="1157"/>
      <c r="AE34" s="1153">
        <f>AE35-AE33-AE32</f>
        <v>38.940622916666669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63.246046230158726</v>
      </c>
      <c r="U35" s="1162"/>
      <c r="V35" s="1161">
        <f>SUM(AD7,AJ7,AU7)</f>
        <v>42.193219940476197</v>
      </c>
      <c r="W35" s="1162"/>
      <c r="AA35" s="1147" t="s">
        <v>90</v>
      </c>
      <c r="AB35" s="1147"/>
      <c r="AC35" s="1161">
        <f>SUM(AC8,AI8,AT8,BB8)</f>
        <v>65.878934722222226</v>
      </c>
      <c r="AD35" s="1162"/>
      <c r="AE35" s="1161">
        <f>SUM(AD8,AJ8,AU8)</f>
        <v>43.940622916666669</v>
      </c>
      <c r="AF35" s="1162"/>
      <c r="AG35" s="866"/>
      <c r="AH35" s="866"/>
    </row>
    <row r="36" spans="18:34" x14ac:dyDescent="0.25">
      <c r="R36" s="1159"/>
      <c r="S36" s="1159"/>
      <c r="T36" s="1160">
        <f>SUM(T30:U34)</f>
        <v>206.72718511904762</v>
      </c>
      <c r="U36" s="1160"/>
      <c r="V36" s="1160">
        <f>SUM(V30,V31,V32,V33,V34)</f>
        <v>103.68513660714287</v>
      </c>
      <c r="W36" s="1160"/>
      <c r="X36" s="393"/>
      <c r="AA36" s="1159"/>
      <c r="AB36" s="1159"/>
      <c r="AC36" s="1160">
        <f>SUM(AC30:AD34)</f>
        <v>215.95912916666668</v>
      </c>
      <c r="AD36" s="1160"/>
      <c r="AE36" s="1160">
        <f>SUM(AE30,AE31,AE32,AE33,AE34)</f>
        <v>108.26070625000001</v>
      </c>
      <c r="AF36" s="1160"/>
      <c r="AG36" s="862"/>
      <c r="AH36" s="862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103.68513660714287</v>
      </c>
      <c r="X38" s="393"/>
    </row>
    <row r="46" spans="18:34" x14ac:dyDescent="0.25">
      <c r="T46" s="619" t="s">
        <v>90</v>
      </c>
      <c r="U46" s="854">
        <v>0</v>
      </c>
      <c r="V46" s="854">
        <v>56</v>
      </c>
      <c r="W46" s="854">
        <v>39</v>
      </c>
      <c r="X46" s="854">
        <v>720.28599999999994</v>
      </c>
    </row>
    <row r="47" spans="18:34" x14ac:dyDescent="0.25">
      <c r="T47" s="619" t="s">
        <v>86</v>
      </c>
      <c r="U47" s="854">
        <v>0</v>
      </c>
      <c r="V47" s="854">
        <v>86</v>
      </c>
      <c r="W47" s="854">
        <v>37</v>
      </c>
      <c r="X47" s="854">
        <v>2.7</v>
      </c>
    </row>
    <row r="48" spans="18:34" x14ac:dyDescent="0.25">
      <c r="T48" s="619" t="s">
        <v>87</v>
      </c>
      <c r="U48" s="854">
        <v>0</v>
      </c>
      <c r="V48" s="854">
        <v>64</v>
      </c>
      <c r="W48" s="854">
        <v>28</v>
      </c>
      <c r="X48" s="854">
        <v>1.7</v>
      </c>
    </row>
    <row r="49" spans="20:24" x14ac:dyDescent="0.25">
      <c r="T49" s="619" t="s">
        <v>201</v>
      </c>
      <c r="U49" s="854">
        <v>0</v>
      </c>
      <c r="V49" s="854">
        <v>7</v>
      </c>
      <c r="W49" s="854">
        <v>5</v>
      </c>
      <c r="X49" s="854">
        <v>0.08</v>
      </c>
    </row>
    <row r="50" spans="20:24" x14ac:dyDescent="0.25">
      <c r="T50" s="619" t="s">
        <v>202</v>
      </c>
      <c r="U50" s="854">
        <v>0</v>
      </c>
      <c r="V50" s="854">
        <v>3</v>
      </c>
      <c r="W50" s="854">
        <v>0</v>
      </c>
      <c r="X50" s="854">
        <v>0.05</v>
      </c>
    </row>
    <row r="51" spans="20:24" x14ac:dyDescent="0.25">
      <c r="U51">
        <f>SUM(U46:U50)</f>
        <v>0</v>
      </c>
      <c r="V51">
        <f t="shared" ref="V51:X51" si="3">SUM(V46:V50)</f>
        <v>216</v>
      </c>
      <c r="W51">
        <f t="shared" si="3"/>
        <v>109</v>
      </c>
      <c r="X51">
        <f t="shared" si="3"/>
        <v>724.81600000000003</v>
      </c>
    </row>
  </sheetData>
  <mergeCells count="124"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"/>
  <sheetViews>
    <sheetView workbookViewId="0">
      <selection activeCell="I5" sqref="I5"/>
    </sheetView>
  </sheetViews>
  <sheetFormatPr defaultRowHeight="15" x14ac:dyDescent="0.25"/>
  <sheetData>
    <row r="1" spans="1:36" ht="45.75" thickBot="1" x14ac:dyDescent="0.3">
      <c r="A1" s="1166" t="s">
        <v>70</v>
      </c>
      <c r="B1" s="1166" t="s">
        <v>71</v>
      </c>
      <c r="C1" s="1166" t="s">
        <v>72</v>
      </c>
      <c r="D1" s="1166" t="s">
        <v>53</v>
      </c>
      <c r="E1" s="1166" t="s">
        <v>73</v>
      </c>
      <c r="F1" s="1163" t="s">
        <v>74</v>
      </c>
      <c r="G1" s="1165"/>
      <c r="H1" s="1165"/>
      <c r="I1" s="1164"/>
      <c r="J1" s="1163" t="s">
        <v>75</v>
      </c>
      <c r="K1" s="1165"/>
      <c r="L1" s="1165"/>
      <c r="M1" s="1165"/>
      <c r="N1" s="1164"/>
      <c r="O1" s="1163" t="s">
        <v>76</v>
      </c>
      <c r="P1" s="1165"/>
      <c r="Q1" s="1165"/>
      <c r="R1" s="1164"/>
      <c r="S1" s="34" t="s">
        <v>77</v>
      </c>
      <c r="T1" s="34" t="s">
        <v>78</v>
      </c>
      <c r="U1" s="1163" t="s">
        <v>79</v>
      </c>
      <c r="V1" s="1164"/>
      <c r="W1" s="1163" t="s">
        <v>80</v>
      </c>
      <c r="X1" s="1164"/>
      <c r="Y1" s="1163" t="s">
        <v>81</v>
      </c>
      <c r="Z1" s="1164"/>
      <c r="AA1" s="1163" t="s">
        <v>82</v>
      </c>
      <c r="AB1" s="1165"/>
      <c r="AC1" s="1165"/>
      <c r="AD1" s="1164"/>
      <c r="AE1" s="1163" t="s">
        <v>83</v>
      </c>
      <c r="AF1" s="1164"/>
      <c r="AG1" s="1163" t="s">
        <v>84</v>
      </c>
      <c r="AH1" s="1164"/>
      <c r="AI1" s="1163" t="s">
        <v>85</v>
      </c>
      <c r="AJ1" s="1164"/>
    </row>
    <row r="2" spans="1:36" ht="105.75" thickBot="1" x14ac:dyDescent="0.3">
      <c r="A2" s="1167"/>
      <c r="B2" s="1167"/>
      <c r="C2" s="1167"/>
      <c r="D2" s="1167"/>
      <c r="E2" s="1167"/>
      <c r="F2" s="35" t="s">
        <v>86</v>
      </c>
      <c r="G2" s="35" t="s">
        <v>87</v>
      </c>
      <c r="H2" s="35" t="s">
        <v>88</v>
      </c>
      <c r="I2" s="35" t="s">
        <v>89</v>
      </c>
      <c r="J2" s="35" t="s">
        <v>86</v>
      </c>
      <c r="K2" s="35" t="s">
        <v>87</v>
      </c>
      <c r="L2" s="35" t="s">
        <v>88</v>
      </c>
      <c r="M2" s="35" t="s">
        <v>90</v>
      </c>
      <c r="N2" s="35" t="s">
        <v>89</v>
      </c>
      <c r="O2" s="35" t="s">
        <v>86</v>
      </c>
      <c r="P2" s="35" t="s">
        <v>87</v>
      </c>
      <c r="Q2" s="35" t="s">
        <v>88</v>
      </c>
      <c r="R2" s="35" t="s">
        <v>89</v>
      </c>
      <c r="S2" s="35" t="s">
        <v>91</v>
      </c>
      <c r="T2" s="35" t="s">
        <v>91</v>
      </c>
      <c r="U2" s="35" t="s">
        <v>92</v>
      </c>
      <c r="V2" s="35" t="s">
        <v>93</v>
      </c>
      <c r="W2" s="35" t="s">
        <v>92</v>
      </c>
      <c r="X2" s="35" t="s">
        <v>93</v>
      </c>
      <c r="Y2" s="35" t="s">
        <v>92</v>
      </c>
      <c r="Z2" s="35" t="s">
        <v>93</v>
      </c>
      <c r="AA2" s="35" t="s">
        <v>92</v>
      </c>
      <c r="AB2" s="35" t="s">
        <v>94</v>
      </c>
      <c r="AC2" s="35" t="s">
        <v>95</v>
      </c>
      <c r="AD2" s="35" t="s">
        <v>96</v>
      </c>
      <c r="AE2" s="35" t="s">
        <v>92</v>
      </c>
      <c r="AF2" s="35" t="s">
        <v>93</v>
      </c>
      <c r="AG2" s="35" t="s">
        <v>97</v>
      </c>
      <c r="AH2" s="35" t="s">
        <v>98</v>
      </c>
      <c r="AI2" s="35" t="s">
        <v>97</v>
      </c>
      <c r="AJ2" s="35" t="s">
        <v>98</v>
      </c>
    </row>
    <row r="3" spans="1:36" ht="15.75" thickBot="1" x14ac:dyDescent="0.3">
      <c r="D3" s="32">
        <v>10</v>
      </c>
      <c r="E3" s="33">
        <v>25989</v>
      </c>
      <c r="F3" s="33">
        <v>3.7</v>
      </c>
      <c r="G3" s="33">
        <v>2.7</v>
      </c>
      <c r="H3" s="33">
        <v>0.09</v>
      </c>
      <c r="I3" s="33">
        <v>6.49</v>
      </c>
      <c r="J3" s="33">
        <v>3.1</v>
      </c>
      <c r="K3" s="33">
        <v>2</v>
      </c>
      <c r="L3" s="33">
        <v>0.05</v>
      </c>
      <c r="M3" s="33">
        <v>0.32</v>
      </c>
      <c r="N3" s="33">
        <v>5.47</v>
      </c>
      <c r="O3" s="33">
        <v>0</v>
      </c>
      <c r="P3" s="33">
        <v>0</v>
      </c>
      <c r="Q3" s="33">
        <v>0</v>
      </c>
      <c r="R3" s="33">
        <v>0</v>
      </c>
      <c r="S3" s="33">
        <v>10</v>
      </c>
      <c r="T3" s="33">
        <v>0</v>
      </c>
      <c r="U3" s="33">
        <v>0</v>
      </c>
      <c r="V3" s="33">
        <v>0</v>
      </c>
      <c r="W3" s="33">
        <v>0</v>
      </c>
      <c r="X3" s="33">
        <v>0</v>
      </c>
      <c r="Y3" s="33">
        <v>0</v>
      </c>
      <c r="Z3" s="33">
        <v>0</v>
      </c>
      <c r="AA3" s="33">
        <v>1</v>
      </c>
      <c r="AB3" s="33" t="s">
        <v>65</v>
      </c>
      <c r="AC3" s="33" t="s">
        <v>65</v>
      </c>
      <c r="AD3" s="33">
        <v>1200</v>
      </c>
      <c r="AE3" s="33">
        <v>0</v>
      </c>
      <c r="AF3" s="33">
        <v>0</v>
      </c>
      <c r="AG3" s="33">
        <v>0.03</v>
      </c>
      <c r="AH3" s="33">
        <v>0</v>
      </c>
      <c r="AI3" s="33">
        <v>0</v>
      </c>
      <c r="AJ3" s="33">
        <v>0</v>
      </c>
    </row>
  </sheetData>
  <mergeCells count="15">
    <mergeCell ref="F1:I1"/>
    <mergeCell ref="A1:A2"/>
    <mergeCell ref="B1:B2"/>
    <mergeCell ref="C1:C2"/>
    <mergeCell ref="D1:D2"/>
    <mergeCell ref="E1:E2"/>
    <mergeCell ref="AE1:AF1"/>
    <mergeCell ref="AG1:AH1"/>
    <mergeCell ref="AI1:AJ1"/>
    <mergeCell ref="J1:N1"/>
    <mergeCell ref="O1:R1"/>
    <mergeCell ref="U1:V1"/>
    <mergeCell ref="W1:X1"/>
    <mergeCell ref="Y1:Z1"/>
    <mergeCell ref="AA1:A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7"/>
  <sheetViews>
    <sheetView workbookViewId="0">
      <selection activeCell="D4" sqref="D4"/>
    </sheetView>
  </sheetViews>
  <sheetFormatPr defaultRowHeight="15" x14ac:dyDescent="0.25"/>
  <cols>
    <col min="3" max="3" width="18.28515625" customWidth="1"/>
  </cols>
  <sheetData>
    <row r="1" spans="1:52" ht="24" customHeight="1" thickBot="1" x14ac:dyDescent="0.3">
      <c r="A1" s="1178"/>
      <c r="B1" s="1178"/>
      <c r="C1" s="1178"/>
      <c r="D1" s="1178"/>
      <c r="E1" s="1178"/>
      <c r="F1" s="1178"/>
      <c r="G1" s="1178"/>
      <c r="H1" s="1178"/>
      <c r="I1" s="1178"/>
      <c r="J1" s="1178"/>
      <c r="K1" s="1178"/>
      <c r="L1" s="1178"/>
      <c r="M1" s="1178"/>
      <c r="N1" s="1178"/>
      <c r="O1" s="1178"/>
      <c r="P1" s="1178"/>
      <c r="Q1" s="1178"/>
      <c r="R1" s="1178"/>
      <c r="S1" s="1178"/>
      <c r="T1" s="1178"/>
      <c r="U1" s="1178"/>
      <c r="V1" s="1178"/>
      <c r="W1" s="1178"/>
      <c r="X1" s="1178"/>
      <c r="Y1" s="1178"/>
      <c r="Z1" s="1178"/>
      <c r="AA1" s="1178"/>
      <c r="AB1" s="1178"/>
      <c r="AC1" s="1178"/>
      <c r="AD1" s="1178"/>
      <c r="AE1" s="1178"/>
      <c r="AF1" s="1178"/>
      <c r="AG1" s="1178"/>
      <c r="AH1" s="1178"/>
      <c r="AI1" s="1178"/>
      <c r="AJ1" s="1178"/>
      <c r="AK1" s="1178"/>
      <c r="AL1" s="1178"/>
      <c r="AM1" s="1178"/>
      <c r="AN1" s="1178"/>
      <c r="AO1" s="1178"/>
      <c r="AP1" s="1178"/>
      <c r="AQ1" s="1178"/>
      <c r="AR1" s="1178"/>
      <c r="AS1" s="1178"/>
      <c r="AT1" s="1178"/>
      <c r="AU1" s="1178"/>
      <c r="AV1" s="1178"/>
      <c r="AW1" s="1178"/>
      <c r="AX1" s="1178"/>
      <c r="AY1" s="1178"/>
      <c r="AZ1" s="1179"/>
    </row>
    <row r="2" spans="1:52" ht="45.75" customHeight="1" thickBot="1" x14ac:dyDescent="0.3">
      <c r="A2" s="1177" t="s">
        <v>69</v>
      </c>
      <c r="B2" s="1197" t="s">
        <v>0</v>
      </c>
      <c r="C2" s="1198" t="s">
        <v>1</v>
      </c>
      <c r="D2" s="1199" t="s">
        <v>2</v>
      </c>
      <c r="E2" s="1199"/>
      <c r="F2" s="1199"/>
      <c r="G2" s="1200" t="s">
        <v>3</v>
      </c>
      <c r="H2" s="1200"/>
      <c r="I2" s="1201"/>
      <c r="J2" s="1204" t="s">
        <v>4</v>
      </c>
      <c r="K2" s="1200"/>
      <c r="L2" s="1201"/>
      <c r="M2" s="1168" t="s">
        <v>5</v>
      </c>
      <c r="N2" s="1168" t="s">
        <v>6</v>
      </c>
      <c r="O2" s="1168" t="s">
        <v>7</v>
      </c>
      <c r="P2" s="1170" t="s">
        <v>8</v>
      </c>
      <c r="Q2" s="1171"/>
      <c r="R2" s="1172"/>
      <c r="S2" s="1180" t="s">
        <v>9</v>
      </c>
      <c r="T2" s="1181"/>
      <c r="U2" s="1181"/>
      <c r="V2" s="1182"/>
      <c r="W2" s="1183" t="s">
        <v>10</v>
      </c>
      <c r="X2" s="1184"/>
      <c r="Y2" s="1184"/>
      <c r="Z2" s="1185"/>
      <c r="AA2" s="1186" t="s">
        <v>11</v>
      </c>
      <c r="AB2" s="1187"/>
      <c r="AC2" s="1188"/>
      <c r="AD2" s="1189" t="s">
        <v>12</v>
      </c>
      <c r="AE2" s="1190"/>
      <c r="AF2" s="1191" t="s">
        <v>13</v>
      </c>
      <c r="AG2" s="1192"/>
      <c r="AH2" s="1192"/>
      <c r="AI2" s="1192"/>
      <c r="AJ2" s="1192"/>
      <c r="AK2" s="1192"/>
      <c r="AL2" s="1192"/>
      <c r="AM2" s="1193"/>
      <c r="AN2" s="1194" t="s">
        <v>14</v>
      </c>
      <c r="AO2" s="1195"/>
      <c r="AP2" s="1195"/>
      <c r="AQ2" s="1195"/>
      <c r="AR2" s="1195"/>
      <c r="AS2" s="1195"/>
      <c r="AT2" s="1195"/>
      <c r="AU2" s="1195"/>
      <c r="AV2" s="1196"/>
      <c r="AW2" s="1173" t="s">
        <v>15</v>
      </c>
      <c r="AX2" s="1174"/>
      <c r="AY2" s="1175" t="s">
        <v>16</v>
      </c>
      <c r="AZ2" s="1176"/>
    </row>
    <row r="3" spans="1:52" ht="150.75" thickBot="1" x14ac:dyDescent="0.3">
      <c r="A3" s="1177"/>
      <c r="B3" s="1197"/>
      <c r="C3" s="1198"/>
      <c r="D3" s="1199"/>
      <c r="E3" s="1199"/>
      <c r="F3" s="1199"/>
      <c r="G3" s="1202"/>
      <c r="H3" s="1202"/>
      <c r="I3" s="1203"/>
      <c r="J3" s="1205"/>
      <c r="K3" s="1202"/>
      <c r="L3" s="1203"/>
      <c r="M3" s="1169"/>
      <c r="N3" s="1169"/>
      <c r="O3" s="1169"/>
      <c r="P3" s="1" t="s">
        <v>17</v>
      </c>
      <c r="Q3" s="1" t="s">
        <v>18</v>
      </c>
      <c r="R3" s="1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4" t="s">
        <v>28</v>
      </c>
      <c r="AB3" s="4" t="s">
        <v>29</v>
      </c>
      <c r="AC3" s="4" t="s">
        <v>30</v>
      </c>
      <c r="AD3" s="5" t="s">
        <v>31</v>
      </c>
      <c r="AE3" s="5" t="s">
        <v>32</v>
      </c>
      <c r="AF3" s="6" t="s">
        <v>33</v>
      </c>
      <c r="AG3" s="6" t="s">
        <v>34</v>
      </c>
      <c r="AH3" s="6" t="s">
        <v>35</v>
      </c>
      <c r="AI3" s="6" t="s">
        <v>36</v>
      </c>
      <c r="AJ3" s="6" t="s">
        <v>37</v>
      </c>
      <c r="AK3" s="6" t="s">
        <v>36</v>
      </c>
      <c r="AL3" s="6" t="s">
        <v>38</v>
      </c>
      <c r="AM3" s="6" t="s">
        <v>36</v>
      </c>
      <c r="AN3" s="7" t="s">
        <v>14</v>
      </c>
      <c r="AO3" s="7" t="s">
        <v>39</v>
      </c>
      <c r="AP3" s="7" t="s">
        <v>40</v>
      </c>
      <c r="AQ3" s="7" t="s">
        <v>41</v>
      </c>
      <c r="AR3" s="7" t="s">
        <v>42</v>
      </c>
      <c r="AS3" s="7" t="s">
        <v>43</v>
      </c>
      <c r="AT3" s="7" t="s">
        <v>44</v>
      </c>
      <c r="AU3" s="7" t="s">
        <v>45</v>
      </c>
      <c r="AV3" s="7" t="s">
        <v>46</v>
      </c>
      <c r="AW3" s="8" t="s">
        <v>47</v>
      </c>
      <c r="AX3" s="8" t="s">
        <v>48</v>
      </c>
      <c r="AY3" s="9" t="s">
        <v>49</v>
      </c>
      <c r="AZ3" s="9" t="s">
        <v>50</v>
      </c>
    </row>
    <row r="4" spans="1:52" ht="30.75" thickBot="1" x14ac:dyDescent="0.3">
      <c r="A4" s="1177"/>
      <c r="B4" s="1197"/>
      <c r="C4" s="1198"/>
      <c r="D4" s="28" t="s">
        <v>51</v>
      </c>
      <c r="E4" s="28" t="s">
        <v>52</v>
      </c>
      <c r="F4" s="29" t="s">
        <v>53</v>
      </c>
      <c r="G4" s="26" t="s">
        <v>51</v>
      </c>
      <c r="H4" s="11" t="s">
        <v>52</v>
      </c>
      <c r="I4" s="12" t="s">
        <v>53</v>
      </c>
      <c r="J4" s="11" t="s">
        <v>51</v>
      </c>
      <c r="K4" s="11" t="s">
        <v>52</v>
      </c>
      <c r="L4" s="12" t="s">
        <v>53</v>
      </c>
      <c r="M4" s="11" t="s">
        <v>54</v>
      </c>
      <c r="N4" s="11" t="s">
        <v>55</v>
      </c>
      <c r="O4" s="11" t="s">
        <v>56</v>
      </c>
      <c r="P4" s="11" t="s">
        <v>57</v>
      </c>
      <c r="Q4" s="10" t="s">
        <v>57</v>
      </c>
      <c r="R4" s="10" t="s">
        <v>57</v>
      </c>
      <c r="S4" s="10" t="s">
        <v>57</v>
      </c>
      <c r="T4" s="10" t="s">
        <v>57</v>
      </c>
      <c r="U4" s="10" t="s">
        <v>57</v>
      </c>
      <c r="V4" s="10" t="s">
        <v>57</v>
      </c>
      <c r="W4" s="10" t="s">
        <v>57</v>
      </c>
      <c r="X4" s="10" t="s">
        <v>57</v>
      </c>
      <c r="Y4" s="10" t="s">
        <v>57</v>
      </c>
      <c r="Z4" s="10" t="s">
        <v>57</v>
      </c>
      <c r="AA4" s="10" t="s">
        <v>57</v>
      </c>
      <c r="AB4" s="10" t="s">
        <v>57</v>
      </c>
      <c r="AC4" s="10" t="s">
        <v>57</v>
      </c>
      <c r="AD4" s="10" t="s">
        <v>57</v>
      </c>
      <c r="AE4" s="10" t="s">
        <v>57</v>
      </c>
      <c r="AF4" s="11" t="s">
        <v>58</v>
      </c>
      <c r="AG4" s="10" t="s">
        <v>57</v>
      </c>
      <c r="AH4" s="11" t="s">
        <v>54</v>
      </c>
      <c r="AI4" s="10" t="s">
        <v>57</v>
      </c>
      <c r="AJ4" s="11" t="s">
        <v>54</v>
      </c>
      <c r="AK4" s="10" t="s">
        <v>57</v>
      </c>
      <c r="AL4" s="11" t="s">
        <v>54</v>
      </c>
      <c r="AM4" s="10" t="s">
        <v>57</v>
      </c>
      <c r="AN4" s="11" t="s">
        <v>54</v>
      </c>
      <c r="AO4" s="11" t="s">
        <v>59</v>
      </c>
      <c r="AP4" s="11" t="s">
        <v>60</v>
      </c>
      <c r="AQ4" s="11" t="s">
        <v>61</v>
      </c>
      <c r="AR4" s="10" t="s">
        <v>62</v>
      </c>
      <c r="AS4" s="11" t="s">
        <v>57</v>
      </c>
      <c r="AT4" s="10" t="s">
        <v>63</v>
      </c>
      <c r="AU4" s="11" t="s">
        <v>62</v>
      </c>
      <c r="AV4" s="10" t="s">
        <v>63</v>
      </c>
      <c r="AW4" s="10" t="s">
        <v>55</v>
      </c>
      <c r="AX4" s="10" t="s">
        <v>55</v>
      </c>
      <c r="AY4" s="10" t="s">
        <v>55</v>
      </c>
      <c r="AZ4" s="10" t="s">
        <v>55</v>
      </c>
    </row>
    <row r="5" spans="1:52" ht="15.75" thickBot="1" x14ac:dyDescent="0.3"/>
    <row r="6" spans="1:52" ht="45.75" thickBot="1" x14ac:dyDescent="0.3">
      <c r="A6" s="31" t="s">
        <v>68</v>
      </c>
      <c r="B6" s="30">
        <v>60</v>
      </c>
      <c r="C6" s="13" t="s">
        <v>64</v>
      </c>
      <c r="D6" s="14">
        <v>10</v>
      </c>
      <c r="E6" s="14">
        <v>10</v>
      </c>
      <c r="F6" s="15">
        <v>10</v>
      </c>
      <c r="G6" s="16">
        <v>10</v>
      </c>
      <c r="H6" s="16">
        <v>10</v>
      </c>
      <c r="I6" s="15">
        <v>10</v>
      </c>
      <c r="J6" s="16">
        <v>0</v>
      </c>
      <c r="K6" s="16">
        <v>0</v>
      </c>
      <c r="L6" s="15">
        <v>0</v>
      </c>
      <c r="M6" s="16">
        <v>0</v>
      </c>
      <c r="N6" s="16" t="s">
        <v>65</v>
      </c>
      <c r="O6" s="16">
        <v>0</v>
      </c>
      <c r="P6" s="17">
        <v>7.19</v>
      </c>
      <c r="Q6" s="17">
        <v>6.23</v>
      </c>
      <c r="R6" s="17">
        <v>0.02</v>
      </c>
      <c r="S6" s="18">
        <v>3.72</v>
      </c>
      <c r="T6" s="19">
        <v>3.19</v>
      </c>
      <c r="U6" s="18">
        <v>0</v>
      </c>
      <c r="V6" s="18">
        <v>0</v>
      </c>
      <c r="W6" s="20">
        <v>3.28</v>
      </c>
      <c r="X6" s="20">
        <v>2.5</v>
      </c>
      <c r="Y6" s="20">
        <v>1.4E-2</v>
      </c>
      <c r="Z6" s="20">
        <v>0</v>
      </c>
      <c r="AA6" s="21">
        <v>0.19</v>
      </c>
      <c r="AB6" s="21">
        <v>7.0000000000000007E-2</v>
      </c>
      <c r="AC6" s="21">
        <v>6.0000000000000001E-3</v>
      </c>
      <c r="AD6" s="22">
        <v>0.47</v>
      </c>
      <c r="AE6" s="22">
        <v>0</v>
      </c>
      <c r="AF6" s="15">
        <v>0</v>
      </c>
      <c r="AG6" s="15">
        <v>0</v>
      </c>
      <c r="AH6" s="15">
        <v>2</v>
      </c>
      <c r="AI6" s="15">
        <v>6</v>
      </c>
      <c r="AJ6" s="15">
        <v>0</v>
      </c>
      <c r="AK6" s="15">
        <v>0</v>
      </c>
      <c r="AL6" s="15">
        <v>0</v>
      </c>
      <c r="AM6" s="15">
        <v>0</v>
      </c>
      <c r="AN6" s="23">
        <v>1</v>
      </c>
      <c r="AO6" s="23">
        <v>1337</v>
      </c>
      <c r="AP6" s="23">
        <v>1.5</v>
      </c>
      <c r="AQ6" s="23" t="s">
        <v>66</v>
      </c>
      <c r="AR6" s="23">
        <v>1200</v>
      </c>
      <c r="AS6" s="23">
        <v>0</v>
      </c>
      <c r="AT6" s="23" t="s">
        <v>65</v>
      </c>
      <c r="AU6" s="23">
        <v>0</v>
      </c>
      <c r="AV6" s="23" t="s">
        <v>65</v>
      </c>
      <c r="AW6" s="24" t="s">
        <v>67</v>
      </c>
      <c r="AX6" s="24" t="s">
        <v>65</v>
      </c>
      <c r="AY6" s="25" t="s">
        <v>67</v>
      </c>
      <c r="AZ6" s="25" t="s">
        <v>67</v>
      </c>
    </row>
    <row r="7" spans="1:52" ht="45.75" thickBot="1" x14ac:dyDescent="0.3">
      <c r="A7" s="31" t="s">
        <v>68</v>
      </c>
      <c r="B7" s="71">
        <v>50</v>
      </c>
      <c r="C7" s="13" t="s">
        <v>121</v>
      </c>
      <c r="D7" s="14">
        <v>8</v>
      </c>
      <c r="E7" s="14">
        <v>8</v>
      </c>
      <c r="F7" s="15">
        <v>8</v>
      </c>
      <c r="G7" s="16">
        <v>8</v>
      </c>
      <c r="H7" s="16">
        <v>8</v>
      </c>
      <c r="I7" s="15">
        <v>8</v>
      </c>
      <c r="J7" s="16">
        <v>0</v>
      </c>
      <c r="K7" s="16">
        <v>0</v>
      </c>
      <c r="L7" s="15">
        <v>0</v>
      </c>
      <c r="M7" s="16">
        <v>0</v>
      </c>
      <c r="N7" s="16" t="s">
        <v>65</v>
      </c>
      <c r="O7" s="16">
        <v>0</v>
      </c>
      <c r="P7" s="70">
        <v>6.59</v>
      </c>
      <c r="Q7" s="70">
        <v>4.25</v>
      </c>
      <c r="R7" s="70">
        <v>0</v>
      </c>
      <c r="S7" s="18">
        <v>3.7</v>
      </c>
      <c r="T7" s="18">
        <v>2.4</v>
      </c>
      <c r="U7" s="18">
        <v>0</v>
      </c>
      <c r="V7" s="18">
        <v>0</v>
      </c>
      <c r="W7" s="20">
        <v>2.8</v>
      </c>
      <c r="X7" s="20">
        <v>1.6</v>
      </c>
      <c r="Y7" s="20">
        <v>0</v>
      </c>
      <c r="Z7" s="20">
        <v>0</v>
      </c>
      <c r="AA7" s="21">
        <v>0.09</v>
      </c>
      <c r="AB7" s="21">
        <v>0.03</v>
      </c>
      <c r="AC7" s="21">
        <v>0</v>
      </c>
      <c r="AD7" s="22">
        <v>0.22</v>
      </c>
      <c r="AE7" s="22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23">
        <v>1</v>
      </c>
      <c r="AO7" s="23">
        <v>15617.84</v>
      </c>
      <c r="AP7" s="23">
        <v>1.5</v>
      </c>
      <c r="AQ7" s="23" t="s">
        <v>72</v>
      </c>
      <c r="AR7" s="23">
        <v>720</v>
      </c>
      <c r="AS7" s="23">
        <v>0</v>
      </c>
      <c r="AT7" s="23" t="s">
        <v>65</v>
      </c>
      <c r="AU7" s="23">
        <v>0</v>
      </c>
      <c r="AV7" s="23" t="s">
        <v>65</v>
      </c>
      <c r="AW7" s="24" t="s">
        <v>65</v>
      </c>
      <c r="AX7" s="24" t="s">
        <v>65</v>
      </c>
      <c r="AY7" s="25" t="s">
        <v>65</v>
      </c>
      <c r="AZ7" s="25" t="s">
        <v>65</v>
      </c>
    </row>
  </sheetData>
  <mergeCells count="19">
    <mergeCell ref="A1:AZ1"/>
    <mergeCell ref="S2:V2"/>
    <mergeCell ref="W2:Z2"/>
    <mergeCell ref="AA2:AC2"/>
    <mergeCell ref="AD2:AE2"/>
    <mergeCell ref="AF2:AM2"/>
    <mergeCell ref="AN2:AV2"/>
    <mergeCell ref="B2:B4"/>
    <mergeCell ref="C2:C4"/>
    <mergeCell ref="D2:F3"/>
    <mergeCell ref="G2:I3"/>
    <mergeCell ref="J2:L3"/>
    <mergeCell ref="M2:M3"/>
    <mergeCell ref="N2:N3"/>
    <mergeCell ref="O2:O3"/>
    <mergeCell ref="P2:R2"/>
    <mergeCell ref="AW2:AX2"/>
    <mergeCell ref="AY2:AZ2"/>
    <mergeCell ref="A2:A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"/>
  <sheetViews>
    <sheetView topLeftCell="AJ2" workbookViewId="0">
      <selection activeCell="AT4" sqref="AT4"/>
    </sheetView>
  </sheetViews>
  <sheetFormatPr defaultRowHeight="15" x14ac:dyDescent="0.25"/>
  <cols>
    <col min="2" max="2" width="17.85546875" customWidth="1"/>
    <col min="30" max="30" width="8.85546875" bestFit="1" customWidth="1"/>
    <col min="31" max="31" width="9.140625" bestFit="1" customWidth="1"/>
    <col min="32" max="32" width="8.5703125" bestFit="1" customWidth="1"/>
    <col min="33" max="33" width="9.140625" bestFit="1" customWidth="1"/>
    <col min="34" max="34" width="8.42578125" bestFit="1" customWidth="1"/>
    <col min="35" max="35" width="9.140625" bestFit="1" customWidth="1"/>
    <col min="36" max="36" width="8.42578125" bestFit="1" customWidth="1"/>
    <col min="37" max="37" width="9.140625" bestFit="1" customWidth="1"/>
    <col min="38" max="38" width="8.42578125" bestFit="1" customWidth="1"/>
  </cols>
  <sheetData>
    <row r="1" spans="1:68" ht="45.75" customHeight="1" x14ac:dyDescent="0.25">
      <c r="A1" s="1216" t="s">
        <v>0</v>
      </c>
      <c r="B1" s="1198" t="s">
        <v>1</v>
      </c>
      <c r="C1" s="1207" t="s">
        <v>2</v>
      </c>
      <c r="D1" s="1207"/>
      <c r="E1" s="1207"/>
      <c r="F1" s="1207" t="s">
        <v>3</v>
      </c>
      <c r="G1" s="1207"/>
      <c r="H1" s="1207"/>
      <c r="I1" s="1207" t="s">
        <v>4</v>
      </c>
      <c r="J1" s="1207"/>
      <c r="K1" s="1207"/>
      <c r="L1" s="1207" t="s">
        <v>5</v>
      </c>
      <c r="M1" s="1207" t="s">
        <v>6</v>
      </c>
      <c r="N1" s="1207" t="s">
        <v>7</v>
      </c>
      <c r="O1" s="1213" t="s">
        <v>8</v>
      </c>
      <c r="P1" s="1213"/>
      <c r="Q1" s="1213"/>
      <c r="R1" s="1214" t="s">
        <v>9</v>
      </c>
      <c r="S1" s="1214"/>
      <c r="T1" s="1214"/>
      <c r="U1" s="1214"/>
      <c r="V1" s="1215" t="s">
        <v>10</v>
      </c>
      <c r="W1" s="1215"/>
      <c r="X1" s="1215"/>
      <c r="Y1" s="1215"/>
      <c r="Z1" s="1206" t="s">
        <v>11</v>
      </c>
      <c r="AA1" s="1206"/>
      <c r="AB1" s="1206"/>
      <c r="AC1" s="1210" t="s">
        <v>12</v>
      </c>
      <c r="AD1" s="1210"/>
      <c r="AE1" s="1211" t="s">
        <v>13</v>
      </c>
      <c r="AF1" s="1211"/>
      <c r="AG1" s="1211"/>
      <c r="AH1" s="1211"/>
      <c r="AI1" s="1211"/>
      <c r="AJ1" s="1211"/>
      <c r="AK1" s="1211"/>
      <c r="AL1" s="1211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212" t="s">
        <v>14</v>
      </c>
      <c r="BE1" s="1212"/>
      <c r="BF1" s="1212"/>
      <c r="BG1" s="1212"/>
      <c r="BH1" s="1212"/>
      <c r="BI1" s="1212"/>
      <c r="BJ1" s="1212"/>
      <c r="BK1" s="1212"/>
      <c r="BL1" s="1212"/>
      <c r="BM1" s="1208" t="s">
        <v>15</v>
      </c>
      <c r="BN1" s="1208"/>
      <c r="BO1" s="1209" t="s">
        <v>16</v>
      </c>
      <c r="BP1" s="1209"/>
    </row>
    <row r="2" spans="1:68" ht="225" x14ac:dyDescent="0.25">
      <c r="A2" s="1217"/>
      <c r="B2" s="1198"/>
      <c r="C2" s="1207"/>
      <c r="D2" s="1207"/>
      <c r="E2" s="1207"/>
      <c r="F2" s="1207"/>
      <c r="G2" s="1207"/>
      <c r="H2" s="1207"/>
      <c r="I2" s="1207"/>
      <c r="J2" s="1207"/>
      <c r="K2" s="1207"/>
      <c r="L2" s="1207"/>
      <c r="M2" s="1207"/>
      <c r="N2" s="1207"/>
      <c r="O2" s="37" t="s">
        <v>17</v>
      </c>
      <c r="P2" s="37" t="s">
        <v>18</v>
      </c>
      <c r="Q2" s="37" t="s">
        <v>19</v>
      </c>
      <c r="R2" s="38" t="s">
        <v>20</v>
      </c>
      <c r="S2" s="38" t="s">
        <v>21</v>
      </c>
      <c r="T2" s="38" t="s">
        <v>22</v>
      </c>
      <c r="U2" s="38" t="s">
        <v>23</v>
      </c>
      <c r="V2" s="39" t="s">
        <v>24</v>
      </c>
      <c r="W2" s="39" t="s">
        <v>25</v>
      </c>
      <c r="X2" s="39" t="s">
        <v>26</v>
      </c>
      <c r="Y2" s="39" t="s">
        <v>27</v>
      </c>
      <c r="Z2" s="40" t="s">
        <v>28</v>
      </c>
      <c r="AA2" s="40" t="s">
        <v>29</v>
      </c>
      <c r="AB2" s="40" t="s">
        <v>30</v>
      </c>
      <c r="AC2" s="41" t="s">
        <v>31</v>
      </c>
      <c r="AD2" s="41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3" t="s">
        <v>102</v>
      </c>
      <c r="AN2" s="43" t="s">
        <v>103</v>
      </c>
      <c r="AO2" s="43" t="s">
        <v>104</v>
      </c>
      <c r="AP2" s="43" t="s">
        <v>105</v>
      </c>
      <c r="AQ2" s="43" t="s">
        <v>106</v>
      </c>
      <c r="AR2" s="44" t="s">
        <v>107</v>
      </c>
      <c r="AS2" s="44" t="s">
        <v>108</v>
      </c>
      <c r="AT2" s="44" t="s">
        <v>109</v>
      </c>
      <c r="AU2" s="44" t="s">
        <v>110</v>
      </c>
      <c r="AV2" s="44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47" t="s">
        <v>14</v>
      </c>
      <c r="BE2" s="47" t="s">
        <v>39</v>
      </c>
      <c r="BF2" s="47" t="s">
        <v>40</v>
      </c>
      <c r="BG2" s="47" t="s">
        <v>41</v>
      </c>
      <c r="BH2" s="47" t="s">
        <v>42</v>
      </c>
      <c r="BI2" s="47" t="s">
        <v>43</v>
      </c>
      <c r="BJ2" s="47" t="s">
        <v>44</v>
      </c>
      <c r="BK2" s="47" t="s">
        <v>45</v>
      </c>
      <c r="BL2" s="47" t="s">
        <v>46</v>
      </c>
      <c r="BM2" s="48" t="s">
        <v>47</v>
      </c>
      <c r="BN2" s="48" t="s">
        <v>48</v>
      </c>
      <c r="BO2" s="43" t="s">
        <v>49</v>
      </c>
      <c r="BP2" s="43" t="s">
        <v>50</v>
      </c>
    </row>
    <row r="3" spans="1:68" ht="75" x14ac:dyDescent="0.25">
      <c r="A3" s="1218"/>
      <c r="B3" s="1198"/>
      <c r="C3" s="28" t="s">
        <v>51</v>
      </c>
      <c r="D3" s="28" t="s">
        <v>52</v>
      </c>
      <c r="E3" s="28" t="s">
        <v>53</v>
      </c>
      <c r="F3" s="28" t="s">
        <v>51</v>
      </c>
      <c r="G3" s="28" t="s">
        <v>52</v>
      </c>
      <c r="H3" s="29" t="s">
        <v>53</v>
      </c>
      <c r="I3" s="28" t="s">
        <v>51</v>
      </c>
      <c r="J3" s="28" t="s">
        <v>52</v>
      </c>
      <c r="K3" s="29" t="s">
        <v>53</v>
      </c>
      <c r="L3" s="28" t="s">
        <v>54</v>
      </c>
      <c r="M3" s="28" t="s">
        <v>55</v>
      </c>
      <c r="N3" s="28" t="s">
        <v>56</v>
      </c>
      <c r="O3" s="28" t="s">
        <v>57</v>
      </c>
      <c r="P3" s="49" t="s">
        <v>57</v>
      </c>
      <c r="Q3" s="49" t="s">
        <v>57</v>
      </c>
      <c r="R3" s="49" t="s">
        <v>57</v>
      </c>
      <c r="S3" s="49" t="s">
        <v>57</v>
      </c>
      <c r="T3" s="49" t="s">
        <v>57</v>
      </c>
      <c r="U3" s="49" t="s">
        <v>57</v>
      </c>
      <c r="V3" s="49" t="s">
        <v>57</v>
      </c>
      <c r="W3" s="49" t="s">
        <v>57</v>
      </c>
      <c r="X3" s="49" t="s">
        <v>57</v>
      </c>
      <c r="Y3" s="49" t="s">
        <v>57</v>
      </c>
      <c r="Z3" s="49" t="s">
        <v>57</v>
      </c>
      <c r="AA3" s="49" t="s">
        <v>57</v>
      </c>
      <c r="AB3" s="49" t="s">
        <v>57</v>
      </c>
      <c r="AC3" s="49" t="s">
        <v>57</v>
      </c>
      <c r="AD3" s="49" t="s">
        <v>57</v>
      </c>
      <c r="AE3" s="28" t="s">
        <v>58</v>
      </c>
      <c r="AF3" s="49" t="s">
        <v>57</v>
      </c>
      <c r="AG3" s="28" t="s">
        <v>54</v>
      </c>
      <c r="AH3" s="49" t="s">
        <v>57</v>
      </c>
      <c r="AI3" s="28" t="s">
        <v>54</v>
      </c>
      <c r="AJ3" s="49" t="s">
        <v>57</v>
      </c>
      <c r="AK3" s="28" t="s">
        <v>54</v>
      </c>
      <c r="AL3" s="49" t="s">
        <v>57</v>
      </c>
      <c r="AM3" s="49" t="s">
        <v>62</v>
      </c>
      <c r="AN3" s="49" t="s">
        <v>62</v>
      </c>
      <c r="AO3" s="49" t="s">
        <v>62</v>
      </c>
      <c r="AP3" s="28" t="s">
        <v>54</v>
      </c>
      <c r="AQ3" s="49" t="s">
        <v>57</v>
      </c>
      <c r="AR3" s="49" t="s">
        <v>62</v>
      </c>
      <c r="AS3" s="28" t="s">
        <v>54</v>
      </c>
      <c r="AT3" s="49" t="s">
        <v>119</v>
      </c>
      <c r="AU3" s="49" t="s">
        <v>62</v>
      </c>
      <c r="AV3" s="49" t="s">
        <v>62</v>
      </c>
      <c r="AW3" s="49" t="s">
        <v>120</v>
      </c>
      <c r="AX3" s="49" t="s">
        <v>54</v>
      </c>
      <c r="AY3" s="49" t="s">
        <v>120</v>
      </c>
      <c r="AZ3" s="49" t="s">
        <v>54</v>
      </c>
      <c r="BA3" s="49" t="s">
        <v>120</v>
      </c>
      <c r="BB3" s="49" t="s">
        <v>120</v>
      </c>
      <c r="BC3" s="49" t="s">
        <v>120</v>
      </c>
      <c r="BD3" s="28" t="s">
        <v>54</v>
      </c>
      <c r="BE3" s="28" t="s">
        <v>59</v>
      </c>
      <c r="BF3" s="28" t="s">
        <v>60</v>
      </c>
      <c r="BG3" s="28" t="s">
        <v>61</v>
      </c>
      <c r="BH3" s="49" t="s">
        <v>62</v>
      </c>
      <c r="BI3" s="28" t="s">
        <v>57</v>
      </c>
      <c r="BJ3" s="49" t="s">
        <v>63</v>
      </c>
      <c r="BK3" s="28" t="s">
        <v>62</v>
      </c>
      <c r="BL3" s="49" t="s">
        <v>63</v>
      </c>
      <c r="BM3" s="49" t="s">
        <v>55</v>
      </c>
      <c r="BN3" s="49" t="s">
        <v>55</v>
      </c>
      <c r="BO3" s="49" t="s">
        <v>55</v>
      </c>
      <c r="BP3" s="49" t="s">
        <v>55</v>
      </c>
    </row>
    <row r="4" spans="1:68" ht="33" customHeight="1" x14ac:dyDescent="0.25">
      <c r="A4" s="50">
        <v>60</v>
      </c>
      <c r="B4" s="27" t="s">
        <v>64</v>
      </c>
      <c r="C4" s="51">
        <v>10</v>
      </c>
      <c r="D4" s="51">
        <v>10</v>
      </c>
      <c r="E4" s="52">
        <v>10</v>
      </c>
      <c r="F4" s="53">
        <v>10</v>
      </c>
      <c r="G4" s="53">
        <v>10</v>
      </c>
      <c r="H4" s="52">
        <v>10</v>
      </c>
      <c r="I4" s="53">
        <v>0</v>
      </c>
      <c r="J4" s="53">
        <v>0</v>
      </c>
      <c r="K4" s="52">
        <v>0</v>
      </c>
      <c r="L4" s="53">
        <v>0</v>
      </c>
      <c r="M4" s="53" t="s">
        <v>65</v>
      </c>
      <c r="N4" s="53">
        <v>0</v>
      </c>
      <c r="O4" s="54">
        <f>SUM(R4,V4,Z4,AM4,AR4,AU4)</f>
        <v>8.3070000000000004</v>
      </c>
      <c r="P4" s="54">
        <f>SUM(S4,W4,AA4,AC4,AN4,AV4)</f>
        <v>6.1550000000000002</v>
      </c>
      <c r="Q4" s="55">
        <f>SUM(T4,X4,AB4,AD4,AO4,AS4)</f>
        <v>4.37</v>
      </c>
      <c r="R4" s="56">
        <v>4.21</v>
      </c>
      <c r="S4" s="56">
        <v>3.25</v>
      </c>
      <c r="T4" s="56">
        <v>0</v>
      </c>
      <c r="U4" s="56">
        <v>0</v>
      </c>
      <c r="V4" s="57">
        <v>2.94</v>
      </c>
      <c r="W4" s="57">
        <v>2.2599999999999998</v>
      </c>
      <c r="X4" s="57">
        <v>0.84</v>
      </c>
      <c r="Y4" s="57">
        <v>0</v>
      </c>
      <c r="Z4" s="58">
        <v>0.36</v>
      </c>
      <c r="AA4" s="58">
        <v>0.12</v>
      </c>
      <c r="AB4" s="58">
        <v>0.08</v>
      </c>
      <c r="AC4" s="59">
        <v>0.52</v>
      </c>
      <c r="AD4" s="59">
        <v>0</v>
      </c>
      <c r="AE4" s="60">
        <v>0</v>
      </c>
      <c r="AF4" s="60">
        <v>0</v>
      </c>
      <c r="AG4" s="60">
        <v>2</v>
      </c>
      <c r="AH4" s="60">
        <f>SUM(3+3)</f>
        <v>6</v>
      </c>
      <c r="AI4" s="60">
        <v>0</v>
      </c>
      <c r="AJ4" s="60">
        <v>0</v>
      </c>
      <c r="AK4" s="60">
        <v>0</v>
      </c>
      <c r="AL4" s="60">
        <v>0</v>
      </c>
      <c r="AM4" s="61">
        <v>0.75</v>
      </c>
      <c r="AN4" s="61">
        <v>0</v>
      </c>
      <c r="AO4" s="61">
        <v>0.45</v>
      </c>
      <c r="AP4" s="61">
        <v>0</v>
      </c>
      <c r="AQ4" s="61">
        <v>0</v>
      </c>
      <c r="AR4" s="62">
        <v>2.7E-2</v>
      </c>
      <c r="AS4" s="62">
        <v>3</v>
      </c>
      <c r="AT4" s="62"/>
      <c r="AU4" s="62">
        <v>0.02</v>
      </c>
      <c r="AV4" s="62">
        <v>5.0000000000000001E-3</v>
      </c>
      <c r="AW4" s="62" t="s">
        <v>122</v>
      </c>
      <c r="AX4" s="62">
        <v>0</v>
      </c>
      <c r="AY4" s="62" t="s">
        <v>122</v>
      </c>
      <c r="AZ4" s="62" t="s">
        <v>123</v>
      </c>
      <c r="BA4" s="62" t="s">
        <v>122</v>
      </c>
      <c r="BB4" s="62" t="s">
        <v>122</v>
      </c>
      <c r="BC4" s="62" t="s">
        <v>122</v>
      </c>
      <c r="BD4" s="63">
        <v>1</v>
      </c>
      <c r="BE4" s="63">
        <v>1337</v>
      </c>
      <c r="BF4" s="63">
        <v>1.5</v>
      </c>
      <c r="BG4" s="63" t="s">
        <v>66</v>
      </c>
      <c r="BH4" s="63">
        <v>1200</v>
      </c>
      <c r="BI4" s="63">
        <v>0</v>
      </c>
      <c r="BJ4" s="63" t="s">
        <v>65</v>
      </c>
      <c r="BK4" s="63">
        <v>0</v>
      </c>
      <c r="BL4" s="63" t="s">
        <v>65</v>
      </c>
      <c r="BM4" s="64" t="s">
        <v>67</v>
      </c>
      <c r="BN4" s="64" t="s">
        <v>65</v>
      </c>
      <c r="BO4" s="65" t="s">
        <v>67</v>
      </c>
      <c r="BP4" s="65" t="s">
        <v>67</v>
      </c>
    </row>
    <row r="5" spans="1:68" ht="32.25" customHeight="1" x14ac:dyDescent="0.25">
      <c r="A5" s="50">
        <v>50</v>
      </c>
      <c r="B5" s="72" t="s">
        <v>121</v>
      </c>
      <c r="C5" s="51">
        <v>8</v>
      </c>
      <c r="D5" s="51">
        <v>8</v>
      </c>
      <c r="E5" s="52">
        <v>8</v>
      </c>
      <c r="F5" s="53">
        <v>8</v>
      </c>
      <c r="G5" s="53">
        <v>8</v>
      </c>
      <c r="H5" s="52">
        <v>8</v>
      </c>
      <c r="I5" s="53">
        <v>0</v>
      </c>
      <c r="J5" s="53">
        <v>0</v>
      </c>
      <c r="K5" s="52">
        <v>0</v>
      </c>
      <c r="L5" s="53">
        <v>0</v>
      </c>
      <c r="M5" s="53" t="s">
        <v>65</v>
      </c>
      <c r="N5" s="53">
        <v>0</v>
      </c>
      <c r="O5" s="54">
        <f>SUM(R5,V5,Z5,AM5,AR5,AU5)</f>
        <v>6.915</v>
      </c>
      <c r="P5" s="54">
        <f>SUM(S5,W5,AA5,AC5,AN5,AV5)</f>
        <v>5.056</v>
      </c>
      <c r="Q5" s="55">
        <f>SUM(T5,X5,AB5,AD5,AO5)</f>
        <v>1.29</v>
      </c>
      <c r="R5" s="56">
        <v>4.2</v>
      </c>
      <c r="S5" s="56">
        <v>2.5</v>
      </c>
      <c r="T5" s="56">
        <v>0</v>
      </c>
      <c r="U5" s="56">
        <v>0</v>
      </c>
      <c r="V5" s="57">
        <v>2.0499999999999998</v>
      </c>
      <c r="W5" s="57">
        <v>1.5</v>
      </c>
      <c r="X5" s="57">
        <v>0.99</v>
      </c>
      <c r="Y5" s="57">
        <v>0</v>
      </c>
      <c r="Z5" s="58">
        <v>0.21</v>
      </c>
      <c r="AA5" s="58">
        <v>0.8</v>
      </c>
      <c r="AB5" s="58">
        <v>0.03</v>
      </c>
      <c r="AC5" s="59">
        <v>0.25</v>
      </c>
      <c r="AD5" s="59">
        <v>0</v>
      </c>
      <c r="AE5" s="60"/>
      <c r="AF5" s="60"/>
      <c r="AG5" s="60"/>
      <c r="AH5" s="60"/>
      <c r="AI5" s="60"/>
      <c r="AJ5" s="60"/>
      <c r="AK5" s="60"/>
      <c r="AL5" s="60"/>
      <c r="AM5" s="61">
        <v>0.44</v>
      </c>
      <c r="AN5" s="61">
        <v>0</v>
      </c>
      <c r="AO5" s="61">
        <v>0.27</v>
      </c>
      <c r="AP5" s="61">
        <v>0</v>
      </c>
      <c r="AQ5" s="61">
        <v>0</v>
      </c>
      <c r="AR5" s="62">
        <v>5.0000000000000001E-3</v>
      </c>
      <c r="AS5" s="62">
        <v>1</v>
      </c>
      <c r="AT5" s="62"/>
      <c r="AU5" s="62">
        <v>0.01</v>
      </c>
      <c r="AV5" s="62">
        <v>6.0000000000000001E-3</v>
      </c>
      <c r="AW5" s="62" t="s">
        <v>122</v>
      </c>
      <c r="AX5" s="62">
        <v>0</v>
      </c>
      <c r="AY5" s="62" t="s">
        <v>65</v>
      </c>
      <c r="AZ5" s="62" t="s">
        <v>123</v>
      </c>
      <c r="BA5" s="62" t="s">
        <v>122</v>
      </c>
      <c r="BB5" s="62" t="s">
        <v>122</v>
      </c>
      <c r="BC5" s="62" t="s">
        <v>122</v>
      </c>
      <c r="BD5" s="66">
        <v>1</v>
      </c>
      <c r="BE5" s="66">
        <v>15617.84</v>
      </c>
      <c r="BF5" s="67">
        <v>1.5</v>
      </c>
      <c r="BG5" s="66" t="s">
        <v>72</v>
      </c>
      <c r="BH5" s="66">
        <v>720</v>
      </c>
      <c r="BI5" s="66">
        <v>0</v>
      </c>
      <c r="BJ5" s="66" t="s">
        <v>65</v>
      </c>
      <c r="BK5" s="66">
        <v>0</v>
      </c>
      <c r="BL5" s="66" t="s">
        <v>65</v>
      </c>
      <c r="BM5" s="68" t="s">
        <v>65</v>
      </c>
      <c r="BN5" s="68" t="s">
        <v>65</v>
      </c>
      <c r="BO5" s="69" t="s">
        <v>65</v>
      </c>
      <c r="BP5" s="69" t="s">
        <v>65</v>
      </c>
    </row>
    <row r="8" spans="1:68" ht="15.75" thickBot="1" x14ac:dyDescent="0.3">
      <c r="X8">
        <f>SUM(W5,AA5)</f>
        <v>2.2999999999999998</v>
      </c>
    </row>
    <row r="9" spans="1:68" ht="15.75" thickBot="1" x14ac:dyDescent="0.3">
      <c r="W9" s="36"/>
      <c r="X9">
        <f>SUM(W4,AA4)</f>
        <v>2.38</v>
      </c>
    </row>
  </sheetData>
  <mergeCells count="20">
    <mergeCell ref="A1:A3"/>
    <mergeCell ref="BM1:BN1"/>
    <mergeCell ref="BO1:BP1"/>
    <mergeCell ref="AC1:AD1"/>
    <mergeCell ref="AE1:AL1"/>
    <mergeCell ref="AM1:AQ1"/>
    <mergeCell ref="AR1:AT1"/>
    <mergeCell ref="AU1:BC1"/>
    <mergeCell ref="BD1:BL1"/>
    <mergeCell ref="Z1:AB1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8"/>
  <sheetViews>
    <sheetView topLeftCell="M1" workbookViewId="0">
      <selection activeCell="V5" sqref="V5"/>
    </sheetView>
  </sheetViews>
  <sheetFormatPr defaultRowHeight="15" x14ac:dyDescent="0.25"/>
  <cols>
    <col min="2" max="2" width="12.7109375" customWidth="1"/>
    <col min="48" max="48" width="16.140625" bestFit="1" customWidth="1"/>
    <col min="52" max="52" width="9.7109375" bestFit="1" customWidth="1"/>
    <col min="55" max="55" width="10.140625" bestFit="1" customWidth="1"/>
    <col min="56" max="56" width="10.7109375" bestFit="1" customWidth="1"/>
  </cols>
  <sheetData>
    <row r="1" spans="1:70" ht="45.75" customHeight="1" thickBot="1" x14ac:dyDescent="0.3">
      <c r="A1" s="1240" t="s">
        <v>0</v>
      </c>
      <c r="B1" s="1242" t="s">
        <v>1</v>
      </c>
      <c r="C1" s="73"/>
      <c r="D1" s="73"/>
      <c r="E1" s="1245" t="s">
        <v>2</v>
      </c>
      <c r="F1" s="1246"/>
      <c r="G1" s="1247"/>
      <c r="H1" s="1245" t="s">
        <v>3</v>
      </c>
      <c r="I1" s="1246"/>
      <c r="J1" s="1247"/>
      <c r="K1" s="1245" t="s">
        <v>4</v>
      </c>
      <c r="L1" s="1246"/>
      <c r="M1" s="1247"/>
      <c r="N1" s="1254" t="s">
        <v>5</v>
      </c>
      <c r="O1" s="1254" t="s">
        <v>6</v>
      </c>
      <c r="P1" s="1254" t="s">
        <v>7</v>
      </c>
      <c r="Q1" s="1256" t="s">
        <v>8</v>
      </c>
      <c r="R1" s="1257"/>
      <c r="S1" s="1258"/>
      <c r="T1" s="1259" t="s">
        <v>9</v>
      </c>
      <c r="U1" s="1260"/>
      <c r="V1" s="1260"/>
      <c r="W1" s="1261"/>
      <c r="X1" s="1262" t="s">
        <v>10</v>
      </c>
      <c r="Y1" s="1263"/>
      <c r="Z1" s="1263"/>
      <c r="AA1" s="1264"/>
      <c r="AB1" s="1237" t="s">
        <v>11</v>
      </c>
      <c r="AC1" s="1238"/>
      <c r="AD1" s="1239"/>
      <c r="AE1" s="1223" t="s">
        <v>12</v>
      </c>
      <c r="AF1" s="1224"/>
      <c r="AG1" s="1225" t="s">
        <v>13</v>
      </c>
      <c r="AH1" s="1226"/>
      <c r="AI1" s="1226"/>
      <c r="AJ1" s="1226"/>
      <c r="AK1" s="1226"/>
      <c r="AL1" s="1226"/>
      <c r="AM1" s="1226"/>
      <c r="AN1" s="1227"/>
      <c r="AO1" s="1228" t="s">
        <v>99</v>
      </c>
      <c r="AP1" s="1229"/>
      <c r="AQ1" s="1229"/>
      <c r="AR1" s="1229"/>
      <c r="AS1" s="1230"/>
      <c r="AT1" s="1231" t="s">
        <v>100</v>
      </c>
      <c r="AU1" s="1232"/>
      <c r="AV1" s="1233"/>
      <c r="AW1" s="1231" t="s">
        <v>101</v>
      </c>
      <c r="AX1" s="1232"/>
      <c r="AY1" s="1232"/>
      <c r="AZ1" s="1232"/>
      <c r="BA1" s="1232"/>
      <c r="BB1" s="1232"/>
      <c r="BC1" s="1232"/>
      <c r="BD1" s="1232"/>
      <c r="BE1" s="1233"/>
      <c r="BF1" s="1234" t="s">
        <v>14</v>
      </c>
      <c r="BG1" s="1235"/>
      <c r="BH1" s="1235"/>
      <c r="BI1" s="1235"/>
      <c r="BJ1" s="1235"/>
      <c r="BK1" s="1235"/>
      <c r="BL1" s="1235"/>
      <c r="BM1" s="1235"/>
      <c r="BN1" s="1236"/>
      <c r="BO1" s="1219" t="s">
        <v>15</v>
      </c>
      <c r="BP1" s="1220"/>
      <c r="BQ1" s="1221" t="s">
        <v>16</v>
      </c>
      <c r="BR1" s="1222"/>
    </row>
    <row r="2" spans="1:70" ht="189" customHeight="1" thickBot="1" x14ac:dyDescent="0.3">
      <c r="A2" s="1241"/>
      <c r="B2" s="1243"/>
      <c r="C2" s="74"/>
      <c r="D2" s="74" t="s">
        <v>124</v>
      </c>
      <c r="E2" s="1248"/>
      <c r="F2" s="1249"/>
      <c r="G2" s="1250"/>
      <c r="H2" s="1251"/>
      <c r="I2" s="1252"/>
      <c r="J2" s="1253"/>
      <c r="K2" s="1251"/>
      <c r="L2" s="1252"/>
      <c r="M2" s="1253"/>
      <c r="N2" s="1255"/>
      <c r="O2" s="1255"/>
      <c r="P2" s="1255"/>
      <c r="Q2" s="75" t="s">
        <v>17</v>
      </c>
      <c r="R2" s="75" t="s">
        <v>18</v>
      </c>
      <c r="S2" s="75" t="s">
        <v>19</v>
      </c>
      <c r="T2" s="76" t="s">
        <v>20</v>
      </c>
      <c r="U2" s="76" t="s">
        <v>21</v>
      </c>
      <c r="V2" s="76" t="s">
        <v>22</v>
      </c>
      <c r="W2" s="76" t="s">
        <v>23</v>
      </c>
      <c r="X2" s="77" t="s">
        <v>24</v>
      </c>
      <c r="Y2" s="77" t="s">
        <v>25</v>
      </c>
      <c r="Z2" s="77" t="s">
        <v>26</v>
      </c>
      <c r="AA2" s="77" t="s">
        <v>27</v>
      </c>
      <c r="AB2" s="78" t="s">
        <v>28</v>
      </c>
      <c r="AC2" s="78" t="s">
        <v>29</v>
      </c>
      <c r="AD2" s="78" t="s">
        <v>30</v>
      </c>
      <c r="AE2" s="79" t="s">
        <v>31</v>
      </c>
      <c r="AF2" s="79" t="s">
        <v>32</v>
      </c>
      <c r="AG2" s="80" t="s">
        <v>33</v>
      </c>
      <c r="AH2" s="80" t="s">
        <v>34</v>
      </c>
      <c r="AI2" s="80" t="s">
        <v>35</v>
      </c>
      <c r="AJ2" s="80" t="s">
        <v>36</v>
      </c>
      <c r="AK2" s="80" t="s">
        <v>37</v>
      </c>
      <c r="AL2" s="80" t="s">
        <v>36</v>
      </c>
      <c r="AM2" s="80" t="s">
        <v>38</v>
      </c>
      <c r="AN2" s="80" t="s">
        <v>36</v>
      </c>
      <c r="AO2" s="81" t="s">
        <v>102</v>
      </c>
      <c r="AP2" s="81" t="s">
        <v>103</v>
      </c>
      <c r="AQ2" s="81" t="s">
        <v>104</v>
      </c>
      <c r="AR2" s="81" t="s">
        <v>105</v>
      </c>
      <c r="AS2" s="81" t="s">
        <v>106</v>
      </c>
      <c r="AT2" s="82" t="s">
        <v>107</v>
      </c>
      <c r="AU2" s="82" t="s">
        <v>108</v>
      </c>
      <c r="AV2" s="82" t="s">
        <v>109</v>
      </c>
      <c r="AW2" s="82" t="s">
        <v>110</v>
      </c>
      <c r="AX2" s="82" t="s">
        <v>111</v>
      </c>
      <c r="AY2" s="82" t="s">
        <v>112</v>
      </c>
      <c r="AZ2" s="83" t="s">
        <v>113</v>
      </c>
      <c r="BA2" s="82" t="s">
        <v>114</v>
      </c>
      <c r="BB2" s="82" t="s">
        <v>115</v>
      </c>
      <c r="BC2" s="84" t="s">
        <v>116</v>
      </c>
      <c r="BD2" s="82" t="s">
        <v>117</v>
      </c>
      <c r="BE2" s="82" t="s">
        <v>118</v>
      </c>
      <c r="BF2" s="85" t="s">
        <v>14</v>
      </c>
      <c r="BG2" s="85" t="s">
        <v>39</v>
      </c>
      <c r="BH2" s="85" t="s">
        <v>40</v>
      </c>
      <c r="BI2" s="85" t="s">
        <v>41</v>
      </c>
      <c r="BJ2" s="85" t="s">
        <v>42</v>
      </c>
      <c r="BK2" s="85" t="s">
        <v>43</v>
      </c>
      <c r="BL2" s="85" t="s">
        <v>44</v>
      </c>
      <c r="BM2" s="85" t="s">
        <v>45</v>
      </c>
      <c r="BN2" s="85" t="s">
        <v>46</v>
      </c>
      <c r="BO2" s="86" t="s">
        <v>47</v>
      </c>
      <c r="BP2" s="86" t="s">
        <v>48</v>
      </c>
      <c r="BQ2" s="81" t="s">
        <v>49</v>
      </c>
      <c r="BR2" s="81" t="s">
        <v>50</v>
      </c>
    </row>
    <row r="3" spans="1:70" ht="55.5" customHeight="1" thickBot="1" x14ac:dyDescent="0.3">
      <c r="A3" s="87"/>
      <c r="B3" s="1244"/>
      <c r="C3" s="12" t="s">
        <v>125</v>
      </c>
      <c r="D3" s="12" t="s">
        <v>126</v>
      </c>
      <c r="E3" s="12" t="s">
        <v>51</v>
      </c>
      <c r="F3" s="12" t="s">
        <v>52</v>
      </c>
      <c r="G3" s="12" t="s">
        <v>53</v>
      </c>
      <c r="H3" s="12" t="s">
        <v>51</v>
      </c>
      <c r="I3" s="12" t="s">
        <v>52</v>
      </c>
      <c r="J3" s="12" t="s">
        <v>53</v>
      </c>
      <c r="K3" s="12" t="s">
        <v>51</v>
      </c>
      <c r="L3" s="12" t="s">
        <v>52</v>
      </c>
      <c r="M3" s="12" t="s">
        <v>53</v>
      </c>
      <c r="N3" s="12" t="s">
        <v>54</v>
      </c>
      <c r="O3" s="12" t="s">
        <v>120</v>
      </c>
      <c r="P3" s="12" t="s">
        <v>56</v>
      </c>
      <c r="Q3" s="12" t="s">
        <v>57</v>
      </c>
      <c r="R3" s="88" t="s">
        <v>57</v>
      </c>
      <c r="S3" s="88" t="s">
        <v>57</v>
      </c>
      <c r="T3" s="88" t="s">
        <v>57</v>
      </c>
      <c r="U3" s="88" t="s">
        <v>57</v>
      </c>
      <c r="V3" s="88" t="s">
        <v>57</v>
      </c>
      <c r="W3" s="88" t="s">
        <v>57</v>
      </c>
      <c r="X3" s="88" t="s">
        <v>57</v>
      </c>
      <c r="Y3" s="88" t="s">
        <v>57</v>
      </c>
      <c r="Z3" s="88" t="s">
        <v>57</v>
      </c>
      <c r="AA3" s="88" t="s">
        <v>57</v>
      </c>
      <c r="AB3" s="88" t="s">
        <v>57</v>
      </c>
      <c r="AC3" s="88" t="s">
        <v>57</v>
      </c>
      <c r="AD3" s="88" t="s">
        <v>57</v>
      </c>
      <c r="AE3" s="88" t="s">
        <v>57</v>
      </c>
      <c r="AF3" s="88" t="s">
        <v>57</v>
      </c>
      <c r="AG3" s="12" t="s">
        <v>58</v>
      </c>
      <c r="AH3" s="88" t="s">
        <v>57</v>
      </c>
      <c r="AI3" s="12" t="s">
        <v>54</v>
      </c>
      <c r="AJ3" s="88" t="s">
        <v>57</v>
      </c>
      <c r="AK3" s="12" t="s">
        <v>54</v>
      </c>
      <c r="AL3" s="88" t="s">
        <v>57</v>
      </c>
      <c r="AM3" s="12" t="s">
        <v>54</v>
      </c>
      <c r="AN3" s="88" t="s">
        <v>57</v>
      </c>
      <c r="AO3" s="88" t="s">
        <v>62</v>
      </c>
      <c r="AP3" s="88" t="s">
        <v>62</v>
      </c>
      <c r="AQ3" s="88" t="s">
        <v>62</v>
      </c>
      <c r="AR3" s="12" t="s">
        <v>54</v>
      </c>
      <c r="AS3" s="88" t="s">
        <v>57</v>
      </c>
      <c r="AT3" s="88" t="s">
        <v>62</v>
      </c>
      <c r="AU3" s="12" t="s">
        <v>54</v>
      </c>
      <c r="AV3" s="88" t="s">
        <v>119</v>
      </c>
      <c r="AW3" s="88" t="s">
        <v>62</v>
      </c>
      <c r="AX3" s="88" t="s">
        <v>62</v>
      </c>
      <c r="AY3" s="88" t="s">
        <v>120</v>
      </c>
      <c r="AZ3" s="88" t="s">
        <v>54</v>
      </c>
      <c r="BA3" s="88" t="s">
        <v>120</v>
      </c>
      <c r="BB3" s="88" t="s">
        <v>54</v>
      </c>
      <c r="BC3" s="88" t="s">
        <v>120</v>
      </c>
      <c r="BD3" s="88" t="s">
        <v>120</v>
      </c>
      <c r="BE3" s="88" t="s">
        <v>120</v>
      </c>
      <c r="BF3" s="12" t="s">
        <v>54</v>
      </c>
      <c r="BG3" s="12" t="s">
        <v>59</v>
      </c>
      <c r="BH3" s="12" t="s">
        <v>60</v>
      </c>
      <c r="BI3" s="12" t="s">
        <v>61</v>
      </c>
      <c r="BJ3" s="88" t="s">
        <v>62</v>
      </c>
      <c r="BK3" s="12" t="s">
        <v>57</v>
      </c>
      <c r="BL3" s="88" t="s">
        <v>127</v>
      </c>
      <c r="BM3" s="12" t="s">
        <v>62</v>
      </c>
      <c r="BN3" s="88" t="s">
        <v>127</v>
      </c>
      <c r="BO3" s="88" t="s">
        <v>120</v>
      </c>
      <c r="BP3" s="88" t="s">
        <v>120</v>
      </c>
      <c r="BQ3" s="88" t="s">
        <v>120</v>
      </c>
      <c r="BR3" s="88" t="s">
        <v>120</v>
      </c>
    </row>
    <row r="4" spans="1:70" ht="15.75" thickBot="1" x14ac:dyDescent="0.3">
      <c r="A4">
        <v>1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11</v>
      </c>
      <c r="L4">
        <v>12</v>
      </c>
      <c r="M4">
        <v>13</v>
      </c>
      <c r="N4">
        <v>14</v>
      </c>
      <c r="O4">
        <v>15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22</v>
      </c>
      <c r="W4">
        <v>23</v>
      </c>
      <c r="X4">
        <v>24</v>
      </c>
      <c r="Y4">
        <v>25</v>
      </c>
      <c r="Z4">
        <v>26</v>
      </c>
      <c r="AA4">
        <v>27</v>
      </c>
      <c r="AB4">
        <v>28</v>
      </c>
      <c r="AC4">
        <v>29</v>
      </c>
      <c r="AD4">
        <v>30</v>
      </c>
      <c r="AE4">
        <v>31</v>
      </c>
      <c r="AF4">
        <v>32</v>
      </c>
      <c r="AG4">
        <v>33</v>
      </c>
      <c r="AH4">
        <v>34</v>
      </c>
      <c r="AI4">
        <v>35</v>
      </c>
      <c r="AJ4">
        <v>36</v>
      </c>
      <c r="AK4">
        <v>37</v>
      </c>
      <c r="AL4">
        <v>38</v>
      </c>
      <c r="AM4">
        <v>39</v>
      </c>
      <c r="AN4">
        <v>40</v>
      </c>
      <c r="AO4">
        <v>41</v>
      </c>
      <c r="AP4">
        <v>42</v>
      </c>
      <c r="AQ4">
        <v>43</v>
      </c>
      <c r="AR4">
        <v>44</v>
      </c>
      <c r="AS4">
        <v>45</v>
      </c>
      <c r="AT4">
        <v>46</v>
      </c>
      <c r="AU4">
        <v>47</v>
      </c>
      <c r="AV4">
        <v>48</v>
      </c>
      <c r="AW4">
        <v>49</v>
      </c>
      <c r="AX4">
        <v>50</v>
      </c>
      <c r="AY4">
        <v>51</v>
      </c>
      <c r="AZ4">
        <v>52</v>
      </c>
      <c r="BA4">
        <v>53</v>
      </c>
      <c r="BB4">
        <v>54</v>
      </c>
      <c r="BC4">
        <v>55</v>
      </c>
      <c r="BD4">
        <v>56</v>
      </c>
      <c r="BE4">
        <v>57</v>
      </c>
      <c r="BF4">
        <v>58</v>
      </c>
      <c r="BG4">
        <v>59</v>
      </c>
      <c r="BH4">
        <v>60</v>
      </c>
      <c r="BI4">
        <v>61</v>
      </c>
      <c r="BJ4">
        <v>62</v>
      </c>
      <c r="BK4">
        <v>63</v>
      </c>
      <c r="BL4">
        <v>64</v>
      </c>
      <c r="BM4">
        <v>65</v>
      </c>
      <c r="BN4">
        <v>66</v>
      </c>
      <c r="BO4">
        <v>67</v>
      </c>
      <c r="BP4">
        <v>68</v>
      </c>
      <c r="BQ4">
        <v>69</v>
      </c>
      <c r="BR4">
        <v>70</v>
      </c>
    </row>
    <row r="5" spans="1:70" s="98" customFormat="1" ht="32.25" thickBot="1" x14ac:dyDescent="0.3">
      <c r="A5" s="71">
        <v>60</v>
      </c>
      <c r="B5" s="93" t="s">
        <v>64</v>
      </c>
      <c r="C5" s="89" t="s">
        <v>128</v>
      </c>
      <c r="D5" s="89">
        <v>25989</v>
      </c>
      <c r="E5" s="89">
        <v>10</v>
      </c>
      <c r="F5" s="89">
        <v>10</v>
      </c>
      <c r="G5" s="15">
        <v>10</v>
      </c>
      <c r="H5" s="16">
        <v>10</v>
      </c>
      <c r="I5" s="16">
        <v>10</v>
      </c>
      <c r="J5" s="15">
        <v>10</v>
      </c>
      <c r="K5" s="16">
        <v>0</v>
      </c>
      <c r="L5" s="16">
        <v>0</v>
      </c>
      <c r="M5" s="15">
        <v>0</v>
      </c>
      <c r="N5" s="16">
        <v>0</v>
      </c>
      <c r="O5" s="16" t="s">
        <v>65</v>
      </c>
      <c r="P5" s="16">
        <v>0</v>
      </c>
      <c r="Q5" s="128">
        <v>8.3800000000000008</v>
      </c>
      <c r="R5" s="128">
        <v>6.16</v>
      </c>
      <c r="S5" s="128">
        <v>1.395</v>
      </c>
      <c r="T5" s="129">
        <v>4.25</v>
      </c>
      <c r="U5" s="129">
        <v>3.2</v>
      </c>
      <c r="V5" s="129">
        <v>4.4999999999999998E-2</v>
      </c>
      <c r="W5" s="129">
        <v>0</v>
      </c>
      <c r="X5" s="130">
        <v>2.95</v>
      </c>
      <c r="Y5" s="130">
        <v>2.25</v>
      </c>
      <c r="Z5" s="130">
        <v>0.85</v>
      </c>
      <c r="AA5" s="130">
        <v>0</v>
      </c>
      <c r="AB5" s="131">
        <v>0.37</v>
      </c>
      <c r="AC5" s="131">
        <v>0.15</v>
      </c>
      <c r="AD5" s="131">
        <v>7.0000000000000007E-2</v>
      </c>
      <c r="AE5" s="132">
        <v>0.55000000000000004</v>
      </c>
      <c r="AF5" s="132">
        <v>0</v>
      </c>
      <c r="AG5" s="126">
        <v>0</v>
      </c>
      <c r="AH5" s="126">
        <v>0</v>
      </c>
      <c r="AI5" s="126">
        <v>2</v>
      </c>
      <c r="AJ5" s="126">
        <v>6</v>
      </c>
      <c r="AK5" s="126">
        <v>0</v>
      </c>
      <c r="AL5" s="126">
        <v>0</v>
      </c>
      <c r="AM5" s="126">
        <v>0</v>
      </c>
      <c r="AN5" s="126">
        <v>0</v>
      </c>
      <c r="AO5" s="133">
        <v>0.78</v>
      </c>
      <c r="AP5" s="133">
        <v>0</v>
      </c>
      <c r="AQ5" s="133">
        <v>0.43</v>
      </c>
      <c r="AR5" s="133">
        <v>0</v>
      </c>
      <c r="AS5" s="133">
        <v>0</v>
      </c>
      <c r="AT5" s="134">
        <v>2.7E-2</v>
      </c>
      <c r="AU5" s="134">
        <v>3</v>
      </c>
      <c r="AV5" s="135"/>
      <c r="AW5" s="136">
        <v>0.03</v>
      </c>
      <c r="AX5" s="134">
        <v>5.0000000000000001E-3</v>
      </c>
      <c r="AY5" s="134" t="s">
        <v>122</v>
      </c>
      <c r="AZ5" s="134">
        <v>0</v>
      </c>
      <c r="BA5" s="134" t="s">
        <v>122</v>
      </c>
      <c r="BB5" s="134" t="s">
        <v>123</v>
      </c>
      <c r="BC5" s="134" t="s">
        <v>122</v>
      </c>
      <c r="BD5" s="134" t="s">
        <v>122</v>
      </c>
      <c r="BE5" s="134" t="s">
        <v>122</v>
      </c>
      <c r="BF5" s="137">
        <v>1</v>
      </c>
      <c r="BG5" s="137">
        <v>1337</v>
      </c>
      <c r="BH5" s="137">
        <v>1.4</v>
      </c>
      <c r="BI5" s="137" t="s">
        <v>66</v>
      </c>
      <c r="BJ5" s="137">
        <v>1200</v>
      </c>
      <c r="BK5" s="137">
        <v>0</v>
      </c>
      <c r="BL5" s="137" t="s">
        <v>65</v>
      </c>
      <c r="BM5" s="137">
        <v>0</v>
      </c>
      <c r="BN5" s="137" t="s">
        <v>65</v>
      </c>
      <c r="BO5" s="138" t="s">
        <v>67</v>
      </c>
      <c r="BP5" s="138" t="s">
        <v>65</v>
      </c>
      <c r="BQ5" s="139" t="s">
        <v>67</v>
      </c>
      <c r="BR5" s="139" t="s">
        <v>67</v>
      </c>
    </row>
    <row r="6" spans="1:70" s="98" customFormat="1" ht="32.25" thickBot="1" x14ac:dyDescent="0.3">
      <c r="A6" s="71">
        <v>50</v>
      </c>
      <c r="B6" s="99" t="s">
        <v>121</v>
      </c>
      <c r="C6" s="89" t="s">
        <v>128</v>
      </c>
      <c r="D6" s="100">
        <v>18501</v>
      </c>
      <c r="E6" s="117">
        <v>8</v>
      </c>
      <c r="F6" s="89">
        <v>8</v>
      </c>
      <c r="G6" s="15">
        <v>8</v>
      </c>
      <c r="H6" s="16">
        <v>8</v>
      </c>
      <c r="I6" s="16">
        <v>8</v>
      </c>
      <c r="J6" s="15">
        <v>8</v>
      </c>
      <c r="K6" s="16">
        <v>0</v>
      </c>
      <c r="L6" s="16">
        <v>0</v>
      </c>
      <c r="M6" s="15">
        <v>0</v>
      </c>
      <c r="N6" s="16">
        <v>0</v>
      </c>
      <c r="O6" s="16" t="s">
        <v>65</v>
      </c>
      <c r="P6" s="16">
        <v>0</v>
      </c>
      <c r="Q6" s="17">
        <v>7</v>
      </c>
      <c r="R6" s="17">
        <v>5.3650000000000002</v>
      </c>
      <c r="S6" s="17">
        <v>1.292</v>
      </c>
      <c r="T6" s="18">
        <v>4.2</v>
      </c>
      <c r="U6" s="18">
        <v>2.6</v>
      </c>
      <c r="V6" s="18">
        <v>1.2E-2</v>
      </c>
      <c r="W6" s="18">
        <v>0</v>
      </c>
      <c r="X6" s="20">
        <v>2.1</v>
      </c>
      <c r="Y6" s="20">
        <v>1.6</v>
      </c>
      <c r="Z6" s="20">
        <v>0.98</v>
      </c>
      <c r="AA6" s="20">
        <v>0</v>
      </c>
      <c r="AB6" s="21">
        <v>0.23</v>
      </c>
      <c r="AC6" s="21">
        <v>0.9</v>
      </c>
      <c r="AD6" s="21">
        <v>0.02</v>
      </c>
      <c r="AE6" s="22">
        <v>0.26</v>
      </c>
      <c r="AF6" s="22">
        <v>0</v>
      </c>
      <c r="AG6" s="15">
        <v>0</v>
      </c>
      <c r="AH6" s="15">
        <v>0</v>
      </c>
      <c r="AI6" s="15">
        <v>1</v>
      </c>
      <c r="AJ6" s="15">
        <v>1.6</v>
      </c>
      <c r="AK6" s="15">
        <v>0</v>
      </c>
      <c r="AL6" s="15">
        <v>0</v>
      </c>
      <c r="AM6" s="15">
        <v>0</v>
      </c>
      <c r="AN6" s="15">
        <v>0</v>
      </c>
      <c r="AO6" s="118">
        <v>0.46</v>
      </c>
      <c r="AP6" s="118">
        <v>0</v>
      </c>
      <c r="AQ6" s="118">
        <v>0.28000000000000003</v>
      </c>
      <c r="AR6" s="118">
        <v>0</v>
      </c>
      <c r="AS6" s="118">
        <v>0</v>
      </c>
      <c r="AT6" s="119">
        <v>4.0000000000000001E-3</v>
      </c>
      <c r="AU6" s="119">
        <v>1</v>
      </c>
      <c r="AV6" s="120"/>
      <c r="AW6" s="119">
        <v>0.01</v>
      </c>
      <c r="AX6" s="119">
        <v>5.0000000000000001E-3</v>
      </c>
      <c r="AY6" s="119" t="s">
        <v>122</v>
      </c>
      <c r="AZ6" s="119">
        <v>0</v>
      </c>
      <c r="BA6" s="119" t="s">
        <v>122</v>
      </c>
      <c r="BB6" s="119" t="s">
        <v>123</v>
      </c>
      <c r="BC6" s="119" t="s">
        <v>122</v>
      </c>
      <c r="BD6" s="119" t="s">
        <v>122</v>
      </c>
      <c r="BE6" s="119" t="s">
        <v>122</v>
      </c>
      <c r="BF6" s="90">
        <v>1</v>
      </c>
      <c r="BG6" s="90">
        <v>15617.8</v>
      </c>
      <c r="BH6" s="102">
        <v>1.5</v>
      </c>
      <c r="BI6" s="90" t="s">
        <v>72</v>
      </c>
      <c r="BJ6" s="90">
        <v>721</v>
      </c>
      <c r="BK6" s="90">
        <v>0</v>
      </c>
      <c r="BL6" s="90" t="s">
        <v>65</v>
      </c>
      <c r="BM6" s="90">
        <v>0</v>
      </c>
      <c r="BN6" s="90" t="s">
        <v>65</v>
      </c>
      <c r="BO6" s="91" t="s">
        <v>65</v>
      </c>
      <c r="BP6" s="91" t="s">
        <v>65</v>
      </c>
      <c r="BQ6" s="92" t="s">
        <v>65</v>
      </c>
      <c r="BR6" s="92" t="s">
        <v>65</v>
      </c>
    </row>
    <row r="7" spans="1:70" ht="15.75" thickBot="1" x14ac:dyDescent="0.3"/>
    <row r="8" spans="1:70" ht="32.25" thickBot="1" x14ac:dyDescent="0.3">
      <c r="A8" s="124" t="s">
        <v>64</v>
      </c>
      <c r="B8" s="125"/>
      <c r="C8" s="125" t="s">
        <v>128</v>
      </c>
      <c r="D8" s="125"/>
      <c r="E8" s="125">
        <v>25989</v>
      </c>
      <c r="F8" s="125">
        <v>10</v>
      </c>
      <c r="G8" s="125">
        <v>10</v>
      </c>
      <c r="H8" s="126">
        <v>10</v>
      </c>
      <c r="I8" s="127">
        <v>10</v>
      </c>
      <c r="J8" s="127">
        <v>10</v>
      </c>
      <c r="K8" s="126">
        <v>10</v>
      </c>
      <c r="L8" s="127">
        <v>0</v>
      </c>
      <c r="M8" s="127">
        <v>0</v>
      </c>
      <c r="N8" s="126">
        <v>0</v>
      </c>
      <c r="O8" s="127">
        <v>0</v>
      </c>
      <c r="P8" s="127" t="s">
        <v>65</v>
      </c>
      <c r="Q8" s="127">
        <v>0</v>
      </c>
    </row>
  </sheetData>
  <mergeCells count="20">
    <mergeCell ref="AB1:AD1"/>
    <mergeCell ref="A1:A2"/>
    <mergeCell ref="B1:B3"/>
    <mergeCell ref="E1:G2"/>
    <mergeCell ref="H1:J2"/>
    <mergeCell ref="K1:M2"/>
    <mergeCell ref="N1:N2"/>
    <mergeCell ref="O1:O2"/>
    <mergeCell ref="P1:P2"/>
    <mergeCell ref="Q1:S1"/>
    <mergeCell ref="T1:W1"/>
    <mergeCell ref="X1:AA1"/>
    <mergeCell ref="BO1:BP1"/>
    <mergeCell ref="BQ1:BR1"/>
    <mergeCell ref="AE1:AF1"/>
    <mergeCell ref="AG1:AN1"/>
    <mergeCell ref="AO1:AS1"/>
    <mergeCell ref="AT1:AV1"/>
    <mergeCell ref="AW1:BE1"/>
    <mergeCell ref="BF1:BN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topLeftCell="H1" zoomScale="90" zoomScaleNormal="90" workbookViewId="0">
      <selection activeCell="Q4" sqref="Q4"/>
    </sheetView>
  </sheetViews>
  <sheetFormatPr defaultRowHeight="15" x14ac:dyDescent="0.25"/>
  <sheetData>
    <row r="1" spans="1:68" ht="15.75" x14ac:dyDescent="0.25">
      <c r="A1" s="1265" t="s">
        <v>0</v>
      </c>
      <c r="B1" s="1266" t="s">
        <v>1</v>
      </c>
      <c r="C1" s="1207" t="s">
        <v>2</v>
      </c>
      <c r="D1" s="1207"/>
      <c r="E1" s="1207"/>
      <c r="F1" s="1207" t="s">
        <v>3</v>
      </c>
      <c r="G1" s="1207"/>
      <c r="H1" s="1207"/>
      <c r="I1" s="1207" t="s">
        <v>4</v>
      </c>
      <c r="J1" s="1207"/>
      <c r="K1" s="1207"/>
      <c r="L1" s="1207" t="s">
        <v>5</v>
      </c>
      <c r="M1" s="1267" t="s">
        <v>6</v>
      </c>
      <c r="N1" s="1207" t="s">
        <v>7</v>
      </c>
      <c r="O1" s="1213" t="s">
        <v>8</v>
      </c>
      <c r="P1" s="1213"/>
      <c r="Q1" s="1213"/>
      <c r="R1" s="1214" t="s">
        <v>9</v>
      </c>
      <c r="S1" s="1214"/>
      <c r="T1" s="1214"/>
      <c r="U1" s="1214"/>
      <c r="V1" s="1215" t="s">
        <v>10</v>
      </c>
      <c r="W1" s="1215"/>
      <c r="X1" s="1215"/>
      <c r="Y1" s="1215"/>
      <c r="Z1" s="1206" t="s">
        <v>11</v>
      </c>
      <c r="AA1" s="1206"/>
      <c r="AB1" s="1206"/>
      <c r="AC1" s="1210" t="s">
        <v>12</v>
      </c>
      <c r="AD1" s="1210"/>
      <c r="AE1" s="1268" t="s">
        <v>13</v>
      </c>
      <c r="AF1" s="1268"/>
      <c r="AG1" s="1268"/>
      <c r="AH1" s="1268"/>
      <c r="AI1" s="1268"/>
      <c r="AJ1" s="1268"/>
      <c r="AK1" s="1268"/>
      <c r="AL1" s="1268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212" t="s">
        <v>14</v>
      </c>
      <c r="BE1" s="1212"/>
      <c r="BF1" s="1212"/>
      <c r="BG1" s="1212"/>
      <c r="BH1" s="1212"/>
      <c r="BI1" s="1212"/>
      <c r="BJ1" s="1212"/>
      <c r="BK1" s="1212"/>
      <c r="BL1" s="1212"/>
      <c r="BM1" s="1208" t="s">
        <v>15</v>
      </c>
      <c r="BN1" s="1208"/>
      <c r="BO1" s="1209" t="s">
        <v>16</v>
      </c>
      <c r="BP1" s="1209"/>
    </row>
    <row r="2" spans="1:68" ht="225" x14ac:dyDescent="0.25">
      <c r="A2" s="1265"/>
      <c r="B2" s="1266"/>
      <c r="C2" s="1207"/>
      <c r="D2" s="1207"/>
      <c r="E2" s="1207"/>
      <c r="F2" s="1207"/>
      <c r="G2" s="1207"/>
      <c r="H2" s="1207"/>
      <c r="I2" s="1207"/>
      <c r="J2" s="1207"/>
      <c r="K2" s="1207"/>
      <c r="L2" s="1207"/>
      <c r="M2" s="1267"/>
      <c r="N2" s="1207"/>
      <c r="O2" s="123" t="s">
        <v>17</v>
      </c>
      <c r="P2" s="121" t="s">
        <v>18</v>
      </c>
      <c r="Q2" s="122" t="s">
        <v>19</v>
      </c>
      <c r="R2" s="123" t="s">
        <v>20</v>
      </c>
      <c r="S2" s="121" t="s">
        <v>21</v>
      </c>
      <c r="T2" s="122" t="s">
        <v>22</v>
      </c>
      <c r="U2" s="122" t="s">
        <v>23</v>
      </c>
      <c r="V2" s="123" t="s">
        <v>24</v>
      </c>
      <c r="W2" s="121" t="s">
        <v>25</v>
      </c>
      <c r="X2" s="122" t="s">
        <v>26</v>
      </c>
      <c r="Y2" s="122" t="s">
        <v>27</v>
      </c>
      <c r="Z2" s="123" t="s">
        <v>28</v>
      </c>
      <c r="AA2" s="121" t="s">
        <v>29</v>
      </c>
      <c r="AB2" s="122" t="s">
        <v>30</v>
      </c>
      <c r="AC2" s="121" t="s">
        <v>31</v>
      </c>
      <c r="AD2" s="122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122" t="s">
        <v>37</v>
      </c>
      <c r="AJ2" s="42" t="s">
        <v>36</v>
      </c>
      <c r="AK2" s="122" t="s">
        <v>38</v>
      </c>
      <c r="AL2" s="42" t="s">
        <v>36</v>
      </c>
      <c r="AM2" s="123" t="s">
        <v>102</v>
      </c>
      <c r="AN2" s="121" t="s">
        <v>103</v>
      </c>
      <c r="AO2" s="122" t="s">
        <v>104</v>
      </c>
      <c r="AP2" s="122" t="s">
        <v>105</v>
      </c>
      <c r="AQ2" s="122" t="s">
        <v>106</v>
      </c>
      <c r="AR2" s="44" t="s">
        <v>107</v>
      </c>
      <c r="AS2" s="44" t="s">
        <v>108</v>
      </c>
      <c r="AT2" s="44" t="s">
        <v>109</v>
      </c>
      <c r="AU2" s="123" t="s">
        <v>110</v>
      </c>
      <c r="AV2" s="121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123" t="s">
        <v>118</v>
      </c>
      <c r="BD2" s="105" t="s">
        <v>14</v>
      </c>
      <c r="BE2" s="105" t="s">
        <v>39</v>
      </c>
      <c r="BF2" s="105" t="s">
        <v>40</v>
      </c>
      <c r="BG2" s="105" t="s">
        <v>41</v>
      </c>
      <c r="BH2" s="105" t="s">
        <v>42</v>
      </c>
      <c r="BI2" s="105" t="s">
        <v>43</v>
      </c>
      <c r="BJ2" s="105" t="s">
        <v>44</v>
      </c>
      <c r="BK2" s="105" t="s">
        <v>45</v>
      </c>
      <c r="BL2" s="105" t="s">
        <v>46</v>
      </c>
      <c r="BM2" s="103" t="s">
        <v>47</v>
      </c>
      <c r="BN2" s="103" t="s">
        <v>48</v>
      </c>
      <c r="BO2" s="104" t="s">
        <v>49</v>
      </c>
      <c r="BP2" s="104" t="s">
        <v>50</v>
      </c>
    </row>
    <row r="3" spans="1:68" ht="75.75" thickBot="1" x14ac:dyDescent="0.3">
      <c r="A3" s="106"/>
      <c r="B3" s="1266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9" t="s">
        <v>57</v>
      </c>
      <c r="P3" s="107" t="s">
        <v>57</v>
      </c>
      <c r="Q3" s="107" t="s">
        <v>57</v>
      </c>
      <c r="R3" s="107" t="s">
        <v>57</v>
      </c>
      <c r="S3" s="107" t="s">
        <v>57</v>
      </c>
      <c r="T3" s="107" t="s">
        <v>57</v>
      </c>
      <c r="U3" s="107" t="s">
        <v>57</v>
      </c>
      <c r="V3" s="107" t="s">
        <v>57</v>
      </c>
      <c r="W3" s="107" t="s">
        <v>57</v>
      </c>
      <c r="X3" s="107" t="s">
        <v>57</v>
      </c>
      <c r="Y3" s="107" t="s">
        <v>57</v>
      </c>
      <c r="Z3" s="107" t="s">
        <v>57</v>
      </c>
      <c r="AA3" s="107" t="s">
        <v>57</v>
      </c>
      <c r="AB3" s="107" t="s">
        <v>57</v>
      </c>
      <c r="AC3" s="107" t="s">
        <v>57</v>
      </c>
      <c r="AD3" s="107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107" t="s">
        <v>62</v>
      </c>
      <c r="AN3" s="107" t="s">
        <v>62</v>
      </c>
      <c r="AO3" s="107" t="s">
        <v>62</v>
      </c>
      <c r="AP3" s="29" t="s">
        <v>54</v>
      </c>
      <c r="AQ3" s="107" t="s">
        <v>57</v>
      </c>
      <c r="AR3" s="107" t="s">
        <v>62</v>
      </c>
      <c r="AS3" s="29" t="s">
        <v>54</v>
      </c>
      <c r="AT3" s="107" t="s">
        <v>119</v>
      </c>
      <c r="AU3" s="107" t="s">
        <v>62</v>
      </c>
      <c r="AV3" s="10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29" t="s">
        <v>59</v>
      </c>
      <c r="BF3" s="29" t="s">
        <v>60</v>
      </c>
      <c r="BG3" s="29" t="s">
        <v>61</v>
      </c>
      <c r="BH3" s="107" t="s">
        <v>62</v>
      </c>
      <c r="BI3" s="29" t="s">
        <v>57</v>
      </c>
      <c r="BJ3" s="107" t="s">
        <v>127</v>
      </c>
      <c r="BK3" s="29" t="s">
        <v>62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</row>
    <row r="4" spans="1:68" s="98" customFormat="1" ht="32.25" thickBot="1" x14ac:dyDescent="0.3">
      <c r="A4" s="71">
        <v>60</v>
      </c>
      <c r="B4" s="93" t="s">
        <v>64</v>
      </c>
      <c r="C4" s="89">
        <v>10</v>
      </c>
      <c r="D4" s="89">
        <v>10</v>
      </c>
      <c r="E4" s="15">
        <v>10</v>
      </c>
      <c r="F4" s="16">
        <v>10</v>
      </c>
      <c r="G4" s="16">
        <v>10</v>
      </c>
      <c r="H4" s="15">
        <v>10</v>
      </c>
      <c r="I4" s="16">
        <v>0</v>
      </c>
      <c r="J4" s="16">
        <v>0</v>
      </c>
      <c r="K4" s="15">
        <v>0</v>
      </c>
      <c r="L4" s="16">
        <v>0</v>
      </c>
      <c r="M4" s="16" t="s">
        <v>65</v>
      </c>
      <c r="N4" s="16">
        <v>0</v>
      </c>
      <c r="O4" s="101">
        <f>SUM(R4,V4,Z4,AM4,AU4,BC4)</f>
        <v>8.673</v>
      </c>
      <c r="P4" s="101">
        <f>SUM(S4,W4,AA4,AC4,AN4,AV4)</f>
        <v>6.5860000000000003</v>
      </c>
      <c r="Q4" s="101">
        <f>SUM(T4,X4,AB4,AI4,AO4)</f>
        <v>5.1999999999999993</v>
      </c>
      <c r="R4" s="94">
        <v>4.4000000000000004</v>
      </c>
      <c r="S4" s="94">
        <v>3.25</v>
      </c>
      <c r="T4" s="94">
        <v>0.35</v>
      </c>
      <c r="U4" s="94">
        <v>0</v>
      </c>
      <c r="V4" s="95">
        <v>2.98</v>
      </c>
      <c r="W4" s="95">
        <v>2.7</v>
      </c>
      <c r="X4" s="95">
        <v>1.7</v>
      </c>
      <c r="Y4" s="95">
        <v>0</v>
      </c>
      <c r="Z4" s="96">
        <v>0.38</v>
      </c>
      <c r="AA4" s="96">
        <v>0.12</v>
      </c>
      <c r="AB4" s="96">
        <v>0.15</v>
      </c>
      <c r="AC4" s="97">
        <v>0.5</v>
      </c>
      <c r="AD4" s="97">
        <v>0</v>
      </c>
      <c r="AE4" s="15">
        <v>0</v>
      </c>
      <c r="AF4" s="15">
        <v>0</v>
      </c>
      <c r="AG4" s="15">
        <v>2</v>
      </c>
      <c r="AH4" s="15">
        <v>6</v>
      </c>
      <c r="AI4" s="15">
        <v>0</v>
      </c>
      <c r="AJ4" s="15">
        <v>0</v>
      </c>
      <c r="AK4" s="15">
        <v>0</v>
      </c>
      <c r="AL4" s="15">
        <v>0</v>
      </c>
      <c r="AM4" s="108">
        <v>0.88</v>
      </c>
      <c r="AN4" s="108">
        <v>0</v>
      </c>
      <c r="AO4" s="108">
        <v>3</v>
      </c>
      <c r="AP4" s="108">
        <v>0</v>
      </c>
      <c r="AQ4" s="108">
        <v>0</v>
      </c>
      <c r="AR4" s="109">
        <v>1.9E-2</v>
      </c>
      <c r="AS4" s="109">
        <v>3</v>
      </c>
      <c r="AT4" s="109"/>
      <c r="AU4" s="114">
        <v>3.3000000000000002E-2</v>
      </c>
      <c r="AV4" s="109">
        <v>1.6E-2</v>
      </c>
      <c r="AW4" s="109" t="s">
        <v>122</v>
      </c>
      <c r="AX4" s="109">
        <v>0</v>
      </c>
      <c r="AY4" s="109" t="s">
        <v>122</v>
      </c>
      <c r="AZ4" s="109" t="s">
        <v>123</v>
      </c>
      <c r="BA4" s="109" t="s">
        <v>122</v>
      </c>
      <c r="BB4" s="109" t="s">
        <v>122</v>
      </c>
      <c r="BC4" s="109" t="s">
        <v>122</v>
      </c>
      <c r="BD4" s="110">
        <v>1</v>
      </c>
      <c r="BE4" s="110">
        <v>1337</v>
      </c>
      <c r="BF4" s="110">
        <v>1.4</v>
      </c>
      <c r="BG4" s="110" t="s">
        <v>66</v>
      </c>
      <c r="BH4" s="110">
        <v>1210</v>
      </c>
      <c r="BI4" s="110">
        <v>0</v>
      </c>
      <c r="BJ4" s="110" t="s">
        <v>65</v>
      </c>
      <c r="BK4" s="110">
        <v>0</v>
      </c>
      <c r="BL4" s="110" t="s">
        <v>65</v>
      </c>
      <c r="BM4" s="111" t="s">
        <v>67</v>
      </c>
      <c r="BN4" s="111" t="s">
        <v>65</v>
      </c>
      <c r="BO4" s="112" t="s">
        <v>67</v>
      </c>
      <c r="BP4" s="112" t="s">
        <v>67</v>
      </c>
    </row>
    <row r="5" spans="1:68" s="98" customFormat="1" ht="32.25" thickBot="1" x14ac:dyDescent="0.3">
      <c r="A5" s="71">
        <v>50</v>
      </c>
      <c r="B5" s="99" t="s">
        <v>121</v>
      </c>
      <c r="C5" s="115">
        <v>8</v>
      </c>
      <c r="D5" s="115">
        <v>8</v>
      </c>
      <c r="E5" s="15">
        <v>8</v>
      </c>
      <c r="F5" s="116">
        <v>8</v>
      </c>
      <c r="G5" s="116">
        <v>8</v>
      </c>
      <c r="H5" s="15">
        <v>8</v>
      </c>
      <c r="I5" s="116">
        <v>0</v>
      </c>
      <c r="J5" s="116">
        <v>0</v>
      </c>
      <c r="K5" s="15">
        <v>0</v>
      </c>
      <c r="L5" s="116">
        <v>0</v>
      </c>
      <c r="M5" s="16" t="s">
        <v>65</v>
      </c>
      <c r="N5" s="116">
        <v>0</v>
      </c>
      <c r="O5" s="101">
        <f>SUM(R5,V5,Z5,AM5,AU5,BC5)</f>
        <v>7.0200000000000005</v>
      </c>
      <c r="P5" s="101">
        <f>SUM(S5,W5,AA5,AC5,AN5,AV5)</f>
        <v>4.7350000000000003</v>
      </c>
      <c r="Q5" s="101">
        <f>SUM(T5,X5,AB5,AO5)</f>
        <v>4.2</v>
      </c>
      <c r="R5" s="94">
        <v>4.0999999999999996</v>
      </c>
      <c r="S5" s="94">
        <v>2.7</v>
      </c>
      <c r="T5" s="94">
        <v>0.25</v>
      </c>
      <c r="U5" s="94">
        <v>0</v>
      </c>
      <c r="V5" s="95">
        <v>2.2000000000000002</v>
      </c>
      <c r="W5" s="95">
        <v>1.65</v>
      </c>
      <c r="X5" s="95">
        <v>1.4</v>
      </c>
      <c r="Y5" s="95">
        <v>0</v>
      </c>
      <c r="Z5" s="96">
        <v>0.27</v>
      </c>
      <c r="AA5" s="96">
        <v>0.11</v>
      </c>
      <c r="AB5" s="96">
        <v>0.05</v>
      </c>
      <c r="AC5" s="97">
        <v>0.27</v>
      </c>
      <c r="AD5" s="97">
        <v>0</v>
      </c>
      <c r="AE5" s="15">
        <v>0</v>
      </c>
      <c r="AF5" s="15">
        <v>0</v>
      </c>
      <c r="AG5" s="15">
        <v>1</v>
      </c>
      <c r="AH5" s="15">
        <v>1.6</v>
      </c>
      <c r="AI5" s="15">
        <v>0</v>
      </c>
      <c r="AJ5" s="15">
        <v>0</v>
      </c>
      <c r="AK5" s="15">
        <v>0</v>
      </c>
      <c r="AL5" s="15">
        <v>0</v>
      </c>
      <c r="AM5" s="108">
        <v>0.44</v>
      </c>
      <c r="AN5" s="108">
        <v>0</v>
      </c>
      <c r="AO5" s="108">
        <v>2.5</v>
      </c>
      <c r="AP5" s="108">
        <v>0</v>
      </c>
      <c r="AQ5" s="108">
        <v>0</v>
      </c>
      <c r="AR5" s="109">
        <v>4.0000000000000001E-3</v>
      </c>
      <c r="AS5" s="109">
        <v>1</v>
      </c>
      <c r="AT5" s="109"/>
      <c r="AU5" s="109">
        <v>0.01</v>
      </c>
      <c r="AV5" s="109">
        <v>5.0000000000000001E-3</v>
      </c>
      <c r="AW5" s="109" t="s">
        <v>122</v>
      </c>
      <c r="AX5" s="109">
        <v>0</v>
      </c>
      <c r="AY5" s="109" t="s">
        <v>122</v>
      </c>
      <c r="AZ5" s="109" t="s">
        <v>123</v>
      </c>
      <c r="BA5" s="109" t="s">
        <v>122</v>
      </c>
      <c r="BB5" s="109" t="s">
        <v>122</v>
      </c>
      <c r="BC5" s="109" t="s">
        <v>122</v>
      </c>
      <c r="BD5" s="63">
        <v>1</v>
      </c>
      <c r="BE5" s="110">
        <v>15617.8</v>
      </c>
      <c r="BF5" s="113">
        <v>1.5</v>
      </c>
      <c r="BG5" s="110" t="s">
        <v>72</v>
      </c>
      <c r="BH5" s="110">
        <v>721</v>
      </c>
      <c r="BI5" s="63">
        <v>0</v>
      </c>
      <c r="BJ5" s="63" t="s">
        <v>65</v>
      </c>
      <c r="BK5" s="63">
        <v>0</v>
      </c>
      <c r="BL5" s="63" t="s">
        <v>65</v>
      </c>
      <c r="BM5" s="64" t="s">
        <v>65</v>
      </c>
      <c r="BN5" s="64" t="s">
        <v>65</v>
      </c>
      <c r="BO5" s="65" t="s">
        <v>65</v>
      </c>
      <c r="BP5" s="65" t="s">
        <v>65</v>
      </c>
    </row>
  </sheetData>
  <mergeCells count="20">
    <mergeCell ref="V1:Y1"/>
    <mergeCell ref="Z1:AB1"/>
    <mergeCell ref="BM1:BN1"/>
    <mergeCell ref="BO1:BP1"/>
    <mergeCell ref="AC1:AD1"/>
    <mergeCell ref="AE1:AL1"/>
    <mergeCell ref="AM1:AQ1"/>
    <mergeCell ref="AR1:AT1"/>
    <mergeCell ref="AU1:BC1"/>
    <mergeCell ref="BD1:BL1"/>
    <mergeCell ref="L1:L2"/>
    <mergeCell ref="M1:M2"/>
    <mergeCell ref="N1:N2"/>
    <mergeCell ref="O1:Q1"/>
    <mergeCell ref="R1:U1"/>
    <mergeCell ref="A1:A2"/>
    <mergeCell ref="B1:B3"/>
    <mergeCell ref="C1:E2"/>
    <mergeCell ref="F1:H2"/>
    <mergeCell ref="I1:K2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topLeftCell="M2" zoomScale="80" zoomScaleNormal="80" workbookViewId="0">
      <selection activeCell="M8" sqref="A8:XFD9"/>
    </sheetView>
  </sheetViews>
  <sheetFormatPr defaultRowHeight="15" x14ac:dyDescent="0.25"/>
  <cols>
    <col min="2" max="2" width="23.42578125" customWidth="1"/>
  </cols>
  <sheetData>
    <row r="1" spans="1:68" ht="45.75" customHeight="1" thickBot="1" x14ac:dyDescent="0.3">
      <c r="A1" s="1240" t="s">
        <v>0</v>
      </c>
      <c r="B1" s="1242" t="s">
        <v>1</v>
      </c>
      <c r="C1" s="1245" t="s">
        <v>2</v>
      </c>
      <c r="D1" s="1246"/>
      <c r="E1" s="1247"/>
      <c r="F1" s="1245" t="s">
        <v>3</v>
      </c>
      <c r="G1" s="1246"/>
      <c r="H1" s="1247"/>
      <c r="I1" s="1245" t="s">
        <v>4</v>
      </c>
      <c r="J1" s="1246"/>
      <c r="K1" s="1247"/>
      <c r="L1" s="1254" t="s">
        <v>5</v>
      </c>
      <c r="M1" s="1254" t="s">
        <v>6</v>
      </c>
      <c r="N1" s="1254" t="s">
        <v>7</v>
      </c>
      <c r="O1" s="1256" t="s">
        <v>8</v>
      </c>
      <c r="P1" s="1257"/>
      <c r="Q1" s="1258"/>
      <c r="R1" s="1259" t="s">
        <v>9</v>
      </c>
      <c r="S1" s="1260"/>
      <c r="T1" s="1260"/>
      <c r="U1" s="1261"/>
      <c r="V1" s="1262" t="s">
        <v>10</v>
      </c>
      <c r="W1" s="1263"/>
      <c r="X1" s="1263"/>
      <c r="Y1" s="1264"/>
      <c r="Z1" s="1237" t="s">
        <v>11</v>
      </c>
      <c r="AA1" s="1238"/>
      <c r="AB1" s="1239"/>
      <c r="AC1" s="1223" t="s">
        <v>12</v>
      </c>
      <c r="AD1" s="1224"/>
      <c r="AE1" s="1225" t="s">
        <v>13</v>
      </c>
      <c r="AF1" s="1226"/>
      <c r="AG1" s="1226"/>
      <c r="AH1" s="1226"/>
      <c r="AI1" s="1226"/>
      <c r="AJ1" s="1226"/>
      <c r="AK1" s="1226"/>
      <c r="AL1" s="1227"/>
      <c r="AM1" s="1228" t="s">
        <v>99</v>
      </c>
      <c r="AN1" s="1229"/>
      <c r="AO1" s="1229"/>
      <c r="AP1" s="1229"/>
      <c r="AQ1" s="1230"/>
      <c r="AR1" s="1231" t="s">
        <v>100</v>
      </c>
      <c r="AS1" s="1232"/>
      <c r="AT1" s="1233"/>
      <c r="AU1" s="1231" t="s">
        <v>101</v>
      </c>
      <c r="AV1" s="1232"/>
      <c r="AW1" s="1232"/>
      <c r="AX1" s="1232"/>
      <c r="AY1" s="1232"/>
      <c r="AZ1" s="1232"/>
      <c r="BA1" s="1232"/>
      <c r="BB1" s="1232"/>
      <c r="BC1" s="1233"/>
      <c r="BD1" s="1234" t="s">
        <v>14</v>
      </c>
      <c r="BE1" s="1235"/>
      <c r="BF1" s="1235"/>
      <c r="BG1" s="1235"/>
      <c r="BH1" s="1235"/>
      <c r="BI1" s="1235"/>
      <c r="BJ1" s="1235"/>
      <c r="BK1" s="1235"/>
      <c r="BL1" s="1236"/>
      <c r="BM1" s="1219" t="s">
        <v>15</v>
      </c>
      <c r="BN1" s="1220"/>
      <c r="BO1" s="1221" t="s">
        <v>16</v>
      </c>
      <c r="BP1" s="1222"/>
    </row>
    <row r="2" spans="1:68" ht="181.5" customHeight="1" thickBot="1" x14ac:dyDescent="0.3">
      <c r="A2" s="1269"/>
      <c r="B2" s="1243"/>
      <c r="C2" s="1248"/>
      <c r="D2" s="1249"/>
      <c r="E2" s="1250"/>
      <c r="F2" s="1251"/>
      <c r="G2" s="1252"/>
      <c r="H2" s="1253"/>
      <c r="I2" s="1251"/>
      <c r="J2" s="1252"/>
      <c r="K2" s="1253"/>
      <c r="L2" s="1255"/>
      <c r="M2" s="1255"/>
      <c r="N2" s="1255"/>
      <c r="O2" s="75" t="s">
        <v>17</v>
      </c>
      <c r="P2" s="75" t="s">
        <v>18</v>
      </c>
      <c r="Q2" s="75" t="s">
        <v>19</v>
      </c>
      <c r="R2" s="76" t="s">
        <v>20</v>
      </c>
      <c r="S2" s="76" t="s">
        <v>21</v>
      </c>
      <c r="T2" s="76" t="s">
        <v>22</v>
      </c>
      <c r="U2" s="76" t="s">
        <v>23</v>
      </c>
      <c r="V2" s="77" t="s">
        <v>24</v>
      </c>
      <c r="W2" s="77" t="s">
        <v>25</v>
      </c>
      <c r="X2" s="77" t="s">
        <v>26</v>
      </c>
      <c r="Y2" s="77" t="s">
        <v>27</v>
      </c>
      <c r="Z2" s="78" t="s">
        <v>28</v>
      </c>
      <c r="AA2" s="78" t="s">
        <v>29</v>
      </c>
      <c r="AB2" s="78" t="s">
        <v>30</v>
      </c>
      <c r="AC2" s="79" t="s">
        <v>31</v>
      </c>
      <c r="AD2" s="79" t="s">
        <v>32</v>
      </c>
      <c r="AE2" s="80" t="s">
        <v>33</v>
      </c>
      <c r="AF2" s="80" t="s">
        <v>34</v>
      </c>
      <c r="AG2" s="80" t="s">
        <v>35</v>
      </c>
      <c r="AH2" s="80" t="s">
        <v>36</v>
      </c>
      <c r="AI2" s="80" t="s">
        <v>37</v>
      </c>
      <c r="AJ2" s="80" t="s">
        <v>36</v>
      </c>
      <c r="AK2" s="80" t="s">
        <v>38</v>
      </c>
      <c r="AL2" s="80" t="s">
        <v>36</v>
      </c>
      <c r="AM2" s="81" t="s">
        <v>102</v>
      </c>
      <c r="AN2" s="81" t="s">
        <v>103</v>
      </c>
      <c r="AO2" s="81" t="s">
        <v>104</v>
      </c>
      <c r="AP2" s="81" t="s">
        <v>105</v>
      </c>
      <c r="AQ2" s="81" t="s">
        <v>106</v>
      </c>
      <c r="AR2" s="82" t="s">
        <v>107</v>
      </c>
      <c r="AS2" s="82" t="s">
        <v>108</v>
      </c>
      <c r="AT2" s="82" t="s">
        <v>109</v>
      </c>
      <c r="AU2" s="82" t="s">
        <v>110</v>
      </c>
      <c r="AV2" s="82" t="s">
        <v>111</v>
      </c>
      <c r="AW2" s="82" t="s">
        <v>112</v>
      </c>
      <c r="AX2" s="83" t="s">
        <v>113</v>
      </c>
      <c r="AY2" s="82" t="s">
        <v>114</v>
      </c>
      <c r="AZ2" s="82" t="s">
        <v>115</v>
      </c>
      <c r="BA2" s="84" t="s">
        <v>116</v>
      </c>
      <c r="BB2" s="82" t="s">
        <v>117</v>
      </c>
      <c r="BC2" s="82" t="s">
        <v>118</v>
      </c>
      <c r="BD2" s="85" t="s">
        <v>14</v>
      </c>
      <c r="BE2" s="85" t="s">
        <v>39</v>
      </c>
      <c r="BF2" s="85" t="s">
        <v>40</v>
      </c>
      <c r="BG2" s="85" t="s">
        <v>41</v>
      </c>
      <c r="BH2" s="85" t="s">
        <v>42</v>
      </c>
      <c r="BI2" s="85" t="s">
        <v>43</v>
      </c>
      <c r="BJ2" s="85" t="s">
        <v>44</v>
      </c>
      <c r="BK2" s="85" t="s">
        <v>45</v>
      </c>
      <c r="BL2" s="85" t="s">
        <v>46</v>
      </c>
      <c r="BM2" s="86" t="s">
        <v>47</v>
      </c>
      <c r="BN2" s="86" t="s">
        <v>48</v>
      </c>
      <c r="BO2" s="81" t="s">
        <v>49</v>
      </c>
      <c r="BP2" s="81" t="s">
        <v>50</v>
      </c>
    </row>
    <row r="3" spans="1:68" ht="60" customHeight="1" thickBot="1" x14ac:dyDescent="0.3">
      <c r="A3" s="1270"/>
      <c r="B3" s="1244"/>
      <c r="C3" s="12" t="s">
        <v>51</v>
      </c>
      <c r="D3" s="12" t="s">
        <v>52</v>
      </c>
      <c r="E3" s="12" t="s">
        <v>53</v>
      </c>
      <c r="F3" s="12" t="s">
        <v>51</v>
      </c>
      <c r="G3" s="12" t="s">
        <v>52</v>
      </c>
      <c r="H3" s="12" t="s">
        <v>53</v>
      </c>
      <c r="I3" s="12" t="s">
        <v>51</v>
      </c>
      <c r="J3" s="12" t="s">
        <v>52</v>
      </c>
      <c r="K3" s="12" t="s">
        <v>53</v>
      </c>
      <c r="L3" s="12" t="s">
        <v>54</v>
      </c>
      <c r="M3" s="12" t="s">
        <v>120</v>
      </c>
      <c r="N3" s="12" t="s">
        <v>56</v>
      </c>
      <c r="O3" s="12" t="s">
        <v>57</v>
      </c>
      <c r="P3" s="88" t="s">
        <v>57</v>
      </c>
      <c r="Q3" s="88" t="s">
        <v>57</v>
      </c>
      <c r="R3" s="88" t="s">
        <v>57</v>
      </c>
      <c r="S3" s="88" t="s">
        <v>57</v>
      </c>
      <c r="T3" s="88" t="s">
        <v>57</v>
      </c>
      <c r="U3" s="88" t="s">
        <v>57</v>
      </c>
      <c r="V3" s="88" t="s">
        <v>57</v>
      </c>
      <c r="W3" s="88" t="s">
        <v>57</v>
      </c>
      <c r="X3" s="88" t="s">
        <v>57</v>
      </c>
      <c r="Y3" s="88" t="s">
        <v>57</v>
      </c>
      <c r="Z3" s="88" t="s">
        <v>57</v>
      </c>
      <c r="AA3" s="88" t="s">
        <v>57</v>
      </c>
      <c r="AB3" s="88" t="s">
        <v>57</v>
      </c>
      <c r="AC3" s="88" t="s">
        <v>57</v>
      </c>
      <c r="AD3" s="88" t="s">
        <v>57</v>
      </c>
      <c r="AE3" s="12" t="s">
        <v>58</v>
      </c>
      <c r="AF3" s="88" t="s">
        <v>57</v>
      </c>
      <c r="AG3" s="12" t="s">
        <v>54</v>
      </c>
      <c r="AH3" s="88" t="s">
        <v>57</v>
      </c>
      <c r="AI3" s="12" t="s">
        <v>54</v>
      </c>
      <c r="AJ3" s="88" t="s">
        <v>57</v>
      </c>
      <c r="AK3" s="12" t="s">
        <v>54</v>
      </c>
      <c r="AL3" s="88" t="s">
        <v>57</v>
      </c>
      <c r="AM3" s="88" t="s">
        <v>62</v>
      </c>
      <c r="AN3" s="88" t="s">
        <v>62</v>
      </c>
      <c r="AO3" s="88" t="s">
        <v>62</v>
      </c>
      <c r="AP3" s="12" t="s">
        <v>54</v>
      </c>
      <c r="AQ3" s="88" t="s">
        <v>57</v>
      </c>
      <c r="AR3" s="88" t="s">
        <v>62</v>
      </c>
      <c r="AS3" s="12" t="s">
        <v>54</v>
      </c>
      <c r="AT3" s="88" t="s">
        <v>119</v>
      </c>
      <c r="AU3" s="88" t="s">
        <v>62</v>
      </c>
      <c r="AV3" s="88" t="s">
        <v>62</v>
      </c>
      <c r="AW3" s="88" t="s">
        <v>120</v>
      </c>
      <c r="AX3" s="88" t="s">
        <v>54</v>
      </c>
      <c r="AY3" s="88" t="s">
        <v>120</v>
      </c>
      <c r="AZ3" s="88" t="s">
        <v>54</v>
      </c>
      <c r="BA3" s="88" t="s">
        <v>120</v>
      </c>
      <c r="BB3" s="88" t="s">
        <v>120</v>
      </c>
      <c r="BC3" s="88" t="s">
        <v>120</v>
      </c>
      <c r="BD3" s="12" t="s">
        <v>54</v>
      </c>
      <c r="BE3" s="12" t="s">
        <v>59</v>
      </c>
      <c r="BF3" s="12" t="s">
        <v>60</v>
      </c>
      <c r="BG3" s="12" t="s">
        <v>61</v>
      </c>
      <c r="BH3" s="88" t="s">
        <v>62</v>
      </c>
      <c r="BI3" s="12" t="s">
        <v>57</v>
      </c>
      <c r="BJ3" s="88" t="s">
        <v>127</v>
      </c>
      <c r="BK3" s="12" t="s">
        <v>62</v>
      </c>
      <c r="BL3" s="88" t="s">
        <v>127</v>
      </c>
      <c r="BM3" s="88" t="s">
        <v>120</v>
      </c>
      <c r="BN3" s="88" t="s">
        <v>120</v>
      </c>
      <c r="BO3" s="88" t="s">
        <v>120</v>
      </c>
      <c r="BP3" s="88" t="s">
        <v>120</v>
      </c>
    </row>
    <row r="4" spans="1:68" ht="43.5" customHeight="1" thickBot="1" x14ac:dyDescent="0.3">
      <c r="A4" s="71">
        <v>60</v>
      </c>
      <c r="B4" s="93" t="s">
        <v>64</v>
      </c>
      <c r="C4" s="89">
        <v>10</v>
      </c>
      <c r="D4" s="89">
        <v>10</v>
      </c>
      <c r="E4" s="15">
        <v>10</v>
      </c>
      <c r="F4" s="16">
        <v>10</v>
      </c>
      <c r="G4" s="16">
        <v>10</v>
      </c>
      <c r="H4" s="15">
        <v>10</v>
      </c>
      <c r="I4" s="16">
        <v>0</v>
      </c>
      <c r="J4" s="16">
        <v>0</v>
      </c>
      <c r="K4" s="15">
        <v>0</v>
      </c>
      <c r="L4" s="16">
        <v>0</v>
      </c>
      <c r="M4" s="16" t="s">
        <v>65</v>
      </c>
      <c r="N4" s="16">
        <v>0</v>
      </c>
      <c r="O4" s="101">
        <f>SUM(R4,V4,Z4,AM4,AR4,AU4)</f>
        <v>8.7430000000000003</v>
      </c>
      <c r="P4" s="101">
        <f>SUM(S4,W4,AA4,AC4,AN4,AV4)</f>
        <v>6.7849999999999993</v>
      </c>
      <c r="Q4" s="101">
        <f>SUM(T4,X4,AB4,AD4,AO4)</f>
        <v>5.27</v>
      </c>
      <c r="R4" s="94">
        <v>4.5999999999999996</v>
      </c>
      <c r="S4" s="94">
        <v>3.26</v>
      </c>
      <c r="T4" s="94">
        <v>0.35</v>
      </c>
      <c r="U4" s="94">
        <v>0</v>
      </c>
      <c r="V4" s="95">
        <v>2.8</v>
      </c>
      <c r="W4" s="95">
        <v>2.6</v>
      </c>
      <c r="X4" s="95">
        <v>1.6</v>
      </c>
      <c r="Y4" s="95">
        <v>0</v>
      </c>
      <c r="Z4" s="96">
        <v>0.39</v>
      </c>
      <c r="AA4" s="96">
        <v>0.11</v>
      </c>
      <c r="AB4" s="96">
        <v>0.11</v>
      </c>
      <c r="AC4" s="97">
        <v>0.8</v>
      </c>
      <c r="AD4" s="97">
        <v>0</v>
      </c>
      <c r="AE4" s="15">
        <v>0</v>
      </c>
      <c r="AF4" s="15">
        <v>0</v>
      </c>
      <c r="AG4" s="15">
        <v>2</v>
      </c>
      <c r="AH4" s="15">
        <v>6</v>
      </c>
      <c r="AI4" s="15">
        <v>0</v>
      </c>
      <c r="AJ4" s="15">
        <v>0</v>
      </c>
      <c r="AK4" s="15">
        <v>0</v>
      </c>
      <c r="AL4" s="15">
        <v>0</v>
      </c>
      <c r="AM4" s="108">
        <v>0.9</v>
      </c>
      <c r="AN4" s="108">
        <v>0</v>
      </c>
      <c r="AO4" s="108">
        <v>3.21</v>
      </c>
      <c r="AP4" s="108">
        <v>0</v>
      </c>
      <c r="AQ4" s="108">
        <v>0</v>
      </c>
      <c r="AR4" s="109">
        <v>1.9E-2</v>
      </c>
      <c r="AS4" s="109">
        <v>3</v>
      </c>
      <c r="AT4" s="109"/>
      <c r="AU4" s="114">
        <v>3.4000000000000002E-2</v>
      </c>
      <c r="AV4" s="109">
        <v>1.4999999999999999E-2</v>
      </c>
      <c r="AW4" s="109" t="s">
        <v>122</v>
      </c>
      <c r="AX4" s="109">
        <v>0</v>
      </c>
      <c r="AY4" s="109" t="s">
        <v>122</v>
      </c>
      <c r="AZ4" s="109" t="s">
        <v>123</v>
      </c>
      <c r="BA4" s="109" t="s">
        <v>122</v>
      </c>
      <c r="BB4" s="109" t="s">
        <v>122</v>
      </c>
      <c r="BC4" s="109" t="s">
        <v>122</v>
      </c>
      <c r="BD4" s="110">
        <v>1</v>
      </c>
      <c r="BE4" s="110">
        <v>1337</v>
      </c>
      <c r="BF4" s="110">
        <v>1.4</v>
      </c>
      <c r="BG4" s="110" t="s">
        <v>66</v>
      </c>
      <c r="BH4" s="110">
        <v>1210</v>
      </c>
      <c r="BI4" s="110">
        <v>0</v>
      </c>
      <c r="BJ4" s="110" t="s">
        <v>65</v>
      </c>
      <c r="BK4" s="110">
        <v>0</v>
      </c>
      <c r="BL4" s="110" t="s">
        <v>65</v>
      </c>
      <c r="BM4" s="111" t="s">
        <v>67</v>
      </c>
      <c r="BN4" s="111" t="s">
        <v>67</v>
      </c>
      <c r="BO4" s="112" t="s">
        <v>67</v>
      </c>
      <c r="BP4" s="112" t="s">
        <v>67</v>
      </c>
    </row>
    <row r="5" spans="1:68" ht="39" customHeight="1" thickBot="1" x14ac:dyDescent="0.3">
      <c r="A5" s="71">
        <v>50</v>
      </c>
      <c r="B5" s="99" t="s">
        <v>121</v>
      </c>
      <c r="C5" s="115">
        <v>8</v>
      </c>
      <c r="D5" s="115">
        <v>8</v>
      </c>
      <c r="E5" s="15">
        <v>8</v>
      </c>
      <c r="F5" s="116">
        <v>8</v>
      </c>
      <c r="G5" s="116">
        <v>8</v>
      </c>
      <c r="H5" s="15">
        <v>8</v>
      </c>
      <c r="I5" s="116">
        <v>0</v>
      </c>
      <c r="J5" s="116">
        <v>0</v>
      </c>
      <c r="K5" s="15">
        <v>0</v>
      </c>
      <c r="L5" s="116">
        <v>0</v>
      </c>
      <c r="M5" s="16" t="s">
        <v>65</v>
      </c>
      <c r="N5" s="116">
        <v>0</v>
      </c>
      <c r="O5" s="101">
        <f>SUM(R5,V5,Z5,AM5,AR5,AU5)</f>
        <v>7.2730000000000006</v>
      </c>
      <c r="P5" s="101">
        <f>SUM(S5,W5,AA5,AA5,AC5,AN5,AV5)</f>
        <v>4.926000000000001</v>
      </c>
      <c r="Q5" s="101">
        <f>SUM(T5,X5,AB5,AD5,AO5)</f>
        <v>4.25</v>
      </c>
      <c r="R5" s="94">
        <v>4.1500000000000004</v>
      </c>
      <c r="S5" s="94">
        <v>2.7</v>
      </c>
      <c r="T5" s="94">
        <v>0.26</v>
      </c>
      <c r="U5" s="94">
        <v>0</v>
      </c>
      <c r="V5" s="95">
        <v>2.4</v>
      </c>
      <c r="W5" s="95">
        <v>1.7</v>
      </c>
      <c r="X5" s="95">
        <v>1.36</v>
      </c>
      <c r="Y5" s="95">
        <v>0</v>
      </c>
      <c r="Z5" s="96">
        <v>0.26</v>
      </c>
      <c r="AA5" s="96">
        <v>0.12</v>
      </c>
      <c r="AB5" s="96">
        <v>0.03</v>
      </c>
      <c r="AC5" s="97">
        <v>0.28000000000000003</v>
      </c>
      <c r="AD5" s="97">
        <v>0</v>
      </c>
      <c r="AE5" s="15">
        <v>0</v>
      </c>
      <c r="AF5" s="15">
        <v>0</v>
      </c>
      <c r="AG5" s="15">
        <v>1</v>
      </c>
      <c r="AH5" s="15">
        <v>1.6</v>
      </c>
      <c r="AI5" s="15">
        <v>0</v>
      </c>
      <c r="AJ5" s="15">
        <v>0</v>
      </c>
      <c r="AK5" s="15">
        <v>0</v>
      </c>
      <c r="AL5" s="15">
        <v>0</v>
      </c>
      <c r="AM5" s="108">
        <v>0.45</v>
      </c>
      <c r="AN5" s="108">
        <v>0</v>
      </c>
      <c r="AO5" s="108">
        <v>2.6</v>
      </c>
      <c r="AP5" s="108">
        <v>0</v>
      </c>
      <c r="AQ5" s="108">
        <v>0</v>
      </c>
      <c r="AR5" s="109">
        <v>3.0000000000000001E-3</v>
      </c>
      <c r="AS5" s="109">
        <v>1</v>
      </c>
      <c r="AT5" s="109"/>
      <c r="AU5" s="109">
        <v>0.01</v>
      </c>
      <c r="AV5" s="109">
        <v>6.0000000000000001E-3</v>
      </c>
      <c r="AW5" s="109" t="s">
        <v>122</v>
      </c>
      <c r="AX5" s="109">
        <v>0</v>
      </c>
      <c r="AY5" s="109" t="s">
        <v>122</v>
      </c>
      <c r="AZ5" s="109" t="s">
        <v>123</v>
      </c>
      <c r="BA5" s="109" t="s">
        <v>122</v>
      </c>
      <c r="BB5" s="109" t="s">
        <v>122</v>
      </c>
      <c r="BC5" s="109" t="s">
        <v>122</v>
      </c>
      <c r="BD5" s="63">
        <v>1</v>
      </c>
      <c r="BE5" s="110">
        <v>15617.8</v>
      </c>
      <c r="BF5" s="113">
        <v>1.6</v>
      </c>
      <c r="BG5" s="110" t="s">
        <v>72</v>
      </c>
      <c r="BH5" s="110">
        <v>725</v>
      </c>
      <c r="BI5" s="63">
        <v>0</v>
      </c>
      <c r="BJ5" s="63" t="s">
        <v>65</v>
      </c>
      <c r="BK5" s="63">
        <v>0</v>
      </c>
      <c r="BL5" s="63" t="s">
        <v>65</v>
      </c>
      <c r="BM5" s="111" t="s">
        <v>67</v>
      </c>
      <c r="BN5" s="111" t="s">
        <v>67</v>
      </c>
      <c r="BO5" s="65" t="s">
        <v>65</v>
      </c>
      <c r="BP5" s="65" t="s">
        <v>65</v>
      </c>
    </row>
  </sheetData>
  <mergeCells count="20">
    <mergeCell ref="BM1:BN1"/>
    <mergeCell ref="BO1:BP1"/>
    <mergeCell ref="AU1:BC1"/>
    <mergeCell ref="BD1:BL1"/>
    <mergeCell ref="A1:A3"/>
    <mergeCell ref="AC1:AD1"/>
    <mergeCell ref="AE1:AL1"/>
    <mergeCell ref="AM1:AQ1"/>
    <mergeCell ref="AR1:AT1"/>
    <mergeCell ref="M1:M2"/>
    <mergeCell ref="N1:N2"/>
    <mergeCell ref="O1:Q1"/>
    <mergeCell ref="R1:U1"/>
    <mergeCell ref="V1:Y1"/>
    <mergeCell ref="Z1:AB1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4"/>
  <sheetViews>
    <sheetView topLeftCell="I1" workbookViewId="0">
      <selection activeCell="AA4" sqref="AA4"/>
    </sheetView>
  </sheetViews>
  <sheetFormatPr defaultRowHeight="15" x14ac:dyDescent="0.25"/>
  <cols>
    <col min="2" max="2" width="23.42578125" customWidth="1"/>
  </cols>
  <sheetData>
    <row r="1" spans="1:68" ht="45.75" customHeight="1" thickBot="1" x14ac:dyDescent="0.3">
      <c r="A1" s="1240" t="s">
        <v>0</v>
      </c>
      <c r="B1" s="1242" t="s">
        <v>1</v>
      </c>
      <c r="C1" s="1245" t="s">
        <v>2</v>
      </c>
      <c r="D1" s="1246"/>
      <c r="E1" s="1247"/>
      <c r="F1" s="1245" t="s">
        <v>3</v>
      </c>
      <c r="G1" s="1246"/>
      <c r="H1" s="1247"/>
      <c r="I1" s="1245" t="s">
        <v>4</v>
      </c>
      <c r="J1" s="1246"/>
      <c r="K1" s="1247"/>
      <c r="L1" s="1254" t="s">
        <v>5</v>
      </c>
      <c r="M1" s="1254" t="s">
        <v>6</v>
      </c>
      <c r="N1" s="1254" t="s">
        <v>7</v>
      </c>
      <c r="O1" s="1256" t="s">
        <v>8</v>
      </c>
      <c r="P1" s="1257"/>
      <c r="Q1" s="1258"/>
      <c r="R1" s="1259" t="s">
        <v>9</v>
      </c>
      <c r="S1" s="1260"/>
      <c r="T1" s="1260"/>
      <c r="U1" s="1261"/>
      <c r="V1" s="1262" t="s">
        <v>10</v>
      </c>
      <c r="W1" s="1263"/>
      <c r="X1" s="1263"/>
      <c r="Y1" s="1264"/>
      <c r="Z1" s="1237" t="s">
        <v>11</v>
      </c>
      <c r="AA1" s="1238"/>
      <c r="AB1" s="1239"/>
      <c r="AC1" s="1223" t="s">
        <v>12</v>
      </c>
      <c r="AD1" s="1224"/>
      <c r="AE1" s="1225" t="s">
        <v>13</v>
      </c>
      <c r="AF1" s="1226"/>
      <c r="AG1" s="1226"/>
      <c r="AH1" s="1226"/>
      <c r="AI1" s="1226"/>
      <c r="AJ1" s="1226"/>
      <c r="AK1" s="1226"/>
      <c r="AL1" s="1227"/>
      <c r="AM1" s="1228" t="s">
        <v>99</v>
      </c>
      <c r="AN1" s="1229"/>
      <c r="AO1" s="1229"/>
      <c r="AP1" s="1229"/>
      <c r="AQ1" s="1230"/>
      <c r="AR1" s="1231" t="s">
        <v>100</v>
      </c>
      <c r="AS1" s="1232"/>
      <c r="AT1" s="1233"/>
      <c r="AU1" s="1231" t="s">
        <v>101</v>
      </c>
      <c r="AV1" s="1232"/>
      <c r="AW1" s="1232"/>
      <c r="AX1" s="1232"/>
      <c r="AY1" s="1232"/>
      <c r="AZ1" s="1232"/>
      <c r="BA1" s="1232"/>
      <c r="BB1" s="1232"/>
      <c r="BC1" s="1233"/>
      <c r="BD1" s="1234" t="s">
        <v>14</v>
      </c>
      <c r="BE1" s="1235"/>
      <c r="BF1" s="1235"/>
      <c r="BG1" s="1235"/>
      <c r="BH1" s="1235"/>
      <c r="BI1" s="1235"/>
      <c r="BJ1" s="1235"/>
      <c r="BK1" s="1235"/>
      <c r="BL1" s="1236"/>
      <c r="BM1" s="1219" t="s">
        <v>15</v>
      </c>
      <c r="BN1" s="1220"/>
      <c r="BO1" s="1221" t="s">
        <v>16</v>
      </c>
      <c r="BP1" s="1222"/>
    </row>
    <row r="2" spans="1:68" ht="181.5" customHeight="1" thickBot="1" x14ac:dyDescent="0.3">
      <c r="A2" s="1269"/>
      <c r="B2" s="1243"/>
      <c r="C2" s="1248"/>
      <c r="D2" s="1249"/>
      <c r="E2" s="1250"/>
      <c r="F2" s="1251"/>
      <c r="G2" s="1252"/>
      <c r="H2" s="1253"/>
      <c r="I2" s="1251"/>
      <c r="J2" s="1252"/>
      <c r="K2" s="1253"/>
      <c r="L2" s="1255"/>
      <c r="M2" s="1255"/>
      <c r="N2" s="1255"/>
      <c r="O2" s="75" t="s">
        <v>17</v>
      </c>
      <c r="P2" s="75" t="s">
        <v>18</v>
      </c>
      <c r="Q2" s="75" t="s">
        <v>19</v>
      </c>
      <c r="R2" s="76" t="s">
        <v>20</v>
      </c>
      <c r="S2" s="76" t="s">
        <v>21</v>
      </c>
      <c r="T2" s="76" t="s">
        <v>22</v>
      </c>
      <c r="U2" s="76" t="s">
        <v>23</v>
      </c>
      <c r="V2" s="77" t="s">
        <v>24</v>
      </c>
      <c r="W2" s="77" t="s">
        <v>25</v>
      </c>
      <c r="X2" s="77" t="s">
        <v>26</v>
      </c>
      <c r="Y2" s="77" t="s">
        <v>27</v>
      </c>
      <c r="Z2" s="78" t="s">
        <v>28</v>
      </c>
      <c r="AA2" s="78" t="s">
        <v>29</v>
      </c>
      <c r="AB2" s="78" t="s">
        <v>30</v>
      </c>
      <c r="AC2" s="79" t="s">
        <v>31</v>
      </c>
      <c r="AD2" s="79" t="s">
        <v>32</v>
      </c>
      <c r="AE2" s="80" t="s">
        <v>33</v>
      </c>
      <c r="AF2" s="80" t="s">
        <v>34</v>
      </c>
      <c r="AG2" s="80" t="s">
        <v>35</v>
      </c>
      <c r="AH2" s="80" t="s">
        <v>36</v>
      </c>
      <c r="AI2" s="80" t="s">
        <v>37</v>
      </c>
      <c r="AJ2" s="80" t="s">
        <v>36</v>
      </c>
      <c r="AK2" s="80" t="s">
        <v>38</v>
      </c>
      <c r="AL2" s="80" t="s">
        <v>36</v>
      </c>
      <c r="AM2" s="81" t="s">
        <v>102</v>
      </c>
      <c r="AN2" s="81" t="s">
        <v>103</v>
      </c>
      <c r="AO2" s="81" t="s">
        <v>104</v>
      </c>
      <c r="AP2" s="81" t="s">
        <v>105</v>
      </c>
      <c r="AQ2" s="81" t="s">
        <v>106</v>
      </c>
      <c r="AR2" s="82" t="s">
        <v>107</v>
      </c>
      <c r="AS2" s="82" t="s">
        <v>108</v>
      </c>
      <c r="AT2" s="82" t="s">
        <v>109</v>
      </c>
      <c r="AU2" s="82" t="s">
        <v>110</v>
      </c>
      <c r="AV2" s="82" t="s">
        <v>111</v>
      </c>
      <c r="AW2" s="82" t="s">
        <v>112</v>
      </c>
      <c r="AX2" s="83" t="s">
        <v>113</v>
      </c>
      <c r="AY2" s="82" t="s">
        <v>114</v>
      </c>
      <c r="AZ2" s="82" t="s">
        <v>115</v>
      </c>
      <c r="BA2" s="84" t="s">
        <v>116</v>
      </c>
      <c r="BB2" s="82" t="s">
        <v>117</v>
      </c>
      <c r="BC2" s="82" t="s">
        <v>118</v>
      </c>
      <c r="BD2" s="85" t="s">
        <v>14</v>
      </c>
      <c r="BE2" s="85" t="s">
        <v>39</v>
      </c>
      <c r="BF2" s="85" t="s">
        <v>40</v>
      </c>
      <c r="BG2" s="85" t="s">
        <v>41</v>
      </c>
      <c r="BH2" s="85" t="s">
        <v>42</v>
      </c>
      <c r="BI2" s="85" t="s">
        <v>43</v>
      </c>
      <c r="BJ2" s="85" t="s">
        <v>44</v>
      </c>
      <c r="BK2" s="85" t="s">
        <v>45</v>
      </c>
      <c r="BL2" s="85" t="s">
        <v>46</v>
      </c>
      <c r="BM2" s="86" t="s">
        <v>47</v>
      </c>
      <c r="BN2" s="86" t="s">
        <v>48</v>
      </c>
      <c r="BO2" s="81" t="s">
        <v>49</v>
      </c>
      <c r="BP2" s="81" t="s">
        <v>50</v>
      </c>
    </row>
    <row r="3" spans="1:68" ht="60" customHeight="1" thickBot="1" x14ac:dyDescent="0.3">
      <c r="A3" s="1270"/>
      <c r="B3" s="1244"/>
      <c r="C3" s="12" t="s">
        <v>51</v>
      </c>
      <c r="D3" s="12" t="s">
        <v>52</v>
      </c>
      <c r="E3" s="12" t="s">
        <v>53</v>
      </c>
      <c r="F3" s="12" t="s">
        <v>51</v>
      </c>
      <c r="G3" s="12" t="s">
        <v>52</v>
      </c>
      <c r="H3" s="12" t="s">
        <v>53</v>
      </c>
      <c r="I3" s="12" t="s">
        <v>51</v>
      </c>
      <c r="J3" s="12" t="s">
        <v>52</v>
      </c>
      <c r="K3" s="12" t="s">
        <v>53</v>
      </c>
      <c r="L3" s="12" t="s">
        <v>54</v>
      </c>
      <c r="M3" s="12" t="s">
        <v>120</v>
      </c>
      <c r="N3" s="12" t="s">
        <v>56</v>
      </c>
      <c r="O3" s="12" t="s">
        <v>57</v>
      </c>
      <c r="P3" s="88" t="s">
        <v>57</v>
      </c>
      <c r="Q3" s="88" t="s">
        <v>57</v>
      </c>
      <c r="R3" s="88" t="s">
        <v>57</v>
      </c>
      <c r="S3" s="88" t="s">
        <v>57</v>
      </c>
      <c r="T3" s="88" t="s">
        <v>57</v>
      </c>
      <c r="U3" s="88" t="s">
        <v>57</v>
      </c>
      <c r="V3" s="88" t="s">
        <v>57</v>
      </c>
      <c r="W3" s="88" t="s">
        <v>57</v>
      </c>
      <c r="X3" s="88" t="s">
        <v>57</v>
      </c>
      <c r="Y3" s="88" t="s">
        <v>57</v>
      </c>
      <c r="Z3" s="88" t="s">
        <v>57</v>
      </c>
      <c r="AA3" s="88" t="s">
        <v>57</v>
      </c>
      <c r="AB3" s="88" t="s">
        <v>57</v>
      </c>
      <c r="AC3" s="88" t="s">
        <v>57</v>
      </c>
      <c r="AD3" s="88" t="s">
        <v>57</v>
      </c>
      <c r="AE3" s="12" t="s">
        <v>58</v>
      </c>
      <c r="AF3" s="88" t="s">
        <v>57</v>
      </c>
      <c r="AG3" s="12" t="s">
        <v>54</v>
      </c>
      <c r="AH3" s="88" t="s">
        <v>57</v>
      </c>
      <c r="AI3" s="12" t="s">
        <v>54</v>
      </c>
      <c r="AJ3" s="88" t="s">
        <v>57</v>
      </c>
      <c r="AK3" s="12" t="s">
        <v>54</v>
      </c>
      <c r="AL3" s="88" t="s">
        <v>57</v>
      </c>
      <c r="AM3" s="88" t="s">
        <v>62</v>
      </c>
      <c r="AN3" s="88" t="s">
        <v>62</v>
      </c>
      <c r="AO3" s="88" t="s">
        <v>62</v>
      </c>
      <c r="AP3" s="12" t="s">
        <v>54</v>
      </c>
      <c r="AQ3" s="88" t="s">
        <v>57</v>
      </c>
      <c r="AR3" s="88" t="s">
        <v>62</v>
      </c>
      <c r="AS3" s="12" t="s">
        <v>54</v>
      </c>
      <c r="AT3" s="88" t="s">
        <v>119</v>
      </c>
      <c r="AU3" s="88" t="s">
        <v>62</v>
      </c>
      <c r="AV3" s="88" t="s">
        <v>62</v>
      </c>
      <c r="AW3" s="88" t="s">
        <v>120</v>
      </c>
      <c r="AX3" s="88" t="s">
        <v>54</v>
      </c>
      <c r="AY3" s="88" t="s">
        <v>120</v>
      </c>
      <c r="AZ3" s="88" t="s">
        <v>54</v>
      </c>
      <c r="BA3" s="88" t="s">
        <v>120</v>
      </c>
      <c r="BB3" s="88" t="s">
        <v>120</v>
      </c>
      <c r="BC3" s="88" t="s">
        <v>120</v>
      </c>
      <c r="BD3" s="12" t="s">
        <v>54</v>
      </c>
      <c r="BE3" s="12" t="s">
        <v>59</v>
      </c>
      <c r="BF3" s="12" t="s">
        <v>60</v>
      </c>
      <c r="BG3" s="12" t="s">
        <v>61</v>
      </c>
      <c r="BH3" s="88" t="s">
        <v>62</v>
      </c>
      <c r="BI3" s="12" t="s">
        <v>57</v>
      </c>
      <c r="BJ3" s="88" t="s">
        <v>127</v>
      </c>
      <c r="BK3" s="12" t="s">
        <v>62</v>
      </c>
      <c r="BL3" s="88" t="s">
        <v>127</v>
      </c>
      <c r="BM3" s="88" t="s">
        <v>120</v>
      </c>
      <c r="BN3" s="88" t="s">
        <v>120</v>
      </c>
      <c r="BO3" s="88" t="s">
        <v>120</v>
      </c>
      <c r="BP3" s="88" t="s">
        <v>120</v>
      </c>
    </row>
    <row r="4" spans="1:68" ht="43.5" customHeight="1" thickBot="1" x14ac:dyDescent="0.3">
      <c r="A4" s="71">
        <v>60</v>
      </c>
      <c r="B4" s="93" t="s">
        <v>64</v>
      </c>
      <c r="C4" s="89">
        <v>10</v>
      </c>
      <c r="D4" s="89">
        <v>10</v>
      </c>
      <c r="E4" s="15">
        <v>10</v>
      </c>
      <c r="F4" s="16">
        <v>10</v>
      </c>
      <c r="G4" s="16">
        <v>10</v>
      </c>
      <c r="H4" s="15">
        <v>10</v>
      </c>
      <c r="I4" s="16">
        <v>0</v>
      </c>
      <c r="J4" s="16">
        <v>0</v>
      </c>
      <c r="K4" s="15">
        <v>0</v>
      </c>
      <c r="L4" s="16">
        <v>0</v>
      </c>
      <c r="M4" s="16" t="s">
        <v>65</v>
      </c>
      <c r="N4" s="16">
        <v>0</v>
      </c>
      <c r="O4" s="101">
        <f>SUM(R4,V4,Z4,AM4,AR4,AU4)</f>
        <v>8.2829999999999995</v>
      </c>
      <c r="P4" s="101">
        <f>SUM(S4,W4,AA4,AC4,AN4,AV4)</f>
        <v>6.2460000000000013</v>
      </c>
      <c r="Q4" s="101">
        <f>SUM(T4,X4,AB4,AD4,AO4)</f>
        <v>5</v>
      </c>
      <c r="R4" s="94">
        <v>4.8</v>
      </c>
      <c r="S4" s="94">
        <v>3.27</v>
      </c>
      <c r="T4" s="94">
        <v>0.15</v>
      </c>
      <c r="U4" s="94">
        <v>0</v>
      </c>
      <c r="V4" s="95">
        <v>2.9</v>
      </c>
      <c r="W4" s="95">
        <v>2.7</v>
      </c>
      <c r="X4" s="95">
        <v>1</v>
      </c>
      <c r="Y4" s="95">
        <v>0</v>
      </c>
      <c r="Z4" s="96">
        <v>0.38</v>
      </c>
      <c r="AA4" s="96">
        <v>0.11</v>
      </c>
      <c r="AB4" s="96">
        <v>0.05</v>
      </c>
      <c r="AC4" s="97">
        <v>0.15</v>
      </c>
      <c r="AD4" s="97">
        <v>0</v>
      </c>
      <c r="AE4" s="15">
        <v>0</v>
      </c>
      <c r="AF4" s="15">
        <v>0</v>
      </c>
      <c r="AG4" s="15">
        <v>2</v>
      </c>
      <c r="AH4" s="15">
        <v>6</v>
      </c>
      <c r="AI4" s="15">
        <v>0</v>
      </c>
      <c r="AJ4" s="15">
        <v>0</v>
      </c>
      <c r="AK4" s="15">
        <v>0</v>
      </c>
      <c r="AL4" s="15">
        <v>0</v>
      </c>
      <c r="AM4" s="108">
        <v>0.15</v>
      </c>
      <c r="AN4" s="108">
        <v>0</v>
      </c>
      <c r="AO4" s="108">
        <v>3.8</v>
      </c>
      <c r="AP4" s="108">
        <v>0</v>
      </c>
      <c r="AQ4" s="108">
        <v>0</v>
      </c>
      <c r="AR4" s="109">
        <v>0.02</v>
      </c>
      <c r="AS4" s="109">
        <v>3</v>
      </c>
      <c r="AT4" s="109"/>
      <c r="AU4" s="114">
        <v>3.3000000000000002E-2</v>
      </c>
      <c r="AV4" s="109">
        <v>1.6E-2</v>
      </c>
      <c r="AW4" s="109" t="s">
        <v>122</v>
      </c>
      <c r="AX4" s="109">
        <v>0</v>
      </c>
      <c r="AY4" s="109" t="s">
        <v>122</v>
      </c>
      <c r="AZ4" s="109" t="s">
        <v>123</v>
      </c>
      <c r="BA4" s="109" t="s">
        <v>122</v>
      </c>
      <c r="BB4" s="109" t="s">
        <v>122</v>
      </c>
      <c r="BC4" s="109" t="s">
        <v>122</v>
      </c>
      <c r="BD4" s="110">
        <v>1</v>
      </c>
      <c r="BE4" s="110">
        <v>1337</v>
      </c>
      <c r="BF4" s="110">
        <v>1.4</v>
      </c>
      <c r="BG4" s="110" t="s">
        <v>66</v>
      </c>
      <c r="BH4" s="110">
        <v>1215</v>
      </c>
      <c r="BI4" s="110">
        <v>0</v>
      </c>
      <c r="BJ4" s="110" t="s">
        <v>65</v>
      </c>
      <c r="BK4" s="110">
        <v>0</v>
      </c>
      <c r="BL4" s="110" t="s">
        <v>65</v>
      </c>
      <c r="BM4" s="111" t="s">
        <v>67</v>
      </c>
      <c r="BN4" s="111" t="s">
        <v>67</v>
      </c>
      <c r="BO4" s="112" t="s">
        <v>67</v>
      </c>
      <c r="BP4" s="112" t="s">
        <v>67</v>
      </c>
    </row>
    <row r="5" spans="1:68" ht="39" customHeight="1" thickBot="1" x14ac:dyDescent="0.3">
      <c r="A5" s="71">
        <v>50</v>
      </c>
      <c r="B5" s="99" t="s">
        <v>121</v>
      </c>
      <c r="C5" s="115">
        <v>8</v>
      </c>
      <c r="D5" s="115">
        <v>8</v>
      </c>
      <c r="E5" s="15">
        <v>8</v>
      </c>
      <c r="F5" s="116">
        <v>8</v>
      </c>
      <c r="G5" s="116">
        <v>8</v>
      </c>
      <c r="H5" s="15">
        <v>8</v>
      </c>
      <c r="I5" s="116">
        <v>0</v>
      </c>
      <c r="J5" s="116">
        <v>0</v>
      </c>
      <c r="K5" s="15">
        <v>0</v>
      </c>
      <c r="L5" s="116">
        <v>0</v>
      </c>
      <c r="M5" s="16" t="s">
        <v>65</v>
      </c>
      <c r="N5" s="116">
        <v>0</v>
      </c>
      <c r="O5" s="101">
        <f>SUM(R5,V5,Z5,AM5,AR5,AU5)</f>
        <v>7.383</v>
      </c>
      <c r="P5" s="101">
        <f>SUM(S5,W5,AA5,AA5,AC5,AN5,AV5)</f>
        <v>5.1260000000000003</v>
      </c>
      <c r="Q5" s="101">
        <f>SUM(T5,X5,AB5,AD5,AO5)</f>
        <v>4.24</v>
      </c>
      <c r="R5" s="94">
        <v>4.16</v>
      </c>
      <c r="S5" s="94">
        <v>2.8</v>
      </c>
      <c r="T5" s="94">
        <v>0.25</v>
      </c>
      <c r="U5" s="94">
        <v>0</v>
      </c>
      <c r="V5" s="95">
        <v>2.5</v>
      </c>
      <c r="W5" s="95">
        <v>1.8</v>
      </c>
      <c r="X5" s="95">
        <v>1.36</v>
      </c>
      <c r="Y5" s="95">
        <v>0</v>
      </c>
      <c r="Z5" s="96">
        <v>0.26</v>
      </c>
      <c r="AA5" s="96">
        <v>0.12</v>
      </c>
      <c r="AB5" s="96">
        <v>0.03</v>
      </c>
      <c r="AC5" s="97">
        <v>0.28000000000000003</v>
      </c>
      <c r="AD5" s="97">
        <v>0</v>
      </c>
      <c r="AE5" s="15">
        <v>0</v>
      </c>
      <c r="AF5" s="15">
        <v>0</v>
      </c>
      <c r="AG5" s="15">
        <v>1</v>
      </c>
      <c r="AH5" s="15">
        <v>1.6</v>
      </c>
      <c r="AI5" s="15">
        <v>0</v>
      </c>
      <c r="AJ5" s="15">
        <v>0</v>
      </c>
      <c r="AK5" s="15">
        <v>0</v>
      </c>
      <c r="AL5" s="15">
        <v>0</v>
      </c>
      <c r="AM5" s="108">
        <v>0.45</v>
      </c>
      <c r="AN5" s="108">
        <v>0</v>
      </c>
      <c r="AO5" s="108">
        <v>2.6</v>
      </c>
      <c r="AP5" s="108">
        <v>0</v>
      </c>
      <c r="AQ5" s="108">
        <v>0</v>
      </c>
      <c r="AR5" s="109">
        <v>3.0000000000000001E-3</v>
      </c>
      <c r="AS5" s="109">
        <v>1</v>
      </c>
      <c r="AT5" s="109"/>
      <c r="AU5" s="109">
        <v>0.01</v>
      </c>
      <c r="AV5" s="109">
        <v>6.0000000000000001E-3</v>
      </c>
      <c r="AW5" s="109" t="s">
        <v>122</v>
      </c>
      <c r="AX5" s="109">
        <v>0</v>
      </c>
      <c r="AY5" s="109" t="s">
        <v>122</v>
      </c>
      <c r="AZ5" s="109" t="s">
        <v>123</v>
      </c>
      <c r="BA5" s="109" t="s">
        <v>122</v>
      </c>
      <c r="BB5" s="109" t="s">
        <v>122</v>
      </c>
      <c r="BC5" s="109" t="s">
        <v>122</v>
      </c>
      <c r="BD5" s="63">
        <v>1</v>
      </c>
      <c r="BE5" s="110">
        <v>15617.8</v>
      </c>
      <c r="BF5" s="113">
        <v>1.6</v>
      </c>
      <c r="BG5" s="110" t="s">
        <v>72</v>
      </c>
      <c r="BH5" s="110">
        <v>725</v>
      </c>
      <c r="BI5" s="63">
        <v>0</v>
      </c>
      <c r="BJ5" s="63" t="s">
        <v>65</v>
      </c>
      <c r="BK5" s="63">
        <v>0</v>
      </c>
      <c r="BL5" s="63" t="s">
        <v>65</v>
      </c>
      <c r="BM5" s="111" t="s">
        <v>67</v>
      </c>
      <c r="BN5" s="111" t="s">
        <v>67</v>
      </c>
      <c r="BO5" s="65" t="s">
        <v>65</v>
      </c>
      <c r="BP5" s="65" t="s">
        <v>65</v>
      </c>
    </row>
    <row r="14" spans="1:68" x14ac:dyDescent="0.25">
      <c r="N14" s="1271" t="s">
        <v>129</v>
      </c>
      <c r="O14" s="1271"/>
      <c r="P14" s="1271"/>
      <c r="Q14" s="1271"/>
      <c r="R14" s="1271"/>
    </row>
  </sheetData>
  <mergeCells count="21">
    <mergeCell ref="L1:L2"/>
    <mergeCell ref="M1:M2"/>
    <mergeCell ref="N1:N2"/>
    <mergeCell ref="O1:Q1"/>
    <mergeCell ref="R1:U1"/>
    <mergeCell ref="A1:A3"/>
    <mergeCell ref="B1:B3"/>
    <mergeCell ref="C1:E2"/>
    <mergeCell ref="F1:H2"/>
    <mergeCell ref="I1:K2"/>
    <mergeCell ref="N14:R14"/>
    <mergeCell ref="BM1:BN1"/>
    <mergeCell ref="BO1:BP1"/>
    <mergeCell ref="AC1:AD1"/>
    <mergeCell ref="AE1:AL1"/>
    <mergeCell ref="AM1:AQ1"/>
    <mergeCell ref="AR1:AT1"/>
    <mergeCell ref="AU1:BC1"/>
    <mergeCell ref="BD1:BL1"/>
    <mergeCell ref="Z1:AB1"/>
    <mergeCell ref="V1:Y1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1"/>
  <sheetViews>
    <sheetView topLeftCell="A3" workbookViewId="0">
      <selection activeCell="E13" sqref="A1:XFD1048576"/>
    </sheetView>
  </sheetViews>
  <sheetFormatPr defaultRowHeight="15" x14ac:dyDescent="0.25"/>
  <cols>
    <col min="2" max="2" width="23.42578125" customWidth="1"/>
    <col min="69" max="69" width="14" customWidth="1"/>
    <col min="70" max="70" width="14.7109375" customWidth="1"/>
  </cols>
  <sheetData>
    <row r="1" spans="1:70" ht="45.75" customHeight="1" thickBot="1" x14ac:dyDescent="0.3">
      <c r="A1" s="1240" t="s">
        <v>0</v>
      </c>
      <c r="B1" s="1242" t="s">
        <v>1</v>
      </c>
      <c r="C1" s="1245" t="s">
        <v>2</v>
      </c>
      <c r="D1" s="1246"/>
      <c r="E1" s="1247"/>
      <c r="F1" s="1245" t="s">
        <v>3</v>
      </c>
      <c r="G1" s="1246"/>
      <c r="H1" s="1247"/>
      <c r="I1" s="1245" t="s">
        <v>4</v>
      </c>
      <c r="J1" s="1246"/>
      <c r="K1" s="1247"/>
      <c r="L1" s="1254" t="s">
        <v>5</v>
      </c>
      <c r="M1" s="1254" t="s">
        <v>6</v>
      </c>
      <c r="N1" s="1254" t="s">
        <v>7</v>
      </c>
      <c r="O1" s="1256" t="s">
        <v>8</v>
      </c>
      <c r="P1" s="1257"/>
      <c r="Q1" s="1258"/>
      <c r="R1" s="1259" t="s">
        <v>9</v>
      </c>
      <c r="S1" s="1260"/>
      <c r="T1" s="1260"/>
      <c r="U1" s="1261"/>
      <c r="V1" s="1262" t="s">
        <v>10</v>
      </c>
      <c r="W1" s="1263"/>
      <c r="X1" s="1263"/>
      <c r="Y1" s="1264"/>
      <c r="Z1" s="1237" t="s">
        <v>11</v>
      </c>
      <c r="AA1" s="1238"/>
      <c r="AB1" s="1239"/>
      <c r="AC1" s="1223" t="s">
        <v>12</v>
      </c>
      <c r="AD1" s="1224"/>
      <c r="AE1" s="1225" t="s">
        <v>13</v>
      </c>
      <c r="AF1" s="1226"/>
      <c r="AG1" s="1226"/>
      <c r="AH1" s="1226"/>
      <c r="AI1" s="1226"/>
      <c r="AJ1" s="1226"/>
      <c r="AK1" s="1226"/>
      <c r="AL1" s="1227"/>
      <c r="AM1" s="1228" t="s">
        <v>99</v>
      </c>
      <c r="AN1" s="1229"/>
      <c r="AO1" s="1229"/>
      <c r="AP1" s="1229"/>
      <c r="AQ1" s="1230"/>
      <c r="AR1" s="1231" t="s">
        <v>100</v>
      </c>
      <c r="AS1" s="1232"/>
      <c r="AT1" s="1233"/>
      <c r="AU1" s="1231" t="s">
        <v>101</v>
      </c>
      <c r="AV1" s="1232"/>
      <c r="AW1" s="1232"/>
      <c r="AX1" s="1232"/>
      <c r="AY1" s="1232"/>
      <c r="AZ1" s="1232"/>
      <c r="BA1" s="1232"/>
      <c r="BB1" s="1232"/>
      <c r="BC1" s="1233"/>
      <c r="BD1" s="1234" t="s">
        <v>14</v>
      </c>
      <c r="BE1" s="1235"/>
      <c r="BF1" s="1235"/>
      <c r="BG1" s="1235"/>
      <c r="BH1" s="1235"/>
      <c r="BI1" s="1235"/>
      <c r="BJ1" s="1235"/>
      <c r="BK1" s="1235"/>
      <c r="BL1" s="1236"/>
      <c r="BM1" s="1219" t="s">
        <v>15</v>
      </c>
      <c r="BN1" s="1220"/>
      <c r="BO1" s="1221" t="s">
        <v>16</v>
      </c>
      <c r="BP1" s="1222"/>
    </row>
    <row r="2" spans="1:70" ht="181.5" customHeight="1" thickBot="1" x14ac:dyDescent="0.3">
      <c r="A2" s="1269"/>
      <c r="B2" s="1243"/>
      <c r="C2" s="1248"/>
      <c r="D2" s="1249"/>
      <c r="E2" s="1250"/>
      <c r="F2" s="1251"/>
      <c r="G2" s="1252"/>
      <c r="H2" s="1253"/>
      <c r="I2" s="1251"/>
      <c r="J2" s="1252"/>
      <c r="K2" s="1253"/>
      <c r="L2" s="1255"/>
      <c r="M2" s="1255"/>
      <c r="N2" s="1255"/>
      <c r="O2" s="75" t="s">
        <v>17</v>
      </c>
      <c r="P2" s="75" t="s">
        <v>18</v>
      </c>
      <c r="Q2" s="75" t="s">
        <v>19</v>
      </c>
      <c r="R2" s="76" t="s">
        <v>20</v>
      </c>
      <c r="S2" s="76" t="s">
        <v>21</v>
      </c>
      <c r="T2" s="76" t="s">
        <v>22</v>
      </c>
      <c r="U2" s="76" t="s">
        <v>23</v>
      </c>
      <c r="V2" s="77" t="s">
        <v>24</v>
      </c>
      <c r="W2" s="77" t="s">
        <v>25</v>
      </c>
      <c r="X2" s="77" t="s">
        <v>26</v>
      </c>
      <c r="Y2" s="77" t="s">
        <v>27</v>
      </c>
      <c r="Z2" s="78" t="s">
        <v>28</v>
      </c>
      <c r="AA2" s="78" t="s">
        <v>29</v>
      </c>
      <c r="AB2" s="78" t="s">
        <v>30</v>
      </c>
      <c r="AC2" s="79" t="s">
        <v>31</v>
      </c>
      <c r="AD2" s="79" t="s">
        <v>32</v>
      </c>
      <c r="AE2" s="80" t="s">
        <v>33</v>
      </c>
      <c r="AF2" s="80" t="s">
        <v>34</v>
      </c>
      <c r="AG2" s="80" t="s">
        <v>35</v>
      </c>
      <c r="AH2" s="80" t="s">
        <v>36</v>
      </c>
      <c r="AI2" s="80" t="s">
        <v>37</v>
      </c>
      <c r="AJ2" s="80" t="s">
        <v>36</v>
      </c>
      <c r="AK2" s="80" t="s">
        <v>38</v>
      </c>
      <c r="AL2" s="80" t="s">
        <v>36</v>
      </c>
      <c r="AM2" s="81" t="s">
        <v>102</v>
      </c>
      <c r="AN2" s="81" t="s">
        <v>103</v>
      </c>
      <c r="AO2" s="81" t="s">
        <v>104</v>
      </c>
      <c r="AP2" s="81" t="s">
        <v>105</v>
      </c>
      <c r="AQ2" s="81" t="s">
        <v>106</v>
      </c>
      <c r="AR2" s="82" t="s">
        <v>107</v>
      </c>
      <c r="AS2" s="82" t="s">
        <v>108</v>
      </c>
      <c r="AT2" s="82" t="s">
        <v>109</v>
      </c>
      <c r="AU2" s="82" t="s">
        <v>110</v>
      </c>
      <c r="AV2" s="82" t="s">
        <v>111</v>
      </c>
      <c r="AW2" s="82" t="s">
        <v>112</v>
      </c>
      <c r="AX2" s="83" t="s">
        <v>113</v>
      </c>
      <c r="AY2" s="82" t="s">
        <v>114</v>
      </c>
      <c r="AZ2" s="82" t="s">
        <v>115</v>
      </c>
      <c r="BA2" s="84" t="s">
        <v>116</v>
      </c>
      <c r="BB2" s="82" t="s">
        <v>117</v>
      </c>
      <c r="BC2" s="82" t="s">
        <v>118</v>
      </c>
      <c r="BD2" s="85" t="s">
        <v>14</v>
      </c>
      <c r="BE2" s="85" t="s">
        <v>39</v>
      </c>
      <c r="BF2" s="85" t="s">
        <v>40</v>
      </c>
      <c r="BG2" s="85" t="s">
        <v>41</v>
      </c>
      <c r="BH2" s="85" t="s">
        <v>42</v>
      </c>
      <c r="BI2" s="85" t="s">
        <v>43</v>
      </c>
      <c r="BJ2" s="85" t="s">
        <v>44</v>
      </c>
      <c r="BK2" s="85" t="s">
        <v>45</v>
      </c>
      <c r="BL2" s="85" t="s">
        <v>46</v>
      </c>
      <c r="BM2" s="86" t="s">
        <v>47</v>
      </c>
      <c r="BN2" s="86" t="s">
        <v>48</v>
      </c>
      <c r="BO2" s="81" t="s">
        <v>49</v>
      </c>
      <c r="BP2" s="81" t="s">
        <v>50</v>
      </c>
      <c r="BQ2" s="1272" t="s">
        <v>130</v>
      </c>
      <c r="BR2" s="1273"/>
    </row>
    <row r="3" spans="1:70" ht="60" customHeight="1" thickBot="1" x14ac:dyDescent="0.3">
      <c r="A3" s="1270"/>
      <c r="B3" s="1244"/>
      <c r="C3" s="12" t="s">
        <v>51</v>
      </c>
      <c r="D3" s="12" t="s">
        <v>52</v>
      </c>
      <c r="E3" s="12" t="s">
        <v>53</v>
      </c>
      <c r="F3" s="12" t="s">
        <v>51</v>
      </c>
      <c r="G3" s="12" t="s">
        <v>52</v>
      </c>
      <c r="H3" s="12" t="s">
        <v>53</v>
      </c>
      <c r="I3" s="12" t="s">
        <v>51</v>
      </c>
      <c r="J3" s="12" t="s">
        <v>52</v>
      </c>
      <c r="K3" s="12" t="s">
        <v>53</v>
      </c>
      <c r="L3" s="12" t="s">
        <v>54</v>
      </c>
      <c r="M3" s="12" t="s">
        <v>120</v>
      </c>
      <c r="N3" s="12" t="s">
        <v>56</v>
      </c>
      <c r="O3" s="12" t="s">
        <v>57</v>
      </c>
      <c r="P3" s="88" t="s">
        <v>57</v>
      </c>
      <c r="Q3" s="88" t="s">
        <v>57</v>
      </c>
      <c r="R3" s="88" t="s">
        <v>57</v>
      </c>
      <c r="S3" s="88" t="s">
        <v>57</v>
      </c>
      <c r="T3" s="88" t="s">
        <v>57</v>
      </c>
      <c r="U3" s="88" t="s">
        <v>57</v>
      </c>
      <c r="V3" s="88" t="s">
        <v>57</v>
      </c>
      <c r="W3" s="88" t="s">
        <v>57</v>
      </c>
      <c r="X3" s="88" t="s">
        <v>57</v>
      </c>
      <c r="Y3" s="88" t="s">
        <v>57</v>
      </c>
      <c r="Z3" s="88" t="s">
        <v>57</v>
      </c>
      <c r="AA3" s="88" t="s">
        <v>57</v>
      </c>
      <c r="AB3" s="88" t="s">
        <v>57</v>
      </c>
      <c r="AC3" s="88" t="s">
        <v>57</v>
      </c>
      <c r="AD3" s="88" t="s">
        <v>57</v>
      </c>
      <c r="AE3" s="12" t="s">
        <v>58</v>
      </c>
      <c r="AF3" s="88" t="s">
        <v>57</v>
      </c>
      <c r="AG3" s="12" t="s">
        <v>54</v>
      </c>
      <c r="AH3" s="88" t="s">
        <v>57</v>
      </c>
      <c r="AI3" s="12" t="s">
        <v>54</v>
      </c>
      <c r="AJ3" s="88" t="s">
        <v>57</v>
      </c>
      <c r="AK3" s="12" t="s">
        <v>54</v>
      </c>
      <c r="AL3" s="88" t="s">
        <v>57</v>
      </c>
      <c r="AM3" s="88" t="s">
        <v>62</v>
      </c>
      <c r="AN3" s="88" t="s">
        <v>62</v>
      </c>
      <c r="AO3" s="88" t="s">
        <v>62</v>
      </c>
      <c r="AP3" s="12" t="s">
        <v>54</v>
      </c>
      <c r="AQ3" s="88" t="s">
        <v>57</v>
      </c>
      <c r="AR3" s="88" t="s">
        <v>62</v>
      </c>
      <c r="AS3" s="12" t="s">
        <v>54</v>
      </c>
      <c r="AT3" s="88" t="s">
        <v>119</v>
      </c>
      <c r="AU3" s="88" t="s">
        <v>62</v>
      </c>
      <c r="AV3" s="88" t="s">
        <v>62</v>
      </c>
      <c r="AW3" s="88" t="s">
        <v>120</v>
      </c>
      <c r="AX3" s="88" t="s">
        <v>54</v>
      </c>
      <c r="AY3" s="88" t="s">
        <v>120</v>
      </c>
      <c r="AZ3" s="88" t="s">
        <v>54</v>
      </c>
      <c r="BA3" s="88" t="s">
        <v>120</v>
      </c>
      <c r="BB3" s="88" t="s">
        <v>120</v>
      </c>
      <c r="BC3" s="88" t="s">
        <v>120</v>
      </c>
      <c r="BD3" s="12" t="s">
        <v>54</v>
      </c>
      <c r="BE3" s="12" t="s">
        <v>59</v>
      </c>
      <c r="BF3" s="12" t="s">
        <v>60</v>
      </c>
      <c r="BG3" s="12" t="s">
        <v>61</v>
      </c>
      <c r="BH3" s="88" t="s">
        <v>62</v>
      </c>
      <c r="BI3" s="12" t="s">
        <v>57</v>
      </c>
      <c r="BJ3" s="88" t="s">
        <v>127</v>
      </c>
      <c r="BK3" s="12" t="s">
        <v>62</v>
      </c>
      <c r="BL3" s="88" t="s">
        <v>127</v>
      </c>
      <c r="BM3" s="88" t="s">
        <v>120</v>
      </c>
      <c r="BN3" s="88" t="s">
        <v>120</v>
      </c>
      <c r="BO3" s="88" t="s">
        <v>120</v>
      </c>
      <c r="BP3" s="88" t="s">
        <v>120</v>
      </c>
      <c r="BQ3" s="141" t="s">
        <v>131</v>
      </c>
      <c r="BR3" s="86" t="s">
        <v>132</v>
      </c>
    </row>
    <row r="4" spans="1:70" ht="60" customHeight="1" x14ac:dyDescent="0.25">
      <c r="A4" s="144"/>
      <c r="B4" s="145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6"/>
      <c r="AF4" s="147"/>
      <c r="AG4" s="146"/>
      <c r="AH4" s="147"/>
      <c r="AI4" s="146"/>
      <c r="AJ4" s="147"/>
      <c r="AK4" s="146"/>
      <c r="AL4" s="147"/>
      <c r="AM4" s="142"/>
      <c r="AN4" s="142"/>
      <c r="AO4" s="142"/>
      <c r="AP4" s="143"/>
      <c r="AQ4" s="142"/>
      <c r="AR4" s="142"/>
      <c r="AS4" s="143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3"/>
      <c r="BE4" s="143"/>
      <c r="BF4" s="143"/>
      <c r="BG4" s="143"/>
      <c r="BH4" s="142"/>
      <c r="BI4" s="143"/>
      <c r="BJ4" s="142"/>
      <c r="BK4" s="143"/>
      <c r="BL4" s="142"/>
      <c r="BM4" s="142"/>
      <c r="BN4" s="142"/>
      <c r="BO4" s="142"/>
      <c r="BP4" s="142"/>
      <c r="BQ4" s="171" t="s">
        <v>54</v>
      </c>
      <c r="BR4" s="172" t="s">
        <v>54</v>
      </c>
    </row>
    <row r="5" spans="1:70" ht="43.5" customHeight="1" x14ac:dyDescent="0.25">
      <c r="A5" s="50">
        <v>60</v>
      </c>
      <c r="B5" s="148" t="s">
        <v>64</v>
      </c>
      <c r="C5" s="156">
        <v>10</v>
      </c>
      <c r="D5" s="156">
        <v>10</v>
      </c>
      <c r="E5" s="157">
        <v>10</v>
      </c>
      <c r="F5" s="158">
        <v>10</v>
      </c>
      <c r="G5" s="158">
        <v>10</v>
      </c>
      <c r="H5" s="157">
        <v>10</v>
      </c>
      <c r="I5" s="158">
        <v>0</v>
      </c>
      <c r="J5" s="158">
        <v>0</v>
      </c>
      <c r="K5" s="157">
        <v>0</v>
      </c>
      <c r="L5" s="158">
        <v>0</v>
      </c>
      <c r="M5" s="158" t="s">
        <v>65</v>
      </c>
      <c r="N5" s="158">
        <v>0</v>
      </c>
      <c r="O5" s="159">
        <f>SUM(R5,V5,Z5,AM5,AR5,AU5)</f>
        <v>7.9739999999999984</v>
      </c>
      <c r="P5" s="159">
        <f>SUM(S5,W5,AA5,AC5,AN5,AV5)</f>
        <v>6.0049999999999999</v>
      </c>
      <c r="Q5" s="159">
        <f>SUM(T5,X5,AB5,AD5,AO5)</f>
        <v>4.4980000000000002</v>
      </c>
      <c r="R5" s="160">
        <v>4.5999999999999996</v>
      </c>
      <c r="S5" s="160">
        <v>3.14</v>
      </c>
      <c r="T5" s="160">
        <v>8.7999999999999995E-2</v>
      </c>
      <c r="U5" s="160">
        <v>0</v>
      </c>
      <c r="V5" s="161">
        <v>2.8</v>
      </c>
      <c r="W5" s="161">
        <v>2.6</v>
      </c>
      <c r="X5" s="161">
        <v>0.88</v>
      </c>
      <c r="Y5" s="161">
        <v>0</v>
      </c>
      <c r="Z5" s="162">
        <v>0.35</v>
      </c>
      <c r="AA5" s="162">
        <v>0.1</v>
      </c>
      <c r="AB5" s="162">
        <v>0.03</v>
      </c>
      <c r="AC5" s="163">
        <v>0.15</v>
      </c>
      <c r="AD5" s="163">
        <v>0</v>
      </c>
      <c r="AE5" s="157">
        <v>0</v>
      </c>
      <c r="AF5" s="157">
        <v>0</v>
      </c>
      <c r="AG5" s="157">
        <v>2</v>
      </c>
      <c r="AH5" s="157">
        <v>6</v>
      </c>
      <c r="AI5" s="157">
        <v>0</v>
      </c>
      <c r="AJ5" s="157">
        <v>0</v>
      </c>
      <c r="AK5" s="157">
        <v>0</v>
      </c>
      <c r="AL5" s="157">
        <v>0</v>
      </c>
      <c r="AM5" s="164">
        <v>0.17</v>
      </c>
      <c r="AN5" s="164">
        <v>0</v>
      </c>
      <c r="AO5" s="164">
        <v>3.5</v>
      </c>
      <c r="AP5" s="164">
        <v>0</v>
      </c>
      <c r="AQ5" s="164">
        <v>0</v>
      </c>
      <c r="AR5" s="165">
        <v>0.02</v>
      </c>
      <c r="AS5" s="165">
        <v>3</v>
      </c>
      <c r="AT5" s="165"/>
      <c r="AU5" s="166">
        <v>3.4000000000000002E-2</v>
      </c>
      <c r="AV5" s="165">
        <v>1.4999999999999999E-2</v>
      </c>
      <c r="AW5" s="165" t="s">
        <v>122</v>
      </c>
      <c r="AX5" s="165">
        <v>0</v>
      </c>
      <c r="AY5" s="165" t="s">
        <v>122</v>
      </c>
      <c r="AZ5" s="165" t="s">
        <v>123</v>
      </c>
      <c r="BA5" s="165" t="s">
        <v>122</v>
      </c>
      <c r="BB5" s="165" t="s">
        <v>122</v>
      </c>
      <c r="BC5" s="165" t="s">
        <v>122</v>
      </c>
      <c r="BD5" s="167">
        <v>1</v>
      </c>
      <c r="BE5" s="167">
        <v>1337</v>
      </c>
      <c r="BF5" s="167">
        <v>1.4</v>
      </c>
      <c r="BG5" s="167" t="s">
        <v>66</v>
      </c>
      <c r="BH5" s="167">
        <v>1215</v>
      </c>
      <c r="BI5" s="167">
        <v>0</v>
      </c>
      <c r="BJ5" s="167" t="s">
        <v>65</v>
      </c>
      <c r="BK5" s="167">
        <v>0</v>
      </c>
      <c r="BL5" s="167" t="s">
        <v>65</v>
      </c>
      <c r="BM5" s="168" t="s">
        <v>67</v>
      </c>
      <c r="BN5" s="168" t="s">
        <v>67</v>
      </c>
      <c r="BO5" s="169" t="s">
        <v>67</v>
      </c>
      <c r="BP5" s="112" t="s">
        <v>67</v>
      </c>
      <c r="BQ5" s="170">
        <v>0</v>
      </c>
      <c r="BR5" s="170">
        <v>0</v>
      </c>
    </row>
    <row r="6" spans="1:70" ht="39" customHeight="1" x14ac:dyDescent="0.25">
      <c r="A6" s="50">
        <v>50</v>
      </c>
      <c r="B6" s="140" t="s">
        <v>121</v>
      </c>
      <c r="C6" s="154">
        <v>8</v>
      </c>
      <c r="D6" s="154">
        <v>8</v>
      </c>
      <c r="E6" s="52">
        <v>8</v>
      </c>
      <c r="F6" s="155">
        <v>8</v>
      </c>
      <c r="G6" s="155">
        <v>8</v>
      </c>
      <c r="H6" s="52">
        <v>8</v>
      </c>
      <c r="I6" s="155">
        <v>0</v>
      </c>
      <c r="J6" s="155">
        <v>0</v>
      </c>
      <c r="K6" s="52">
        <v>0</v>
      </c>
      <c r="L6" s="155">
        <v>0</v>
      </c>
      <c r="M6" s="53" t="s">
        <v>65</v>
      </c>
      <c r="N6" s="155">
        <v>0</v>
      </c>
      <c r="O6" s="149">
        <f>SUM(R6,V6,Z6,AM6,AR6,AU6)</f>
        <v>6.4149999999999991</v>
      </c>
      <c r="P6" s="149">
        <f>SUM(S6,W6,AA6,AA6,AC6,AN6,AV6)</f>
        <v>4.1719999999999997</v>
      </c>
      <c r="Q6" s="149">
        <f>SUM(T6,X6,AB6,AD6,AO6)</f>
        <v>3.4710000000000001</v>
      </c>
      <c r="R6" s="150">
        <v>4</v>
      </c>
      <c r="S6" s="150">
        <v>2.5</v>
      </c>
      <c r="T6" s="150">
        <v>0.23</v>
      </c>
      <c r="U6" s="150">
        <v>0</v>
      </c>
      <c r="V6" s="151">
        <v>2.1</v>
      </c>
      <c r="W6" s="151">
        <v>1.4</v>
      </c>
      <c r="X6" s="151">
        <v>1.1200000000000001</v>
      </c>
      <c r="Y6" s="151">
        <v>0</v>
      </c>
      <c r="Z6" s="152">
        <v>0.18</v>
      </c>
      <c r="AA6" s="152">
        <v>8.7999999999999995E-2</v>
      </c>
      <c r="AB6" s="152">
        <v>2.1000000000000001E-2</v>
      </c>
      <c r="AC6" s="153">
        <v>8.8999999999999996E-2</v>
      </c>
      <c r="AD6" s="153">
        <v>0</v>
      </c>
      <c r="AE6" s="52">
        <v>0</v>
      </c>
      <c r="AF6" s="52">
        <v>0</v>
      </c>
      <c r="AG6" s="52">
        <v>1</v>
      </c>
      <c r="AH6" s="52">
        <v>1.6</v>
      </c>
      <c r="AI6" s="52">
        <v>0</v>
      </c>
      <c r="AJ6" s="52">
        <v>0</v>
      </c>
      <c r="AK6" s="52">
        <v>0</v>
      </c>
      <c r="AL6" s="52">
        <v>0</v>
      </c>
      <c r="AM6" s="108">
        <v>0.12</v>
      </c>
      <c r="AN6" s="108">
        <v>0</v>
      </c>
      <c r="AO6" s="108">
        <v>2.1</v>
      </c>
      <c r="AP6" s="108">
        <v>0</v>
      </c>
      <c r="AQ6" s="108">
        <v>0</v>
      </c>
      <c r="AR6" s="109">
        <v>3.0000000000000001E-3</v>
      </c>
      <c r="AS6" s="109">
        <v>1</v>
      </c>
      <c r="AT6" s="109"/>
      <c r="AU6" s="109">
        <v>1.2E-2</v>
      </c>
      <c r="AV6" s="109">
        <v>7.0000000000000001E-3</v>
      </c>
      <c r="AW6" s="109" t="s">
        <v>122</v>
      </c>
      <c r="AX6" s="109">
        <v>0</v>
      </c>
      <c r="AY6" s="109" t="s">
        <v>122</v>
      </c>
      <c r="AZ6" s="109" t="s">
        <v>123</v>
      </c>
      <c r="BA6" s="109" t="s">
        <v>122</v>
      </c>
      <c r="BB6" s="109" t="s">
        <v>122</v>
      </c>
      <c r="BC6" s="109" t="s">
        <v>122</v>
      </c>
      <c r="BD6" s="63">
        <v>1</v>
      </c>
      <c r="BE6" s="110">
        <v>15617.8</v>
      </c>
      <c r="BF6" s="113">
        <v>1.6</v>
      </c>
      <c r="BG6" s="110" t="s">
        <v>72</v>
      </c>
      <c r="BH6" s="110">
        <v>725</v>
      </c>
      <c r="BI6" s="63">
        <v>0</v>
      </c>
      <c r="BJ6" s="63" t="s">
        <v>65</v>
      </c>
      <c r="BK6" s="63">
        <v>0</v>
      </c>
      <c r="BL6" s="63" t="s">
        <v>65</v>
      </c>
      <c r="BM6" s="111" t="s">
        <v>67</v>
      </c>
      <c r="BN6" s="111" t="s">
        <v>67</v>
      </c>
      <c r="BO6" s="65" t="s">
        <v>65</v>
      </c>
      <c r="BP6" s="65" t="s">
        <v>65</v>
      </c>
      <c r="BQ6" s="170">
        <v>0</v>
      </c>
      <c r="BR6" s="170">
        <v>0</v>
      </c>
    </row>
    <row r="11" spans="1:70" x14ac:dyDescent="0.25">
      <c r="N11" s="1271"/>
      <c r="O11" s="1271"/>
      <c r="P11" s="1271"/>
      <c r="Q11" s="1271"/>
      <c r="R11" s="1271"/>
    </row>
  </sheetData>
  <mergeCells count="22">
    <mergeCell ref="BM1:BN1"/>
    <mergeCell ref="BO1:BP1"/>
    <mergeCell ref="N11:R11"/>
    <mergeCell ref="BQ2:BR2"/>
    <mergeCell ref="AC1:AD1"/>
    <mergeCell ref="AE1:AL1"/>
    <mergeCell ref="AM1:AQ1"/>
    <mergeCell ref="AR1:AT1"/>
    <mergeCell ref="AU1:BC1"/>
    <mergeCell ref="BD1:BL1"/>
    <mergeCell ref="Z1:AB1"/>
    <mergeCell ref="M1:M2"/>
    <mergeCell ref="N1:N2"/>
    <mergeCell ref="O1:Q1"/>
    <mergeCell ref="R1:U1"/>
    <mergeCell ref="V1:Y1"/>
    <mergeCell ref="L1:L2"/>
    <mergeCell ref="A1:A3"/>
    <mergeCell ref="B1:B3"/>
    <mergeCell ref="C1:E2"/>
    <mergeCell ref="F1:H2"/>
    <mergeCell ref="I1:K2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3"/>
  <sheetViews>
    <sheetView topLeftCell="I3" workbookViewId="0">
      <selection activeCell="V9" sqref="V9"/>
    </sheetView>
  </sheetViews>
  <sheetFormatPr defaultRowHeight="15" x14ac:dyDescent="0.25"/>
  <cols>
    <col min="2" max="2" width="23.42578125" customWidth="1"/>
    <col min="69" max="69" width="14" customWidth="1"/>
    <col min="70" max="70" width="14.7109375" customWidth="1"/>
  </cols>
  <sheetData>
    <row r="1" spans="1:70" ht="45.75" customHeight="1" thickBot="1" x14ac:dyDescent="0.3">
      <c r="A1" s="1240" t="s">
        <v>0</v>
      </c>
      <c r="B1" s="1242" t="s">
        <v>1</v>
      </c>
      <c r="C1" s="1245" t="s">
        <v>2</v>
      </c>
      <c r="D1" s="1246"/>
      <c r="E1" s="1247"/>
      <c r="F1" s="1245" t="s">
        <v>3</v>
      </c>
      <c r="G1" s="1246"/>
      <c r="H1" s="1247"/>
      <c r="I1" s="1245" t="s">
        <v>4</v>
      </c>
      <c r="J1" s="1246"/>
      <c r="K1" s="1247"/>
      <c r="L1" s="1254" t="s">
        <v>5</v>
      </c>
      <c r="M1" s="1254" t="s">
        <v>6</v>
      </c>
      <c r="N1" s="1254" t="s">
        <v>7</v>
      </c>
      <c r="O1" s="1256" t="s">
        <v>8</v>
      </c>
      <c r="P1" s="1257"/>
      <c r="Q1" s="1258"/>
      <c r="R1" s="1259" t="s">
        <v>9</v>
      </c>
      <c r="S1" s="1260"/>
      <c r="T1" s="1260"/>
      <c r="U1" s="1261"/>
      <c r="V1" s="1262" t="s">
        <v>10</v>
      </c>
      <c r="W1" s="1263"/>
      <c r="X1" s="1263"/>
      <c r="Y1" s="1264"/>
      <c r="Z1" s="1237" t="s">
        <v>11</v>
      </c>
      <c r="AA1" s="1238"/>
      <c r="AB1" s="1239"/>
      <c r="AC1" s="1223" t="s">
        <v>12</v>
      </c>
      <c r="AD1" s="1224"/>
      <c r="AE1" s="1225" t="s">
        <v>13</v>
      </c>
      <c r="AF1" s="1226"/>
      <c r="AG1" s="1226"/>
      <c r="AH1" s="1226"/>
      <c r="AI1" s="1226"/>
      <c r="AJ1" s="1226"/>
      <c r="AK1" s="1226"/>
      <c r="AL1" s="1227"/>
      <c r="AM1" s="1228" t="s">
        <v>99</v>
      </c>
      <c r="AN1" s="1229"/>
      <c r="AO1" s="1229"/>
      <c r="AP1" s="1229"/>
      <c r="AQ1" s="1230"/>
      <c r="AR1" s="1231" t="s">
        <v>100</v>
      </c>
      <c r="AS1" s="1232"/>
      <c r="AT1" s="1233"/>
      <c r="AU1" s="1231" t="s">
        <v>101</v>
      </c>
      <c r="AV1" s="1232"/>
      <c r="AW1" s="1232"/>
      <c r="AX1" s="1232"/>
      <c r="AY1" s="1232"/>
      <c r="AZ1" s="1232"/>
      <c r="BA1" s="1232"/>
      <c r="BB1" s="1232"/>
      <c r="BC1" s="1233"/>
      <c r="BD1" s="1234" t="s">
        <v>14</v>
      </c>
      <c r="BE1" s="1235"/>
      <c r="BF1" s="1235"/>
      <c r="BG1" s="1235"/>
      <c r="BH1" s="1235"/>
      <c r="BI1" s="1235"/>
      <c r="BJ1" s="1235"/>
      <c r="BK1" s="1235"/>
      <c r="BL1" s="1236"/>
      <c r="BM1" s="1219" t="s">
        <v>15</v>
      </c>
      <c r="BN1" s="1220"/>
      <c r="BO1" s="1221" t="s">
        <v>16</v>
      </c>
      <c r="BP1" s="1222"/>
    </row>
    <row r="2" spans="1:70" ht="181.5" customHeight="1" thickBot="1" x14ac:dyDescent="0.3">
      <c r="A2" s="1269"/>
      <c r="B2" s="1243"/>
      <c r="C2" s="1248"/>
      <c r="D2" s="1249"/>
      <c r="E2" s="1250"/>
      <c r="F2" s="1251"/>
      <c r="G2" s="1252"/>
      <c r="H2" s="1253"/>
      <c r="I2" s="1251"/>
      <c r="J2" s="1252"/>
      <c r="K2" s="1253"/>
      <c r="L2" s="1255"/>
      <c r="M2" s="1255"/>
      <c r="N2" s="1255"/>
      <c r="O2" s="75" t="s">
        <v>17</v>
      </c>
      <c r="P2" s="75" t="s">
        <v>18</v>
      </c>
      <c r="Q2" s="75" t="s">
        <v>19</v>
      </c>
      <c r="R2" s="76" t="s">
        <v>20</v>
      </c>
      <c r="S2" s="76" t="s">
        <v>21</v>
      </c>
      <c r="T2" s="76" t="s">
        <v>22</v>
      </c>
      <c r="U2" s="76" t="s">
        <v>23</v>
      </c>
      <c r="V2" s="77" t="s">
        <v>24</v>
      </c>
      <c r="W2" s="77" t="s">
        <v>25</v>
      </c>
      <c r="X2" s="77" t="s">
        <v>26</v>
      </c>
      <c r="Y2" s="77" t="s">
        <v>27</v>
      </c>
      <c r="Z2" s="78" t="s">
        <v>28</v>
      </c>
      <c r="AA2" s="78" t="s">
        <v>29</v>
      </c>
      <c r="AB2" s="78" t="s">
        <v>30</v>
      </c>
      <c r="AC2" s="79" t="s">
        <v>31</v>
      </c>
      <c r="AD2" s="79" t="s">
        <v>32</v>
      </c>
      <c r="AE2" s="80" t="s">
        <v>33</v>
      </c>
      <c r="AF2" s="80" t="s">
        <v>34</v>
      </c>
      <c r="AG2" s="80" t="s">
        <v>35</v>
      </c>
      <c r="AH2" s="80" t="s">
        <v>36</v>
      </c>
      <c r="AI2" s="80" t="s">
        <v>37</v>
      </c>
      <c r="AJ2" s="80" t="s">
        <v>36</v>
      </c>
      <c r="AK2" s="80" t="s">
        <v>38</v>
      </c>
      <c r="AL2" s="80" t="s">
        <v>36</v>
      </c>
      <c r="AM2" s="81" t="s">
        <v>102</v>
      </c>
      <c r="AN2" s="81" t="s">
        <v>103</v>
      </c>
      <c r="AO2" s="81" t="s">
        <v>104</v>
      </c>
      <c r="AP2" s="81" t="s">
        <v>105</v>
      </c>
      <c r="AQ2" s="81" t="s">
        <v>106</v>
      </c>
      <c r="AR2" s="82" t="s">
        <v>107</v>
      </c>
      <c r="AS2" s="82" t="s">
        <v>108</v>
      </c>
      <c r="AT2" s="82" t="s">
        <v>109</v>
      </c>
      <c r="AU2" s="82" t="s">
        <v>110</v>
      </c>
      <c r="AV2" s="82" t="s">
        <v>111</v>
      </c>
      <c r="AW2" s="82" t="s">
        <v>112</v>
      </c>
      <c r="AX2" s="83" t="s">
        <v>113</v>
      </c>
      <c r="AY2" s="82" t="s">
        <v>114</v>
      </c>
      <c r="AZ2" s="82" t="s">
        <v>115</v>
      </c>
      <c r="BA2" s="84" t="s">
        <v>116</v>
      </c>
      <c r="BB2" s="82" t="s">
        <v>117</v>
      </c>
      <c r="BC2" s="82" t="s">
        <v>118</v>
      </c>
      <c r="BD2" s="85" t="s">
        <v>14</v>
      </c>
      <c r="BE2" s="85" t="s">
        <v>39</v>
      </c>
      <c r="BF2" s="85" t="s">
        <v>40</v>
      </c>
      <c r="BG2" s="85" t="s">
        <v>41</v>
      </c>
      <c r="BH2" s="85" t="s">
        <v>42</v>
      </c>
      <c r="BI2" s="85" t="s">
        <v>43</v>
      </c>
      <c r="BJ2" s="85" t="s">
        <v>44</v>
      </c>
      <c r="BK2" s="85" t="s">
        <v>45</v>
      </c>
      <c r="BL2" s="85" t="s">
        <v>46</v>
      </c>
      <c r="BM2" s="86" t="s">
        <v>47</v>
      </c>
      <c r="BN2" s="86" t="s">
        <v>48</v>
      </c>
      <c r="BO2" s="81" t="s">
        <v>49</v>
      </c>
      <c r="BP2" s="81" t="s">
        <v>50</v>
      </c>
      <c r="BQ2" s="1272" t="s">
        <v>130</v>
      </c>
      <c r="BR2" s="1273"/>
    </row>
    <row r="3" spans="1:70" ht="60" customHeight="1" thickBot="1" x14ac:dyDescent="0.3">
      <c r="A3" s="1270"/>
      <c r="B3" s="1244"/>
      <c r="C3" s="12" t="s">
        <v>51</v>
      </c>
      <c r="D3" s="12" t="s">
        <v>52</v>
      </c>
      <c r="E3" s="12" t="s">
        <v>53</v>
      </c>
      <c r="F3" s="12" t="s">
        <v>51</v>
      </c>
      <c r="G3" s="12" t="s">
        <v>52</v>
      </c>
      <c r="H3" s="12" t="s">
        <v>53</v>
      </c>
      <c r="I3" s="12" t="s">
        <v>51</v>
      </c>
      <c r="J3" s="12" t="s">
        <v>52</v>
      </c>
      <c r="K3" s="12" t="s">
        <v>53</v>
      </c>
      <c r="L3" s="12" t="s">
        <v>54</v>
      </c>
      <c r="M3" s="12" t="s">
        <v>120</v>
      </c>
      <c r="N3" s="12" t="s">
        <v>56</v>
      </c>
      <c r="O3" s="12" t="s">
        <v>57</v>
      </c>
      <c r="P3" s="88" t="s">
        <v>57</v>
      </c>
      <c r="Q3" s="88" t="s">
        <v>57</v>
      </c>
      <c r="R3" s="88" t="s">
        <v>57</v>
      </c>
      <c r="S3" s="88" t="s">
        <v>57</v>
      </c>
      <c r="T3" s="88" t="s">
        <v>57</v>
      </c>
      <c r="U3" s="88" t="s">
        <v>57</v>
      </c>
      <c r="V3" s="88" t="s">
        <v>57</v>
      </c>
      <c r="W3" s="88" t="s">
        <v>57</v>
      </c>
      <c r="X3" s="88" t="s">
        <v>57</v>
      </c>
      <c r="Y3" s="88" t="s">
        <v>57</v>
      </c>
      <c r="Z3" s="88" t="s">
        <v>57</v>
      </c>
      <c r="AA3" s="88" t="s">
        <v>57</v>
      </c>
      <c r="AB3" s="88" t="s">
        <v>57</v>
      </c>
      <c r="AC3" s="88" t="s">
        <v>57</v>
      </c>
      <c r="AD3" s="88" t="s">
        <v>57</v>
      </c>
      <c r="AE3" s="12" t="s">
        <v>58</v>
      </c>
      <c r="AF3" s="88" t="s">
        <v>57</v>
      </c>
      <c r="AG3" s="12" t="s">
        <v>54</v>
      </c>
      <c r="AH3" s="88" t="s">
        <v>57</v>
      </c>
      <c r="AI3" s="12" t="s">
        <v>54</v>
      </c>
      <c r="AJ3" s="88" t="s">
        <v>57</v>
      </c>
      <c r="AK3" s="12" t="s">
        <v>54</v>
      </c>
      <c r="AL3" s="88" t="s">
        <v>57</v>
      </c>
      <c r="AM3" s="88" t="s">
        <v>62</v>
      </c>
      <c r="AN3" s="88" t="s">
        <v>62</v>
      </c>
      <c r="AO3" s="88" t="s">
        <v>62</v>
      </c>
      <c r="AP3" s="12" t="s">
        <v>54</v>
      </c>
      <c r="AQ3" s="88" t="s">
        <v>57</v>
      </c>
      <c r="AR3" s="88" t="s">
        <v>62</v>
      </c>
      <c r="AS3" s="12" t="s">
        <v>54</v>
      </c>
      <c r="AT3" s="88" t="s">
        <v>119</v>
      </c>
      <c r="AU3" s="88" t="s">
        <v>62</v>
      </c>
      <c r="AV3" s="88" t="s">
        <v>62</v>
      </c>
      <c r="AW3" s="88" t="s">
        <v>120</v>
      </c>
      <c r="AX3" s="88" t="s">
        <v>54</v>
      </c>
      <c r="AY3" s="88" t="s">
        <v>120</v>
      </c>
      <c r="AZ3" s="88" t="s">
        <v>54</v>
      </c>
      <c r="BA3" s="88" t="s">
        <v>120</v>
      </c>
      <c r="BB3" s="88" t="s">
        <v>120</v>
      </c>
      <c r="BC3" s="88" t="s">
        <v>120</v>
      </c>
      <c r="BD3" s="12" t="s">
        <v>54</v>
      </c>
      <c r="BE3" s="12" t="s">
        <v>59</v>
      </c>
      <c r="BF3" s="12" t="s">
        <v>60</v>
      </c>
      <c r="BG3" s="12" t="s">
        <v>61</v>
      </c>
      <c r="BH3" s="88" t="s">
        <v>62</v>
      </c>
      <c r="BI3" s="12" t="s">
        <v>57</v>
      </c>
      <c r="BJ3" s="88" t="s">
        <v>127</v>
      </c>
      <c r="BK3" s="12" t="s">
        <v>62</v>
      </c>
      <c r="BL3" s="88" t="s">
        <v>127</v>
      </c>
      <c r="BM3" s="88" t="s">
        <v>120</v>
      </c>
      <c r="BN3" s="88" t="s">
        <v>120</v>
      </c>
      <c r="BO3" s="88" t="s">
        <v>120</v>
      </c>
      <c r="BP3" s="88" t="s">
        <v>120</v>
      </c>
      <c r="BQ3" s="141" t="s">
        <v>131</v>
      </c>
      <c r="BR3" s="86" t="s">
        <v>132</v>
      </c>
    </row>
    <row r="4" spans="1:70" ht="60" customHeight="1" x14ac:dyDescent="0.25">
      <c r="A4" s="144"/>
      <c r="B4" s="145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6"/>
      <c r="AF4" s="147"/>
      <c r="AG4" s="146"/>
      <c r="AH4" s="147"/>
      <c r="AI4" s="146"/>
      <c r="AJ4" s="147"/>
      <c r="AK4" s="146"/>
      <c r="AL4" s="147"/>
      <c r="AM4" s="142"/>
      <c r="AN4" s="142"/>
      <c r="AO4" s="142"/>
      <c r="AP4" s="143"/>
      <c r="AQ4" s="142"/>
      <c r="AR4" s="142"/>
      <c r="AS4" s="143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3"/>
      <c r="BE4" s="143"/>
      <c r="BF4" s="143"/>
      <c r="BG4" s="143"/>
      <c r="BH4" s="142"/>
      <c r="BI4" s="143"/>
      <c r="BJ4" s="142"/>
      <c r="BK4" s="143"/>
      <c r="BL4" s="142"/>
      <c r="BM4" s="142"/>
      <c r="BN4" s="142"/>
      <c r="BO4" s="142"/>
      <c r="BP4" s="142"/>
      <c r="BQ4" s="171" t="s">
        <v>54</v>
      </c>
      <c r="BR4" s="172" t="s">
        <v>54</v>
      </c>
    </row>
    <row r="5" spans="1:70" ht="43.5" customHeight="1" x14ac:dyDescent="0.25">
      <c r="A5" s="180">
        <v>60</v>
      </c>
      <c r="B5" s="181" t="s">
        <v>64</v>
      </c>
      <c r="C5" s="182">
        <v>10</v>
      </c>
      <c r="D5" s="182">
        <v>10</v>
      </c>
      <c r="E5" s="183">
        <v>10</v>
      </c>
      <c r="F5" s="183">
        <v>10</v>
      </c>
      <c r="G5" s="183">
        <v>10</v>
      </c>
      <c r="H5" s="183">
        <v>10</v>
      </c>
      <c r="I5" s="183">
        <v>0</v>
      </c>
      <c r="J5" s="183">
        <v>0</v>
      </c>
      <c r="K5" s="183">
        <v>0</v>
      </c>
      <c r="L5" s="183">
        <v>0</v>
      </c>
      <c r="M5" s="183" t="s">
        <v>65</v>
      </c>
      <c r="N5" s="183">
        <v>0</v>
      </c>
      <c r="O5" s="184">
        <f>SUM(R5,V5,Z5,AM5,AR5,AU5)</f>
        <v>7.9850000000000012</v>
      </c>
      <c r="P5" s="184">
        <f>SUM(S5,W5,AA5,AC5,AN5,AV5)</f>
        <v>5.8419999999999987</v>
      </c>
      <c r="Q5" s="184">
        <f>SUM(T5,X5,AB5,AD5,AO5)</f>
        <v>4.0529999999999999</v>
      </c>
      <c r="R5" s="184">
        <v>4.7</v>
      </c>
      <c r="S5" s="184">
        <v>3.15</v>
      </c>
      <c r="T5" s="184">
        <v>8.3000000000000004E-2</v>
      </c>
      <c r="U5" s="184">
        <v>0</v>
      </c>
      <c r="V5" s="184">
        <v>2.7</v>
      </c>
      <c r="W5" s="184">
        <v>2.4</v>
      </c>
      <c r="X5" s="184">
        <v>0.75</v>
      </c>
      <c r="Y5" s="184">
        <v>0</v>
      </c>
      <c r="Z5" s="184">
        <v>0.33</v>
      </c>
      <c r="AA5" s="184">
        <v>0.1</v>
      </c>
      <c r="AB5" s="184">
        <v>0.02</v>
      </c>
      <c r="AC5" s="184">
        <v>0.18</v>
      </c>
      <c r="AD5" s="184">
        <v>0</v>
      </c>
      <c r="AE5" s="183">
        <v>0</v>
      </c>
      <c r="AF5" s="183">
        <v>0</v>
      </c>
      <c r="AG5" s="183">
        <v>2</v>
      </c>
      <c r="AH5" s="183">
        <v>6</v>
      </c>
      <c r="AI5" s="183">
        <v>0</v>
      </c>
      <c r="AJ5" s="183">
        <v>0</v>
      </c>
      <c r="AK5" s="183">
        <v>0</v>
      </c>
      <c r="AL5" s="183">
        <v>0</v>
      </c>
      <c r="AM5" s="184">
        <v>0.19</v>
      </c>
      <c r="AN5" s="184">
        <v>0</v>
      </c>
      <c r="AO5" s="184">
        <v>3.2</v>
      </c>
      <c r="AP5" s="184">
        <v>0</v>
      </c>
      <c r="AQ5" s="184">
        <v>0</v>
      </c>
      <c r="AR5" s="184">
        <v>0.03</v>
      </c>
      <c r="AS5" s="184">
        <v>3</v>
      </c>
      <c r="AT5" s="184"/>
      <c r="AU5" s="185">
        <v>3.5000000000000003E-2</v>
      </c>
      <c r="AV5" s="184">
        <v>1.2E-2</v>
      </c>
      <c r="AW5" s="184" t="s">
        <v>122</v>
      </c>
      <c r="AX5" s="184">
        <v>0</v>
      </c>
      <c r="AY5" s="184" t="s">
        <v>122</v>
      </c>
      <c r="AZ5" s="184" t="s">
        <v>123</v>
      </c>
      <c r="BA5" s="184" t="s">
        <v>122</v>
      </c>
      <c r="BB5" s="184" t="s">
        <v>122</v>
      </c>
      <c r="BC5" s="184" t="s">
        <v>122</v>
      </c>
      <c r="BD5" s="186">
        <v>1</v>
      </c>
      <c r="BE5" s="186">
        <v>1337</v>
      </c>
      <c r="BF5" s="186">
        <v>1.4</v>
      </c>
      <c r="BG5" s="186" t="s">
        <v>66</v>
      </c>
      <c r="BH5" s="186">
        <v>1215</v>
      </c>
      <c r="BI5" s="186">
        <v>0</v>
      </c>
      <c r="BJ5" s="186" t="s">
        <v>65</v>
      </c>
      <c r="BK5" s="186">
        <v>0</v>
      </c>
      <c r="BL5" s="186" t="s">
        <v>65</v>
      </c>
      <c r="BM5" s="186" t="s">
        <v>67</v>
      </c>
      <c r="BN5" s="186" t="s">
        <v>67</v>
      </c>
      <c r="BO5" s="186" t="s">
        <v>67</v>
      </c>
      <c r="BP5" s="187" t="s">
        <v>67</v>
      </c>
      <c r="BQ5" s="188">
        <v>0</v>
      </c>
      <c r="BR5" s="188">
        <v>0</v>
      </c>
    </row>
    <row r="6" spans="1:70" ht="39" customHeight="1" x14ac:dyDescent="0.25">
      <c r="A6" s="180">
        <v>50</v>
      </c>
      <c r="B6" s="189" t="s">
        <v>121</v>
      </c>
      <c r="C6" s="180">
        <v>8</v>
      </c>
      <c r="D6" s="180">
        <v>8</v>
      </c>
      <c r="E6" s="190">
        <v>8</v>
      </c>
      <c r="F6" s="180">
        <v>8</v>
      </c>
      <c r="G6" s="180">
        <v>8</v>
      </c>
      <c r="H6" s="190">
        <v>8</v>
      </c>
      <c r="I6" s="180">
        <v>0</v>
      </c>
      <c r="J6" s="180">
        <v>0</v>
      </c>
      <c r="K6" s="190">
        <v>0</v>
      </c>
      <c r="L6" s="180">
        <v>0</v>
      </c>
      <c r="M6" s="190" t="s">
        <v>65</v>
      </c>
      <c r="N6" s="180">
        <v>0</v>
      </c>
      <c r="O6" s="180">
        <f>SUM(R6,V6,Z6,AM6,AR6,AU6)</f>
        <v>6.58</v>
      </c>
      <c r="P6" s="180">
        <f>SUM(S6,W6,AA6,AA6,AC6,AN6,AV6)</f>
        <v>4.2690000000000001</v>
      </c>
      <c r="Q6" s="180">
        <f>SUM(T6,X6,AB6,AD6,AO6)</f>
        <v>3.153</v>
      </c>
      <c r="R6" s="180">
        <v>4.0999999999999996</v>
      </c>
      <c r="S6" s="180">
        <v>2.2000000000000002</v>
      </c>
      <c r="T6" s="180">
        <v>3.5000000000000003E-2</v>
      </c>
      <c r="U6" s="180">
        <v>0</v>
      </c>
      <c r="V6" s="180">
        <v>2.2000000000000002</v>
      </c>
      <c r="W6" s="180">
        <v>1.8</v>
      </c>
      <c r="X6" s="180">
        <v>1.1000000000000001</v>
      </c>
      <c r="Y6" s="180">
        <v>0</v>
      </c>
      <c r="Z6" s="180">
        <v>0.15</v>
      </c>
      <c r="AA6" s="180">
        <v>8.5000000000000006E-2</v>
      </c>
      <c r="AB6" s="180">
        <v>1.7999999999999999E-2</v>
      </c>
      <c r="AC6" s="180">
        <v>0.09</v>
      </c>
      <c r="AD6" s="180">
        <v>0</v>
      </c>
      <c r="AE6" s="190">
        <v>0</v>
      </c>
      <c r="AF6" s="190">
        <v>0</v>
      </c>
      <c r="AG6" s="190">
        <v>1</v>
      </c>
      <c r="AH6" s="190">
        <v>1.6</v>
      </c>
      <c r="AI6" s="190">
        <v>0</v>
      </c>
      <c r="AJ6" s="190">
        <v>0</v>
      </c>
      <c r="AK6" s="190">
        <v>0</v>
      </c>
      <c r="AL6" s="190">
        <v>0</v>
      </c>
      <c r="AM6" s="180">
        <v>0.11</v>
      </c>
      <c r="AN6" s="180">
        <v>0</v>
      </c>
      <c r="AO6" s="180">
        <v>2</v>
      </c>
      <c r="AP6" s="180">
        <v>0</v>
      </c>
      <c r="AQ6" s="180">
        <v>0</v>
      </c>
      <c r="AR6" s="180">
        <v>5.0000000000000001E-3</v>
      </c>
      <c r="AS6" s="180">
        <v>1</v>
      </c>
      <c r="AT6" s="180"/>
      <c r="AU6" s="180">
        <v>1.4999999999999999E-2</v>
      </c>
      <c r="AV6" s="180">
        <v>8.9999999999999993E-3</v>
      </c>
      <c r="AW6" s="180" t="s">
        <v>122</v>
      </c>
      <c r="AX6" s="180">
        <v>0</v>
      </c>
      <c r="AY6" s="180" t="s">
        <v>122</v>
      </c>
      <c r="AZ6" s="180" t="s">
        <v>123</v>
      </c>
      <c r="BA6" s="180" t="s">
        <v>122</v>
      </c>
      <c r="BB6" s="180" t="s">
        <v>122</v>
      </c>
      <c r="BC6" s="180" t="s">
        <v>122</v>
      </c>
      <c r="BD6" s="191">
        <v>1</v>
      </c>
      <c r="BE6" s="187">
        <v>15617.8</v>
      </c>
      <c r="BF6" s="187">
        <v>1.6</v>
      </c>
      <c r="BG6" s="187" t="s">
        <v>72</v>
      </c>
      <c r="BH6" s="187">
        <v>725</v>
      </c>
      <c r="BI6" s="191">
        <v>0</v>
      </c>
      <c r="BJ6" s="191" t="s">
        <v>65</v>
      </c>
      <c r="BK6" s="191">
        <v>0</v>
      </c>
      <c r="BL6" s="191" t="s">
        <v>65</v>
      </c>
      <c r="BM6" s="187" t="s">
        <v>67</v>
      </c>
      <c r="BN6" s="187" t="s">
        <v>67</v>
      </c>
      <c r="BO6" s="191" t="s">
        <v>65</v>
      </c>
      <c r="BP6" s="191" t="s">
        <v>65</v>
      </c>
      <c r="BQ6" s="188">
        <v>0</v>
      </c>
      <c r="BR6" s="188">
        <v>0</v>
      </c>
    </row>
    <row r="9" spans="1:70" ht="43.5" customHeight="1" x14ac:dyDescent="0.25">
      <c r="A9" s="50">
        <v>60</v>
      </c>
      <c r="B9" s="148" t="s">
        <v>64</v>
      </c>
      <c r="C9" s="156">
        <v>10</v>
      </c>
      <c r="D9" s="156">
        <v>10</v>
      </c>
      <c r="E9" s="157">
        <v>10</v>
      </c>
      <c r="F9" s="158">
        <v>10</v>
      </c>
      <c r="G9" s="158">
        <v>10</v>
      </c>
      <c r="H9" s="157">
        <v>10</v>
      </c>
      <c r="I9" s="158">
        <v>0</v>
      </c>
      <c r="J9" s="158">
        <v>0</v>
      </c>
      <c r="K9" s="157">
        <v>0</v>
      </c>
      <c r="L9" s="158">
        <v>0</v>
      </c>
      <c r="M9" s="158" t="s">
        <v>65</v>
      </c>
      <c r="N9" s="158">
        <v>0</v>
      </c>
      <c r="O9" s="159">
        <f>SUM(R9,V9,Z9,AM9,AR9,AU9)</f>
        <v>6.0550000000000006</v>
      </c>
      <c r="P9" s="159">
        <f>SUM(S9,W9,AA9,AC9,AN9,AV9)</f>
        <v>5.8419999999999987</v>
      </c>
      <c r="Q9" s="159">
        <f>SUM(T9,X9,AB9,AD9,AO9)</f>
        <v>3.1150000000000002</v>
      </c>
      <c r="R9" s="177">
        <v>3.7</v>
      </c>
      <c r="S9" s="160">
        <v>3.15</v>
      </c>
      <c r="T9" s="179">
        <v>5.5E-2</v>
      </c>
      <c r="U9" s="160">
        <v>0</v>
      </c>
      <c r="V9" s="177">
        <v>2</v>
      </c>
      <c r="W9" s="161">
        <v>2.4</v>
      </c>
      <c r="X9" s="179">
        <v>0.55000000000000004</v>
      </c>
      <c r="Y9" s="161">
        <v>0</v>
      </c>
      <c r="Z9" s="177">
        <v>0.2</v>
      </c>
      <c r="AA9" s="162">
        <v>0.1</v>
      </c>
      <c r="AB9" s="162">
        <v>0.01</v>
      </c>
      <c r="AC9" s="163">
        <v>0.18</v>
      </c>
      <c r="AD9" s="163">
        <v>0</v>
      </c>
      <c r="AE9" s="157">
        <v>0</v>
      </c>
      <c r="AF9" s="157">
        <v>0</v>
      </c>
      <c r="AG9" s="157">
        <v>2</v>
      </c>
      <c r="AH9" s="157">
        <v>6</v>
      </c>
      <c r="AI9" s="157">
        <v>0</v>
      </c>
      <c r="AJ9" s="157">
        <v>0</v>
      </c>
      <c r="AK9" s="157">
        <v>0</v>
      </c>
      <c r="AL9" s="157">
        <v>0</v>
      </c>
      <c r="AM9" s="177">
        <v>0.11</v>
      </c>
      <c r="AN9" s="164">
        <v>0</v>
      </c>
      <c r="AO9" s="179">
        <v>2.5</v>
      </c>
      <c r="AP9" s="164">
        <v>0</v>
      </c>
      <c r="AQ9" s="179">
        <v>0</v>
      </c>
      <c r="AR9" s="177">
        <v>0.01</v>
      </c>
      <c r="AS9" s="165">
        <v>3</v>
      </c>
      <c r="AT9" s="165"/>
      <c r="AU9" s="166">
        <v>3.5000000000000003E-2</v>
      </c>
      <c r="AV9" s="165">
        <v>1.2E-2</v>
      </c>
      <c r="AW9" s="165" t="s">
        <v>122</v>
      </c>
      <c r="AX9" s="165">
        <v>0</v>
      </c>
      <c r="AY9" s="165" t="s">
        <v>122</v>
      </c>
      <c r="AZ9" s="165" t="s">
        <v>123</v>
      </c>
      <c r="BA9" s="165" t="s">
        <v>122</v>
      </c>
      <c r="BB9" s="165" t="s">
        <v>122</v>
      </c>
      <c r="BC9" s="165" t="s">
        <v>122</v>
      </c>
      <c r="BD9" s="167">
        <v>1</v>
      </c>
      <c r="BE9" s="167">
        <v>1337</v>
      </c>
      <c r="BF9" s="167">
        <v>1.4</v>
      </c>
      <c r="BG9" s="167" t="s">
        <v>66</v>
      </c>
      <c r="BH9" s="167">
        <v>1215</v>
      </c>
      <c r="BI9" s="167">
        <v>0</v>
      </c>
      <c r="BJ9" s="167" t="s">
        <v>65</v>
      </c>
      <c r="BK9" s="167">
        <v>0</v>
      </c>
      <c r="BL9" s="167" t="s">
        <v>65</v>
      </c>
      <c r="BM9" s="168" t="s">
        <v>67</v>
      </c>
      <c r="BN9" s="168" t="s">
        <v>67</v>
      </c>
      <c r="BO9" s="169" t="s">
        <v>67</v>
      </c>
      <c r="BP9" s="112" t="s">
        <v>67</v>
      </c>
      <c r="BQ9" s="170">
        <v>0</v>
      </c>
      <c r="BR9" s="170">
        <v>0</v>
      </c>
    </row>
    <row r="10" spans="1:70" ht="39" customHeight="1" x14ac:dyDescent="0.25">
      <c r="A10" s="50">
        <v>50</v>
      </c>
      <c r="B10" s="173" t="s">
        <v>121</v>
      </c>
      <c r="C10" s="154">
        <v>8</v>
      </c>
      <c r="D10" s="154">
        <v>8</v>
      </c>
      <c r="E10" s="52">
        <v>8</v>
      </c>
      <c r="F10" s="155">
        <v>8</v>
      </c>
      <c r="G10" s="155">
        <v>8</v>
      </c>
      <c r="H10" s="52">
        <v>8</v>
      </c>
      <c r="I10" s="155">
        <v>0</v>
      </c>
      <c r="J10" s="155">
        <v>0</v>
      </c>
      <c r="K10" s="52">
        <v>0</v>
      </c>
      <c r="L10" s="155">
        <v>0</v>
      </c>
      <c r="M10" s="53" t="s">
        <v>65</v>
      </c>
      <c r="N10" s="155">
        <v>0</v>
      </c>
      <c r="O10" s="149">
        <f>SUM(R10,V10,Z10,AM10,AR10,AU10)</f>
        <v>5.6800000000000006</v>
      </c>
      <c r="P10" s="149">
        <f>SUM(S10,W10,AA10,AA10,AC10,AN10,AV10)</f>
        <v>4.3689999999999998</v>
      </c>
      <c r="Q10" s="149">
        <f>SUM(T10,X10,AB10,AD10,AO10)</f>
        <v>3.2480000000000002</v>
      </c>
      <c r="R10" s="178">
        <v>3.2</v>
      </c>
      <c r="S10" s="150">
        <v>2.2000000000000002</v>
      </c>
      <c r="T10" s="150">
        <v>0.03</v>
      </c>
      <c r="U10" s="150">
        <v>0</v>
      </c>
      <c r="V10" s="178">
        <v>2.2000000000000002</v>
      </c>
      <c r="W10" s="151">
        <v>1.9</v>
      </c>
      <c r="X10" s="151">
        <v>1.2</v>
      </c>
      <c r="Y10" s="151">
        <v>0</v>
      </c>
      <c r="Z10" s="178">
        <v>0.15</v>
      </c>
      <c r="AA10" s="152">
        <v>8.5000000000000006E-2</v>
      </c>
      <c r="AB10" s="152">
        <v>1.7999999999999999E-2</v>
      </c>
      <c r="AC10" s="153">
        <v>0.09</v>
      </c>
      <c r="AD10" s="153">
        <v>0</v>
      </c>
      <c r="AE10" s="52">
        <v>0</v>
      </c>
      <c r="AF10" s="52">
        <v>0</v>
      </c>
      <c r="AG10" s="52">
        <v>1</v>
      </c>
      <c r="AH10" s="52">
        <v>1.6</v>
      </c>
      <c r="AI10" s="52">
        <v>0</v>
      </c>
      <c r="AJ10" s="52">
        <v>0</v>
      </c>
      <c r="AK10" s="52">
        <v>0</v>
      </c>
      <c r="AL10" s="52">
        <v>0</v>
      </c>
      <c r="AM10" s="108">
        <v>0.11</v>
      </c>
      <c r="AN10" s="108">
        <v>0</v>
      </c>
      <c r="AO10" s="108">
        <v>2</v>
      </c>
      <c r="AP10" s="108">
        <v>0</v>
      </c>
      <c r="AQ10" s="108">
        <v>0</v>
      </c>
      <c r="AR10" s="178">
        <v>5.0000000000000001E-3</v>
      </c>
      <c r="AS10" s="109">
        <v>1</v>
      </c>
      <c r="AT10" s="109"/>
      <c r="AU10" s="109">
        <v>1.4999999999999999E-2</v>
      </c>
      <c r="AV10" s="109">
        <v>8.9999999999999993E-3</v>
      </c>
      <c r="AW10" s="109" t="s">
        <v>122</v>
      </c>
      <c r="AX10" s="109">
        <v>0</v>
      </c>
      <c r="AY10" s="109" t="s">
        <v>122</v>
      </c>
      <c r="AZ10" s="109" t="s">
        <v>123</v>
      </c>
      <c r="BA10" s="109" t="s">
        <v>122</v>
      </c>
      <c r="BB10" s="109" t="s">
        <v>122</v>
      </c>
      <c r="BC10" s="109" t="s">
        <v>122</v>
      </c>
      <c r="BD10" s="63">
        <v>1</v>
      </c>
      <c r="BE10" s="110">
        <v>15617.8</v>
      </c>
      <c r="BF10" s="113">
        <v>1.6</v>
      </c>
      <c r="BG10" s="110" t="s">
        <v>72</v>
      </c>
      <c r="BH10" s="110">
        <v>725</v>
      </c>
      <c r="BI10" s="63">
        <v>0</v>
      </c>
      <c r="BJ10" s="63" t="s">
        <v>65</v>
      </c>
      <c r="BK10" s="63">
        <v>0</v>
      </c>
      <c r="BL10" s="63" t="s">
        <v>65</v>
      </c>
      <c r="BM10" s="111" t="s">
        <v>67</v>
      </c>
      <c r="BN10" s="111" t="s">
        <v>67</v>
      </c>
      <c r="BO10" s="65" t="s">
        <v>65</v>
      </c>
      <c r="BP10" s="65" t="s">
        <v>65</v>
      </c>
      <c r="BQ10" s="170">
        <v>0</v>
      </c>
      <c r="BR10" s="170">
        <v>0</v>
      </c>
    </row>
    <row r="11" spans="1:70" ht="75" x14ac:dyDescent="0.25">
      <c r="G11" s="1275" t="s">
        <v>1</v>
      </c>
      <c r="H11" s="1275"/>
      <c r="I11" s="174" t="s">
        <v>133</v>
      </c>
      <c r="J11" s="174" t="s">
        <v>134</v>
      </c>
      <c r="K11" s="174" t="s">
        <v>135</v>
      </c>
      <c r="N11" s="1271"/>
      <c r="O11" s="1271"/>
      <c r="P11" s="1271"/>
      <c r="Q11" s="1271"/>
      <c r="R11" s="1271"/>
    </row>
    <row r="12" spans="1:70" x14ac:dyDescent="0.25">
      <c r="G12" s="1274" t="s">
        <v>64</v>
      </c>
      <c r="H12" s="1274"/>
      <c r="I12" s="175">
        <v>6</v>
      </c>
      <c r="J12" s="175">
        <v>5.8</v>
      </c>
      <c r="K12" s="176">
        <v>3.1</v>
      </c>
    </row>
    <row r="13" spans="1:70" x14ac:dyDescent="0.25">
      <c r="G13" s="1274" t="s">
        <v>121</v>
      </c>
      <c r="H13" s="1274"/>
      <c r="I13" s="175">
        <v>5.6</v>
      </c>
      <c r="J13" s="175">
        <v>4.3</v>
      </c>
      <c r="K13" s="176">
        <v>3.2</v>
      </c>
    </row>
  </sheetData>
  <mergeCells count="25">
    <mergeCell ref="A1:A3"/>
    <mergeCell ref="B1:B3"/>
    <mergeCell ref="C1:E2"/>
    <mergeCell ref="F1:H2"/>
    <mergeCell ref="I1:K2"/>
    <mergeCell ref="BQ2:BR2"/>
    <mergeCell ref="N11:R11"/>
    <mergeCell ref="AC1:AD1"/>
    <mergeCell ref="AE1:AL1"/>
    <mergeCell ref="AM1:AQ1"/>
    <mergeCell ref="AR1:AT1"/>
    <mergeCell ref="AU1:BC1"/>
    <mergeCell ref="BD1:BL1"/>
    <mergeCell ref="Z1:AB1"/>
    <mergeCell ref="N1:N2"/>
    <mergeCell ref="O1:Q1"/>
    <mergeCell ref="R1:U1"/>
    <mergeCell ref="V1:Y1"/>
    <mergeCell ref="G12:H12"/>
    <mergeCell ref="G13:H13"/>
    <mergeCell ref="G11:H11"/>
    <mergeCell ref="BM1:BN1"/>
    <mergeCell ref="BO1:BP1"/>
    <mergeCell ref="M1:M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6"/>
  <sheetViews>
    <sheetView topLeftCell="AY3" workbookViewId="0">
      <selection sqref="A1:BR6"/>
    </sheetView>
  </sheetViews>
  <sheetFormatPr defaultRowHeight="15" x14ac:dyDescent="0.25"/>
  <cols>
    <col min="18" max="18" width="9.140625" style="195"/>
    <col min="19" max="19" width="9.140625" style="201"/>
    <col min="20" max="20" width="9.140625" style="207"/>
    <col min="22" max="22" width="9.140625" style="195"/>
    <col min="23" max="23" width="9.140625" style="201"/>
    <col min="24" max="24" width="9.140625" style="207"/>
    <col min="26" max="26" width="9.140625" style="195"/>
    <col min="27" max="27" width="9.140625" style="201"/>
    <col min="28" max="28" width="9.140625" style="207"/>
    <col min="29" max="29" width="9.140625" style="201"/>
    <col min="39" max="39" width="9.140625" style="195"/>
    <col min="40" max="40" width="9.140625" style="201"/>
    <col min="41" max="41" width="9.140625" style="207"/>
    <col min="44" max="44" width="9.140625" style="195"/>
    <col min="47" max="47" width="9.140625" style="195"/>
    <col min="48" max="48" width="9.140625" style="201"/>
  </cols>
  <sheetData>
    <row r="1" spans="1:70" ht="16.5" thickBot="1" x14ac:dyDescent="0.3">
      <c r="A1" s="1240" t="s">
        <v>0</v>
      </c>
      <c r="B1" s="1242" t="s">
        <v>1</v>
      </c>
      <c r="C1" s="1245" t="s">
        <v>2</v>
      </c>
      <c r="D1" s="1246"/>
      <c r="E1" s="1247"/>
      <c r="F1" s="1245" t="s">
        <v>3</v>
      </c>
      <c r="G1" s="1246"/>
      <c r="H1" s="1247"/>
      <c r="I1" s="1245" t="s">
        <v>4</v>
      </c>
      <c r="J1" s="1246"/>
      <c r="K1" s="1247"/>
      <c r="L1" s="1254" t="s">
        <v>5</v>
      </c>
      <c r="M1" s="1254" t="s">
        <v>6</v>
      </c>
      <c r="N1" s="1254" t="s">
        <v>7</v>
      </c>
      <c r="O1" s="1256" t="s">
        <v>8</v>
      </c>
      <c r="P1" s="1257"/>
      <c r="Q1" s="1258"/>
      <c r="R1" s="1259" t="s">
        <v>9</v>
      </c>
      <c r="S1" s="1260"/>
      <c r="T1" s="1260"/>
      <c r="U1" s="1261"/>
      <c r="V1" s="1262" t="s">
        <v>10</v>
      </c>
      <c r="W1" s="1263"/>
      <c r="X1" s="1263"/>
      <c r="Y1" s="1264"/>
      <c r="Z1" s="1237" t="s">
        <v>11</v>
      </c>
      <c r="AA1" s="1238"/>
      <c r="AB1" s="1239"/>
      <c r="AC1" s="1223" t="s">
        <v>12</v>
      </c>
      <c r="AD1" s="1224"/>
      <c r="AE1" s="1225" t="s">
        <v>13</v>
      </c>
      <c r="AF1" s="1226"/>
      <c r="AG1" s="1226"/>
      <c r="AH1" s="1226"/>
      <c r="AI1" s="1226"/>
      <c r="AJ1" s="1226"/>
      <c r="AK1" s="1226"/>
      <c r="AL1" s="1227"/>
      <c r="AM1" s="1228" t="s">
        <v>99</v>
      </c>
      <c r="AN1" s="1229"/>
      <c r="AO1" s="1229"/>
      <c r="AP1" s="1229"/>
      <c r="AQ1" s="1230"/>
      <c r="AR1" s="1231" t="s">
        <v>100</v>
      </c>
      <c r="AS1" s="1232"/>
      <c r="AT1" s="1233"/>
      <c r="AU1" s="1231" t="s">
        <v>101</v>
      </c>
      <c r="AV1" s="1232"/>
      <c r="AW1" s="1232"/>
      <c r="AX1" s="1232"/>
      <c r="AY1" s="1232"/>
      <c r="AZ1" s="1232"/>
      <c r="BA1" s="1232"/>
      <c r="BB1" s="1232"/>
      <c r="BC1" s="1233"/>
      <c r="BD1" s="1234" t="s">
        <v>14</v>
      </c>
      <c r="BE1" s="1235"/>
      <c r="BF1" s="1235"/>
      <c r="BG1" s="1235"/>
      <c r="BH1" s="1235"/>
      <c r="BI1" s="1235"/>
      <c r="BJ1" s="1235"/>
      <c r="BK1" s="1235"/>
      <c r="BL1" s="1236"/>
      <c r="BM1" s="1219" t="s">
        <v>15</v>
      </c>
      <c r="BN1" s="1220"/>
      <c r="BO1" s="1221" t="s">
        <v>16</v>
      </c>
      <c r="BP1" s="1222"/>
    </row>
    <row r="2" spans="1:70" ht="225.75" thickBot="1" x14ac:dyDescent="0.3">
      <c r="A2" s="1269"/>
      <c r="B2" s="1243"/>
      <c r="C2" s="1248"/>
      <c r="D2" s="1249"/>
      <c r="E2" s="1250"/>
      <c r="F2" s="1251"/>
      <c r="G2" s="1252"/>
      <c r="H2" s="1253"/>
      <c r="I2" s="1251"/>
      <c r="J2" s="1252"/>
      <c r="K2" s="1253"/>
      <c r="L2" s="1255"/>
      <c r="M2" s="1255"/>
      <c r="N2" s="1255"/>
      <c r="O2" s="75" t="s">
        <v>17</v>
      </c>
      <c r="P2" s="75" t="s">
        <v>18</v>
      </c>
      <c r="Q2" s="75" t="s">
        <v>19</v>
      </c>
      <c r="R2" s="80" t="s">
        <v>20</v>
      </c>
      <c r="S2" s="198" t="s">
        <v>21</v>
      </c>
      <c r="T2" s="203" t="s">
        <v>22</v>
      </c>
      <c r="U2" s="76" t="s">
        <v>23</v>
      </c>
      <c r="V2" s="80" t="s">
        <v>24</v>
      </c>
      <c r="W2" s="198" t="s">
        <v>25</v>
      </c>
      <c r="X2" s="203" t="s">
        <v>26</v>
      </c>
      <c r="Y2" s="77" t="s">
        <v>27</v>
      </c>
      <c r="Z2" s="80" t="s">
        <v>28</v>
      </c>
      <c r="AA2" s="198" t="s">
        <v>29</v>
      </c>
      <c r="AB2" s="203" t="s">
        <v>30</v>
      </c>
      <c r="AC2" s="198" t="s">
        <v>31</v>
      </c>
      <c r="AD2" s="79" t="s">
        <v>32</v>
      </c>
      <c r="AE2" s="80" t="s">
        <v>33</v>
      </c>
      <c r="AF2" s="80" t="s">
        <v>34</v>
      </c>
      <c r="AG2" s="80" t="s">
        <v>35</v>
      </c>
      <c r="AH2" s="80" t="s">
        <v>36</v>
      </c>
      <c r="AI2" s="80" t="s">
        <v>37</v>
      </c>
      <c r="AJ2" s="80" t="s">
        <v>36</v>
      </c>
      <c r="AK2" s="80" t="s">
        <v>38</v>
      </c>
      <c r="AL2" s="80" t="s">
        <v>36</v>
      </c>
      <c r="AM2" s="80" t="s">
        <v>102</v>
      </c>
      <c r="AN2" s="198" t="s">
        <v>103</v>
      </c>
      <c r="AO2" s="203" t="s">
        <v>104</v>
      </c>
      <c r="AP2" s="81" t="s">
        <v>105</v>
      </c>
      <c r="AQ2" s="81" t="s">
        <v>106</v>
      </c>
      <c r="AR2" s="80" t="s">
        <v>107</v>
      </c>
      <c r="AS2" s="82" t="s">
        <v>108</v>
      </c>
      <c r="AT2" s="82" t="s">
        <v>109</v>
      </c>
      <c r="AU2" s="80" t="s">
        <v>110</v>
      </c>
      <c r="AV2" s="198" t="s">
        <v>111</v>
      </c>
      <c r="AW2" s="82" t="s">
        <v>112</v>
      </c>
      <c r="AX2" s="83" t="s">
        <v>113</v>
      </c>
      <c r="AY2" s="82" t="s">
        <v>114</v>
      </c>
      <c r="AZ2" s="82" t="s">
        <v>115</v>
      </c>
      <c r="BA2" s="84" t="s">
        <v>116</v>
      </c>
      <c r="BB2" s="82" t="s">
        <v>117</v>
      </c>
      <c r="BC2" s="82" t="s">
        <v>118</v>
      </c>
      <c r="BD2" s="85" t="s">
        <v>14</v>
      </c>
      <c r="BE2" s="85" t="s">
        <v>39</v>
      </c>
      <c r="BF2" s="85" t="s">
        <v>40</v>
      </c>
      <c r="BG2" s="85" t="s">
        <v>41</v>
      </c>
      <c r="BH2" s="85" t="s">
        <v>42</v>
      </c>
      <c r="BI2" s="85" t="s">
        <v>43</v>
      </c>
      <c r="BJ2" s="85" t="s">
        <v>44</v>
      </c>
      <c r="BK2" s="85" t="s">
        <v>45</v>
      </c>
      <c r="BL2" s="85" t="s">
        <v>46</v>
      </c>
      <c r="BM2" s="86" t="s">
        <v>47</v>
      </c>
      <c r="BN2" s="86" t="s">
        <v>48</v>
      </c>
      <c r="BO2" s="81" t="s">
        <v>49</v>
      </c>
      <c r="BP2" s="81" t="s">
        <v>50</v>
      </c>
      <c r="BQ2" s="1272" t="s">
        <v>130</v>
      </c>
      <c r="BR2" s="1273"/>
    </row>
    <row r="3" spans="1:70" ht="75.75" thickBot="1" x14ac:dyDescent="0.3">
      <c r="A3" s="1270"/>
      <c r="B3" s="1244"/>
      <c r="C3" s="12" t="s">
        <v>51</v>
      </c>
      <c r="D3" s="12" t="s">
        <v>52</v>
      </c>
      <c r="E3" s="12" t="s">
        <v>53</v>
      </c>
      <c r="F3" s="12" t="s">
        <v>51</v>
      </c>
      <c r="G3" s="12" t="s">
        <v>52</v>
      </c>
      <c r="H3" s="12" t="s">
        <v>53</v>
      </c>
      <c r="I3" s="12" t="s">
        <v>51</v>
      </c>
      <c r="J3" s="12" t="s">
        <v>52</v>
      </c>
      <c r="K3" s="12" t="s">
        <v>53</v>
      </c>
      <c r="L3" s="12" t="s">
        <v>54</v>
      </c>
      <c r="M3" s="12" t="s">
        <v>120</v>
      </c>
      <c r="N3" s="12" t="s">
        <v>56</v>
      </c>
      <c r="O3" s="12" t="s">
        <v>57</v>
      </c>
      <c r="P3" s="88" t="s">
        <v>57</v>
      </c>
      <c r="Q3" s="88" t="s">
        <v>57</v>
      </c>
      <c r="R3" s="80" t="s">
        <v>57</v>
      </c>
      <c r="S3" s="198" t="s">
        <v>57</v>
      </c>
      <c r="T3" s="203" t="s">
        <v>57</v>
      </c>
      <c r="U3" s="88" t="s">
        <v>57</v>
      </c>
      <c r="V3" s="80" t="s">
        <v>57</v>
      </c>
      <c r="W3" s="198" t="s">
        <v>57</v>
      </c>
      <c r="X3" s="203" t="s">
        <v>57</v>
      </c>
      <c r="Y3" s="88" t="s">
        <v>57</v>
      </c>
      <c r="Z3" s="80" t="s">
        <v>57</v>
      </c>
      <c r="AA3" s="198" t="s">
        <v>57</v>
      </c>
      <c r="AB3" s="203" t="s">
        <v>57</v>
      </c>
      <c r="AC3" s="198" t="s">
        <v>57</v>
      </c>
      <c r="AD3" s="88" t="s">
        <v>57</v>
      </c>
      <c r="AE3" s="12" t="s">
        <v>58</v>
      </c>
      <c r="AF3" s="88" t="s">
        <v>57</v>
      </c>
      <c r="AG3" s="12" t="s">
        <v>54</v>
      </c>
      <c r="AH3" s="88" t="s">
        <v>57</v>
      </c>
      <c r="AI3" s="12" t="s">
        <v>54</v>
      </c>
      <c r="AJ3" s="88" t="s">
        <v>57</v>
      </c>
      <c r="AK3" s="12" t="s">
        <v>54</v>
      </c>
      <c r="AL3" s="88" t="s">
        <v>57</v>
      </c>
      <c r="AM3" s="80" t="s">
        <v>62</v>
      </c>
      <c r="AN3" s="198" t="s">
        <v>62</v>
      </c>
      <c r="AO3" s="203" t="s">
        <v>62</v>
      </c>
      <c r="AP3" s="12" t="s">
        <v>54</v>
      </c>
      <c r="AQ3" s="88" t="s">
        <v>57</v>
      </c>
      <c r="AR3" s="80" t="s">
        <v>62</v>
      </c>
      <c r="AS3" s="12" t="s">
        <v>54</v>
      </c>
      <c r="AT3" s="88" t="s">
        <v>119</v>
      </c>
      <c r="AU3" s="80" t="s">
        <v>62</v>
      </c>
      <c r="AV3" s="198" t="s">
        <v>62</v>
      </c>
      <c r="AW3" s="88" t="s">
        <v>120</v>
      </c>
      <c r="AX3" s="88" t="s">
        <v>54</v>
      </c>
      <c r="AY3" s="88" t="s">
        <v>120</v>
      </c>
      <c r="AZ3" s="88" t="s">
        <v>54</v>
      </c>
      <c r="BA3" s="88" t="s">
        <v>120</v>
      </c>
      <c r="BB3" s="88" t="s">
        <v>120</v>
      </c>
      <c r="BC3" s="88" t="s">
        <v>120</v>
      </c>
      <c r="BD3" s="12" t="s">
        <v>54</v>
      </c>
      <c r="BE3" s="12" t="s">
        <v>59</v>
      </c>
      <c r="BF3" s="12" t="s">
        <v>60</v>
      </c>
      <c r="BG3" s="12" t="s">
        <v>61</v>
      </c>
      <c r="BH3" s="88" t="s">
        <v>62</v>
      </c>
      <c r="BI3" s="12" t="s">
        <v>57</v>
      </c>
      <c r="BJ3" s="88" t="s">
        <v>127</v>
      </c>
      <c r="BK3" s="12" t="s">
        <v>62</v>
      </c>
      <c r="BL3" s="88" t="s">
        <v>127</v>
      </c>
      <c r="BM3" s="88" t="s">
        <v>120</v>
      </c>
      <c r="BN3" s="88" t="s">
        <v>120</v>
      </c>
      <c r="BO3" s="88" t="s">
        <v>120</v>
      </c>
      <c r="BP3" s="88" t="s">
        <v>120</v>
      </c>
      <c r="BQ3" s="141" t="s">
        <v>131</v>
      </c>
      <c r="BR3" s="86" t="s">
        <v>132</v>
      </c>
    </row>
    <row r="4" spans="1:70" ht="15.75" x14ac:dyDescent="0.25">
      <c r="A4" s="144"/>
      <c r="B4" s="145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7"/>
      <c r="Q4" s="147"/>
      <c r="R4" s="194"/>
      <c r="S4" s="199"/>
      <c r="T4" s="204"/>
      <c r="U4" s="147"/>
      <c r="V4" s="194"/>
      <c r="W4" s="199"/>
      <c r="X4" s="204"/>
      <c r="Y4" s="147"/>
      <c r="Z4" s="194"/>
      <c r="AA4" s="199"/>
      <c r="AB4" s="204"/>
      <c r="AC4" s="199"/>
      <c r="AD4" s="147"/>
      <c r="AE4" s="146"/>
      <c r="AF4" s="147"/>
      <c r="AG4" s="146"/>
      <c r="AH4" s="147"/>
      <c r="AI4" s="146"/>
      <c r="AJ4" s="147"/>
      <c r="AK4" s="146"/>
      <c r="AL4" s="147"/>
      <c r="AM4" s="196"/>
      <c r="AN4" s="202"/>
      <c r="AO4" s="208"/>
      <c r="AP4" s="143"/>
      <c r="AQ4" s="142"/>
      <c r="AR4" s="196"/>
      <c r="AS4" s="143"/>
      <c r="AT4" s="142"/>
      <c r="AU4" s="196"/>
      <c r="AV4" s="202"/>
      <c r="AW4" s="142"/>
      <c r="AX4" s="142"/>
      <c r="AY4" s="142"/>
      <c r="AZ4" s="142"/>
      <c r="BA4" s="142"/>
      <c r="BB4" s="142"/>
      <c r="BC4" s="142"/>
      <c r="BD4" s="143"/>
      <c r="BE4" s="143"/>
      <c r="BF4" s="143"/>
      <c r="BG4" s="143"/>
      <c r="BH4" s="142"/>
      <c r="BI4" s="143"/>
      <c r="BJ4" s="142"/>
      <c r="BK4" s="143"/>
      <c r="BL4" s="142"/>
      <c r="BM4" s="142"/>
      <c r="BN4" s="142"/>
      <c r="BO4" s="142"/>
      <c r="BP4" s="142"/>
      <c r="BQ4" s="171" t="s">
        <v>54</v>
      </c>
      <c r="BR4" s="172" t="s">
        <v>54</v>
      </c>
    </row>
    <row r="5" spans="1:70" ht="31.5" x14ac:dyDescent="0.25">
      <c r="A5" s="50">
        <v>60</v>
      </c>
      <c r="B5" s="148" t="s">
        <v>64</v>
      </c>
      <c r="C5" s="156">
        <v>10</v>
      </c>
      <c r="D5" s="156">
        <v>10</v>
      </c>
      <c r="E5" s="157">
        <v>10</v>
      </c>
      <c r="F5" s="158">
        <v>10</v>
      </c>
      <c r="G5" s="158">
        <v>10</v>
      </c>
      <c r="H5" s="157">
        <v>10</v>
      </c>
      <c r="I5" s="158">
        <v>0</v>
      </c>
      <c r="J5" s="158">
        <v>0</v>
      </c>
      <c r="K5" s="157">
        <v>0</v>
      </c>
      <c r="L5" s="158">
        <v>0</v>
      </c>
      <c r="M5" s="158" t="s">
        <v>65</v>
      </c>
      <c r="N5" s="158">
        <v>0</v>
      </c>
      <c r="O5" s="177">
        <f>SUM(R5,V5,Z5,AM5,AR5,AU5)</f>
        <v>4.8260000000000005</v>
      </c>
      <c r="P5" s="179">
        <f>SUM(S5,W5,AA5,AC5,AN5,AV5)</f>
        <v>4.5078000000000005</v>
      </c>
      <c r="Q5" s="205">
        <f>SUM(T5,X5,AB5,AO5)</f>
        <v>3.8970000000000002</v>
      </c>
      <c r="R5" s="177">
        <v>2.5</v>
      </c>
      <c r="S5" s="179">
        <v>2.1</v>
      </c>
      <c r="T5" s="205">
        <v>2</v>
      </c>
      <c r="U5" s="160">
        <v>0</v>
      </c>
      <c r="V5" s="177">
        <v>2</v>
      </c>
      <c r="W5" s="179">
        <v>1.8</v>
      </c>
      <c r="X5" s="205">
        <v>1.7</v>
      </c>
      <c r="Y5" s="161">
        <v>0</v>
      </c>
      <c r="Z5" s="177">
        <v>0.11</v>
      </c>
      <c r="AA5" s="179">
        <v>4.9000000000000002E-2</v>
      </c>
      <c r="AB5" s="205">
        <v>4.7E-2</v>
      </c>
      <c r="AC5" s="179">
        <v>0.55000000000000004</v>
      </c>
      <c r="AD5" s="163">
        <v>0</v>
      </c>
      <c r="AE5" s="157">
        <v>0</v>
      </c>
      <c r="AF5" s="157">
        <v>0</v>
      </c>
      <c r="AG5" s="157">
        <v>2</v>
      </c>
      <c r="AH5" s="157">
        <v>6</v>
      </c>
      <c r="AI5" s="157">
        <v>0</v>
      </c>
      <c r="AJ5" s="157">
        <v>0</v>
      </c>
      <c r="AK5" s="157">
        <v>0</v>
      </c>
      <c r="AL5" s="157">
        <v>0</v>
      </c>
      <c r="AM5" s="177">
        <v>0.16</v>
      </c>
      <c r="AN5" s="179">
        <v>0</v>
      </c>
      <c r="AO5" s="205">
        <v>0.15</v>
      </c>
      <c r="AP5" s="164">
        <v>0</v>
      </c>
      <c r="AQ5" s="192">
        <v>0</v>
      </c>
      <c r="AR5" s="177">
        <v>0.04</v>
      </c>
      <c r="AS5" s="165">
        <v>3</v>
      </c>
      <c r="AT5" s="165"/>
      <c r="AU5" s="197">
        <v>1.6E-2</v>
      </c>
      <c r="AV5" s="179">
        <v>8.8000000000000005E-3</v>
      </c>
      <c r="AW5" s="165" t="s">
        <v>122</v>
      </c>
      <c r="AX5" s="165">
        <v>0</v>
      </c>
      <c r="AY5" s="165" t="s">
        <v>122</v>
      </c>
      <c r="AZ5" s="165" t="s">
        <v>123</v>
      </c>
      <c r="BA5" s="165" t="s">
        <v>122</v>
      </c>
      <c r="BB5" s="165" t="s">
        <v>122</v>
      </c>
      <c r="BC5" s="165" t="s">
        <v>122</v>
      </c>
      <c r="BD5" s="167">
        <v>1</v>
      </c>
      <c r="BE5" s="167">
        <v>1337</v>
      </c>
      <c r="BF5" s="167">
        <v>1.4</v>
      </c>
      <c r="BG5" s="167" t="s">
        <v>66</v>
      </c>
      <c r="BH5" s="167">
        <v>1215</v>
      </c>
      <c r="BI5" s="167">
        <v>0</v>
      </c>
      <c r="BJ5" s="167" t="s">
        <v>65</v>
      </c>
      <c r="BK5" s="167">
        <v>0</v>
      </c>
      <c r="BL5" s="167" t="s">
        <v>65</v>
      </c>
      <c r="BM5" s="168" t="s">
        <v>67</v>
      </c>
      <c r="BN5" s="168" t="s">
        <v>67</v>
      </c>
      <c r="BO5" s="169" t="s">
        <v>67</v>
      </c>
      <c r="BP5" s="112" t="s">
        <v>67</v>
      </c>
      <c r="BQ5" s="170">
        <v>0</v>
      </c>
      <c r="BR5" s="170">
        <v>0</v>
      </c>
    </row>
    <row r="6" spans="1:70" ht="31.5" x14ac:dyDescent="0.25">
      <c r="A6" s="50">
        <v>50</v>
      </c>
      <c r="B6" s="193" t="s">
        <v>121</v>
      </c>
      <c r="C6" s="154">
        <v>8</v>
      </c>
      <c r="D6" s="154">
        <v>8</v>
      </c>
      <c r="E6" s="52">
        <v>8</v>
      </c>
      <c r="F6" s="155">
        <v>8</v>
      </c>
      <c r="G6" s="155">
        <v>8</v>
      </c>
      <c r="H6" s="52">
        <v>8</v>
      </c>
      <c r="I6" s="155">
        <v>0</v>
      </c>
      <c r="J6" s="155">
        <v>0</v>
      </c>
      <c r="K6" s="52">
        <v>0</v>
      </c>
      <c r="L6" s="155">
        <v>0</v>
      </c>
      <c r="M6" s="53" t="s">
        <v>65</v>
      </c>
      <c r="N6" s="155">
        <v>0</v>
      </c>
      <c r="O6" s="178">
        <f>SUM(R6,V6,Z6,AM6,AR6,AU6)</f>
        <v>4.5329999999999995</v>
      </c>
      <c r="P6" s="200">
        <f>SUM(S6,W6,AA6,AC6,AN6,AV6)</f>
        <v>3.8889999999999998</v>
      </c>
      <c r="Q6" s="206">
        <f>SUM(T6,X6,AB6,AO6)</f>
        <v>3.1179999999999999</v>
      </c>
      <c r="R6" s="178">
        <v>2.4</v>
      </c>
      <c r="S6" s="200">
        <v>1.9</v>
      </c>
      <c r="T6" s="206">
        <v>1.7</v>
      </c>
      <c r="U6" s="150">
        <v>0</v>
      </c>
      <c r="V6" s="178">
        <v>1.9</v>
      </c>
      <c r="W6" s="200">
        <v>1.5</v>
      </c>
      <c r="X6" s="206">
        <v>1.3</v>
      </c>
      <c r="Y6" s="151">
        <v>0</v>
      </c>
      <c r="Z6" s="178">
        <v>0.06</v>
      </c>
      <c r="AA6" s="200">
        <v>0.04</v>
      </c>
      <c r="AB6" s="206">
        <v>0.03</v>
      </c>
      <c r="AC6" s="200">
        <v>0.44</v>
      </c>
      <c r="AD6" s="153">
        <v>0</v>
      </c>
      <c r="AE6" s="52">
        <v>0</v>
      </c>
      <c r="AF6" s="52">
        <v>0</v>
      </c>
      <c r="AG6" s="52">
        <v>1</v>
      </c>
      <c r="AH6" s="52">
        <v>1.6</v>
      </c>
      <c r="AI6" s="52">
        <v>0</v>
      </c>
      <c r="AJ6" s="52">
        <v>0</v>
      </c>
      <c r="AK6" s="52">
        <v>0</v>
      </c>
      <c r="AL6" s="52">
        <v>0</v>
      </c>
      <c r="AM6" s="178">
        <v>0.13</v>
      </c>
      <c r="AN6" s="200">
        <v>0</v>
      </c>
      <c r="AO6" s="206">
        <v>8.7999999999999995E-2</v>
      </c>
      <c r="AP6" s="108">
        <v>0</v>
      </c>
      <c r="AQ6" s="108">
        <v>0</v>
      </c>
      <c r="AR6" s="178">
        <v>0.03</v>
      </c>
      <c r="AS6" s="109">
        <v>1</v>
      </c>
      <c r="AT6" s="109"/>
      <c r="AU6" s="178">
        <v>1.2999999999999999E-2</v>
      </c>
      <c r="AV6" s="200">
        <v>8.9999999999999993E-3</v>
      </c>
      <c r="AW6" s="109" t="s">
        <v>122</v>
      </c>
      <c r="AX6" s="109">
        <v>0</v>
      </c>
      <c r="AY6" s="109" t="s">
        <v>122</v>
      </c>
      <c r="AZ6" s="109" t="s">
        <v>123</v>
      </c>
      <c r="BA6" s="109" t="s">
        <v>122</v>
      </c>
      <c r="BB6" s="109" t="s">
        <v>122</v>
      </c>
      <c r="BC6" s="109" t="s">
        <v>122</v>
      </c>
      <c r="BD6" s="63">
        <v>1</v>
      </c>
      <c r="BE6" s="110">
        <v>15617.8</v>
      </c>
      <c r="BF6" s="113">
        <v>1.6</v>
      </c>
      <c r="BG6" s="110" t="s">
        <v>72</v>
      </c>
      <c r="BH6" s="110">
        <v>725</v>
      </c>
      <c r="BI6" s="63">
        <v>0</v>
      </c>
      <c r="BJ6" s="63" t="s">
        <v>65</v>
      </c>
      <c r="BK6" s="63">
        <v>0</v>
      </c>
      <c r="BL6" s="63" t="s">
        <v>65</v>
      </c>
      <c r="BM6" s="111" t="s">
        <v>67</v>
      </c>
      <c r="BN6" s="111" t="s">
        <v>67</v>
      </c>
      <c r="BO6" s="65" t="s">
        <v>65</v>
      </c>
      <c r="BP6" s="65" t="s">
        <v>65</v>
      </c>
      <c r="BQ6" s="170">
        <v>0</v>
      </c>
      <c r="BR6" s="170">
        <v>0</v>
      </c>
    </row>
  </sheetData>
  <mergeCells count="21">
    <mergeCell ref="BM1:BN1"/>
    <mergeCell ref="BO1:BP1"/>
    <mergeCell ref="BQ2:BR2"/>
    <mergeCell ref="AC1:AD1"/>
    <mergeCell ref="AE1:AL1"/>
    <mergeCell ref="AM1:AQ1"/>
    <mergeCell ref="AR1:AT1"/>
    <mergeCell ref="AU1:BC1"/>
    <mergeCell ref="BD1:BL1"/>
    <mergeCell ref="Z1:AB1"/>
    <mergeCell ref="A1:A3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2"/>
  <sheetViews>
    <sheetView topLeftCell="A4" workbookViewId="0">
      <selection activeCell="L21" sqref="L21"/>
    </sheetView>
  </sheetViews>
  <sheetFormatPr defaultRowHeight="15" x14ac:dyDescent="0.25"/>
  <cols>
    <col min="2" max="2" width="18.5703125" customWidth="1"/>
  </cols>
  <sheetData>
    <row r="1" spans="1:70" ht="15.75" x14ac:dyDescent="0.25">
      <c r="A1" s="1265" t="s">
        <v>0</v>
      </c>
      <c r="B1" s="1266" t="s">
        <v>1</v>
      </c>
      <c r="C1" s="1207" t="s">
        <v>2</v>
      </c>
      <c r="D1" s="1207"/>
      <c r="E1" s="1207"/>
      <c r="F1" s="1207" t="s">
        <v>3</v>
      </c>
      <c r="G1" s="1207"/>
      <c r="H1" s="1207"/>
      <c r="I1" s="1207" t="s">
        <v>4</v>
      </c>
      <c r="J1" s="1207"/>
      <c r="K1" s="1207"/>
      <c r="L1" s="1207" t="s">
        <v>5</v>
      </c>
      <c r="M1" s="1207" t="s">
        <v>6</v>
      </c>
      <c r="N1" s="1207" t="s">
        <v>7</v>
      </c>
      <c r="O1" s="1213" t="s">
        <v>8</v>
      </c>
      <c r="P1" s="1213"/>
      <c r="Q1" s="1213"/>
      <c r="R1" s="1214" t="s">
        <v>9</v>
      </c>
      <c r="S1" s="1214"/>
      <c r="T1" s="1214"/>
      <c r="U1" s="1214"/>
      <c r="V1" s="1215" t="s">
        <v>10</v>
      </c>
      <c r="W1" s="1215"/>
      <c r="X1" s="1215"/>
      <c r="Y1" s="1215"/>
      <c r="Z1" s="1206" t="s">
        <v>11</v>
      </c>
      <c r="AA1" s="1206"/>
      <c r="AB1" s="1206"/>
      <c r="AC1" s="1210" t="s">
        <v>12</v>
      </c>
      <c r="AD1" s="1210"/>
      <c r="AE1" s="1277" t="s">
        <v>13</v>
      </c>
      <c r="AF1" s="1277"/>
      <c r="AG1" s="1277"/>
      <c r="AH1" s="1277"/>
      <c r="AI1" s="1277"/>
      <c r="AJ1" s="1277"/>
      <c r="AK1" s="1277"/>
      <c r="AL1" s="1277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212" t="s">
        <v>14</v>
      </c>
      <c r="BE1" s="1212"/>
      <c r="BF1" s="1212"/>
      <c r="BG1" s="1212"/>
      <c r="BH1" s="1212"/>
      <c r="BI1" s="1212"/>
      <c r="BJ1" s="1212"/>
      <c r="BK1" s="1212"/>
      <c r="BL1" s="1212"/>
      <c r="BM1" s="1208" t="s">
        <v>15</v>
      </c>
      <c r="BN1" s="1208"/>
      <c r="BO1" s="1209" t="s">
        <v>16</v>
      </c>
      <c r="BP1" s="1209"/>
      <c r="BQ1" s="170"/>
      <c r="BR1" s="170"/>
    </row>
    <row r="2" spans="1:70" ht="225" x14ac:dyDescent="0.25">
      <c r="A2" s="1265"/>
      <c r="B2" s="1266"/>
      <c r="C2" s="1207"/>
      <c r="D2" s="1207"/>
      <c r="E2" s="1207"/>
      <c r="F2" s="1207"/>
      <c r="G2" s="1207"/>
      <c r="H2" s="1207"/>
      <c r="I2" s="1207"/>
      <c r="J2" s="1207"/>
      <c r="K2" s="1207"/>
      <c r="L2" s="1207"/>
      <c r="M2" s="1207"/>
      <c r="N2" s="1207"/>
      <c r="O2" s="37" t="s">
        <v>17</v>
      </c>
      <c r="P2" s="37" t="s">
        <v>18</v>
      </c>
      <c r="Q2" s="37" t="s">
        <v>19</v>
      </c>
      <c r="R2" s="42" t="s">
        <v>20</v>
      </c>
      <c r="S2" s="217" t="s">
        <v>21</v>
      </c>
      <c r="T2" s="218" t="s">
        <v>22</v>
      </c>
      <c r="U2" s="213" t="s">
        <v>23</v>
      </c>
      <c r="V2" s="42" t="s">
        <v>24</v>
      </c>
      <c r="W2" s="217" t="s">
        <v>25</v>
      </c>
      <c r="X2" s="218" t="s">
        <v>26</v>
      </c>
      <c r="Y2" s="214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1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210" t="s">
        <v>105</v>
      </c>
      <c r="AQ2" s="210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212" t="s">
        <v>14</v>
      </c>
      <c r="BE2" s="212" t="s">
        <v>39</v>
      </c>
      <c r="BF2" s="212" t="s">
        <v>40</v>
      </c>
      <c r="BG2" s="212" t="s">
        <v>41</v>
      </c>
      <c r="BH2" s="212" t="s">
        <v>42</v>
      </c>
      <c r="BI2" s="212" t="s">
        <v>43</v>
      </c>
      <c r="BJ2" s="212" t="s">
        <v>44</v>
      </c>
      <c r="BK2" s="212" t="s">
        <v>45</v>
      </c>
      <c r="BL2" s="212" t="s">
        <v>46</v>
      </c>
      <c r="BM2" s="209" t="s">
        <v>47</v>
      </c>
      <c r="BN2" s="209" t="s">
        <v>48</v>
      </c>
      <c r="BO2" s="210" t="s">
        <v>49</v>
      </c>
      <c r="BP2" s="210" t="s">
        <v>50</v>
      </c>
      <c r="BQ2" s="1208" t="s">
        <v>130</v>
      </c>
      <c r="BR2" s="1276"/>
    </row>
    <row r="3" spans="1:70" ht="75" x14ac:dyDescent="0.25">
      <c r="A3" s="1265"/>
      <c r="B3" s="1266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9" t="s">
        <v>57</v>
      </c>
      <c r="P3" s="107" t="s">
        <v>57</v>
      </c>
      <c r="Q3" s="107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107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29" t="s">
        <v>59</v>
      </c>
      <c r="BF3" s="29" t="s">
        <v>60</v>
      </c>
      <c r="BG3" s="29" t="s">
        <v>61</v>
      </c>
      <c r="BH3" s="107" t="s">
        <v>62</v>
      </c>
      <c r="BI3" s="29" t="s">
        <v>57</v>
      </c>
      <c r="BJ3" s="107" t="s">
        <v>127</v>
      </c>
      <c r="BK3" s="29" t="s">
        <v>62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209" t="s">
        <v>131</v>
      </c>
      <c r="BR3" s="209" t="s">
        <v>132</v>
      </c>
    </row>
    <row r="4" spans="1:70" ht="15.75" x14ac:dyDescent="0.25">
      <c r="A4" s="215"/>
      <c r="B4" s="216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107"/>
      <c r="Q4" s="107"/>
      <c r="R4" s="42"/>
      <c r="S4" s="217"/>
      <c r="T4" s="218"/>
      <c r="U4" s="107"/>
      <c r="V4" s="42"/>
      <c r="W4" s="217"/>
      <c r="X4" s="218"/>
      <c r="Y4" s="107"/>
      <c r="Z4" s="42"/>
      <c r="AA4" s="217"/>
      <c r="AB4" s="218"/>
      <c r="AC4" s="217"/>
      <c r="AD4" s="107"/>
      <c r="AE4" s="29"/>
      <c r="AF4" s="107"/>
      <c r="AG4" s="29"/>
      <c r="AH4" s="107"/>
      <c r="AI4" s="29"/>
      <c r="AJ4" s="107"/>
      <c r="AK4" s="29"/>
      <c r="AL4" s="107"/>
      <c r="AM4" s="42"/>
      <c r="AN4" s="217"/>
      <c r="AO4" s="218"/>
      <c r="AP4" s="29"/>
      <c r="AQ4" s="107"/>
      <c r="AR4" s="42"/>
      <c r="AS4" s="29"/>
      <c r="AT4" s="107"/>
      <c r="AU4" s="42"/>
      <c r="AV4" s="217"/>
      <c r="AW4" s="107"/>
      <c r="AX4" s="107"/>
      <c r="AY4" s="107"/>
      <c r="AZ4" s="107"/>
      <c r="BA4" s="107"/>
      <c r="BB4" s="107"/>
      <c r="BC4" s="107"/>
      <c r="BD4" s="29"/>
      <c r="BE4" s="29"/>
      <c r="BF4" s="29"/>
      <c r="BG4" s="29"/>
      <c r="BH4" s="107"/>
      <c r="BI4" s="29"/>
      <c r="BJ4" s="107"/>
      <c r="BK4" s="29"/>
      <c r="BL4" s="107"/>
      <c r="BM4" s="107"/>
      <c r="BN4" s="107"/>
      <c r="BO4" s="107"/>
      <c r="BP4" s="107"/>
      <c r="BQ4" s="107" t="s">
        <v>54</v>
      </c>
      <c r="BR4" s="107" t="s">
        <v>54</v>
      </c>
    </row>
    <row r="5" spans="1:70" ht="32.25" customHeight="1" x14ac:dyDescent="0.25">
      <c r="A5" s="50">
        <v>60</v>
      </c>
      <c r="B5" s="148" t="s">
        <v>64</v>
      </c>
      <c r="C5" s="219">
        <v>5</v>
      </c>
      <c r="D5" s="219">
        <v>5</v>
      </c>
      <c r="E5" s="52">
        <v>10</v>
      </c>
      <c r="F5" s="53">
        <v>10</v>
      </c>
      <c r="G5" s="53">
        <v>10</v>
      </c>
      <c r="H5" s="52">
        <v>10</v>
      </c>
      <c r="I5" s="53">
        <v>0</v>
      </c>
      <c r="J5" s="53">
        <v>0</v>
      </c>
      <c r="K5" s="52">
        <v>0</v>
      </c>
      <c r="L5" s="53">
        <v>0</v>
      </c>
      <c r="M5" s="53" t="s">
        <v>65</v>
      </c>
      <c r="N5" s="53">
        <v>0</v>
      </c>
      <c r="O5" s="178">
        <f>SUM(R5,V5,Z5,AM5,AR5,AU5)</f>
        <v>4.8270000000000008</v>
      </c>
      <c r="P5" s="200">
        <f>SUM(S5,W5,AA5,AC5,AN5,AV5)</f>
        <v>4.5188999999999995</v>
      </c>
      <c r="Q5" s="206">
        <f>SUM(T5,X5,AB5,AO5)</f>
        <v>4.0490000000000004</v>
      </c>
      <c r="R5" s="178">
        <v>2.5</v>
      </c>
      <c r="S5" s="200">
        <v>2.1</v>
      </c>
      <c r="T5" s="206">
        <v>2</v>
      </c>
      <c r="U5" s="150">
        <v>0</v>
      </c>
      <c r="V5" s="178">
        <v>2</v>
      </c>
      <c r="W5" s="200">
        <v>1.8</v>
      </c>
      <c r="X5" s="206">
        <v>1.7</v>
      </c>
      <c r="Y5" s="151">
        <v>0</v>
      </c>
      <c r="Z5" s="178">
        <v>0.11</v>
      </c>
      <c r="AA5" s="200">
        <v>0.05</v>
      </c>
      <c r="AB5" s="206">
        <v>4.9000000000000002E-2</v>
      </c>
      <c r="AC5" s="200">
        <v>0.56000000000000005</v>
      </c>
      <c r="AD5" s="153">
        <v>0</v>
      </c>
      <c r="AE5" s="52">
        <v>0</v>
      </c>
      <c r="AF5" s="52">
        <v>0</v>
      </c>
      <c r="AG5" s="52">
        <v>2</v>
      </c>
      <c r="AH5" s="52">
        <v>6</v>
      </c>
      <c r="AI5" s="52">
        <v>0</v>
      </c>
      <c r="AJ5" s="52">
        <v>0</v>
      </c>
      <c r="AK5" s="52">
        <v>0</v>
      </c>
      <c r="AL5" s="52">
        <v>0</v>
      </c>
      <c r="AM5" s="178">
        <v>0.15</v>
      </c>
      <c r="AN5" s="200">
        <v>0</v>
      </c>
      <c r="AO5" s="206">
        <v>0.3</v>
      </c>
      <c r="AP5" s="108">
        <v>0</v>
      </c>
      <c r="AQ5" s="220">
        <v>0</v>
      </c>
      <c r="AR5" s="178">
        <v>0.05</v>
      </c>
      <c r="AS5" s="109">
        <v>3</v>
      </c>
      <c r="AT5" s="109"/>
      <c r="AU5" s="221">
        <v>1.7000000000000001E-2</v>
      </c>
      <c r="AV5" s="200">
        <v>8.8999999999999999E-3</v>
      </c>
      <c r="AW5" s="109" t="s">
        <v>122</v>
      </c>
      <c r="AX5" s="109">
        <v>0</v>
      </c>
      <c r="AY5" s="109" t="s">
        <v>122</v>
      </c>
      <c r="AZ5" s="109" t="s">
        <v>123</v>
      </c>
      <c r="BA5" s="109" t="s">
        <v>122</v>
      </c>
      <c r="BB5" s="109" t="s">
        <v>122</v>
      </c>
      <c r="BC5" s="109" t="s">
        <v>122</v>
      </c>
      <c r="BD5" s="110">
        <v>1</v>
      </c>
      <c r="BE5" s="110">
        <v>1337</v>
      </c>
      <c r="BF5" s="110">
        <v>1.4</v>
      </c>
      <c r="BG5" s="110" t="s">
        <v>66</v>
      </c>
      <c r="BH5" s="110">
        <v>1215</v>
      </c>
      <c r="BI5" s="110">
        <v>0</v>
      </c>
      <c r="BJ5" s="110" t="s">
        <v>65</v>
      </c>
      <c r="BK5" s="110">
        <v>0</v>
      </c>
      <c r="BL5" s="110" t="s">
        <v>65</v>
      </c>
      <c r="BM5" s="111" t="s">
        <v>67</v>
      </c>
      <c r="BN5" s="111" t="s">
        <v>67</v>
      </c>
      <c r="BO5" s="112" t="s">
        <v>67</v>
      </c>
      <c r="BP5" s="112" t="s">
        <v>67</v>
      </c>
      <c r="BQ5" s="170">
        <v>0</v>
      </c>
      <c r="BR5" s="170">
        <v>0</v>
      </c>
    </row>
    <row r="6" spans="1:70" ht="32.25" customHeight="1" x14ac:dyDescent="0.25">
      <c r="A6" s="50">
        <v>50</v>
      </c>
      <c r="B6" s="216" t="s">
        <v>121</v>
      </c>
      <c r="C6" s="154">
        <v>4</v>
      </c>
      <c r="D6" s="154">
        <v>4</v>
      </c>
      <c r="E6" s="52">
        <v>8</v>
      </c>
      <c r="F6" s="155">
        <v>8</v>
      </c>
      <c r="G6" s="155">
        <v>8</v>
      </c>
      <c r="H6" s="52">
        <v>8</v>
      </c>
      <c r="I6" s="155">
        <v>0</v>
      </c>
      <c r="J6" s="155">
        <v>0</v>
      </c>
      <c r="K6" s="52">
        <v>0</v>
      </c>
      <c r="L6" s="155">
        <v>0</v>
      </c>
      <c r="M6" s="53" t="s">
        <v>65</v>
      </c>
      <c r="N6" s="155">
        <v>0</v>
      </c>
      <c r="O6" s="178">
        <f>SUM(R6,V6,Z6,AM6,AR6,AU6)</f>
        <v>4.524</v>
      </c>
      <c r="P6" s="200">
        <f>SUM(S6,W6,AA6,AC6,AN6,AV6)</f>
        <v>3.8389999999999995</v>
      </c>
      <c r="Q6" s="206">
        <f>SUM(T6,X6,AB6,AO6)</f>
        <v>3.51</v>
      </c>
      <c r="R6" s="178">
        <v>2.4</v>
      </c>
      <c r="S6" s="200">
        <v>1.9</v>
      </c>
      <c r="T6" s="206">
        <v>1.8</v>
      </c>
      <c r="U6" s="150">
        <v>0</v>
      </c>
      <c r="V6" s="178">
        <v>1.9</v>
      </c>
      <c r="W6" s="200">
        <v>1.5</v>
      </c>
      <c r="X6" s="206">
        <v>1.4</v>
      </c>
      <c r="Y6" s="151">
        <v>0</v>
      </c>
      <c r="Z6" s="178">
        <v>0.06</v>
      </c>
      <c r="AA6" s="200">
        <v>0.03</v>
      </c>
      <c r="AB6" s="206">
        <v>0.01</v>
      </c>
      <c r="AC6" s="200">
        <v>0.4</v>
      </c>
      <c r="AD6" s="153">
        <v>0</v>
      </c>
      <c r="AE6" s="52">
        <v>0</v>
      </c>
      <c r="AF6" s="52">
        <v>0</v>
      </c>
      <c r="AG6" s="52">
        <v>1</v>
      </c>
      <c r="AH6" s="52">
        <v>1.6</v>
      </c>
      <c r="AI6" s="52">
        <v>0</v>
      </c>
      <c r="AJ6" s="52">
        <v>0</v>
      </c>
      <c r="AK6" s="52">
        <v>0</v>
      </c>
      <c r="AL6" s="52">
        <v>0</v>
      </c>
      <c r="AM6" s="178">
        <v>0.12</v>
      </c>
      <c r="AN6" s="200">
        <v>0</v>
      </c>
      <c r="AO6" s="206">
        <v>0.3</v>
      </c>
      <c r="AP6" s="108">
        <v>0</v>
      </c>
      <c r="AQ6" s="108">
        <v>0</v>
      </c>
      <c r="AR6" s="178">
        <v>0.03</v>
      </c>
      <c r="AS6" s="109">
        <v>1</v>
      </c>
      <c r="AT6" s="109"/>
      <c r="AU6" s="178">
        <v>1.4E-2</v>
      </c>
      <c r="AV6" s="200">
        <v>8.9999999999999993E-3</v>
      </c>
      <c r="AW6" s="109" t="s">
        <v>122</v>
      </c>
      <c r="AX6" s="109">
        <v>0</v>
      </c>
      <c r="AY6" s="109" t="s">
        <v>122</v>
      </c>
      <c r="AZ6" s="109" t="s">
        <v>123</v>
      </c>
      <c r="BA6" s="109" t="s">
        <v>122</v>
      </c>
      <c r="BB6" s="109" t="s">
        <v>122</v>
      </c>
      <c r="BC6" s="109" t="s">
        <v>122</v>
      </c>
      <c r="BD6" s="63">
        <v>1</v>
      </c>
      <c r="BE6" s="110">
        <v>15617.8</v>
      </c>
      <c r="BF6" s="113">
        <v>1.6</v>
      </c>
      <c r="BG6" s="110" t="s">
        <v>72</v>
      </c>
      <c r="BH6" s="110">
        <v>725</v>
      </c>
      <c r="BI6" s="63">
        <v>0</v>
      </c>
      <c r="BJ6" s="63" t="s">
        <v>65</v>
      </c>
      <c r="BK6" s="63">
        <v>0</v>
      </c>
      <c r="BL6" s="63" t="s">
        <v>65</v>
      </c>
      <c r="BM6" s="111" t="s">
        <v>67</v>
      </c>
      <c r="BN6" s="111" t="s">
        <v>67</v>
      </c>
      <c r="BO6" s="65" t="s">
        <v>65</v>
      </c>
      <c r="BP6" s="65" t="s">
        <v>65</v>
      </c>
      <c r="BQ6" s="170">
        <v>0</v>
      </c>
      <c r="BR6" s="170">
        <v>0</v>
      </c>
    </row>
    <row r="7" spans="1:70" x14ac:dyDescent="0.25">
      <c r="Z7">
        <f>0.11*30</f>
        <v>3.3</v>
      </c>
    </row>
    <row r="12" spans="1:70" x14ac:dyDescent="0.25">
      <c r="I12" s="1271"/>
      <c r="J12" s="1271"/>
      <c r="AC12" s="195"/>
    </row>
    <row r="13" spans="1:70" x14ac:dyDescent="0.25">
      <c r="I13" s="1271"/>
      <c r="J13" s="1271"/>
      <c r="AC13" s="195"/>
    </row>
    <row r="14" spans="1:70" x14ac:dyDescent="0.25">
      <c r="I14" s="1271"/>
      <c r="J14" s="1271"/>
      <c r="AC14" s="195"/>
    </row>
    <row r="15" spans="1:70" x14ac:dyDescent="0.25">
      <c r="AC15" s="195"/>
    </row>
    <row r="16" spans="1:70" x14ac:dyDescent="0.25">
      <c r="AC16" s="195"/>
    </row>
    <row r="17" spans="1:70" x14ac:dyDescent="0.25">
      <c r="AC17" s="195"/>
    </row>
    <row r="21" spans="1:70" x14ac:dyDescent="0.25">
      <c r="S21" s="178"/>
      <c r="T21" s="200"/>
      <c r="U21" s="206"/>
      <c r="V21" s="150"/>
      <c r="W21" s="178"/>
      <c r="X21" s="200"/>
      <c r="Y21" s="206"/>
      <c r="Z21" s="151"/>
      <c r="AA21" s="178"/>
      <c r="AB21" s="200"/>
      <c r="AC21" s="206"/>
      <c r="AD21" s="200"/>
      <c r="AE21" s="153"/>
      <c r="AF21" s="52"/>
      <c r="AG21" s="52"/>
      <c r="AH21" s="52"/>
      <c r="AI21" s="52"/>
      <c r="AJ21" s="52"/>
      <c r="AK21" s="52"/>
      <c r="AL21" s="52"/>
      <c r="AM21" s="52"/>
      <c r="AN21" s="178"/>
      <c r="AO21" s="200"/>
      <c r="AP21" s="206"/>
      <c r="AQ21" s="108"/>
      <c r="AR21" s="220"/>
      <c r="AS21" s="178"/>
      <c r="AT21" s="109"/>
      <c r="AU21" s="109"/>
      <c r="AV21" s="221"/>
      <c r="AW21" s="200"/>
      <c r="AX21" s="109"/>
      <c r="AY21" s="109"/>
      <c r="AZ21" s="109"/>
      <c r="BA21" s="109"/>
      <c r="BB21" s="109"/>
      <c r="BC21" s="109"/>
      <c r="BD21" s="109"/>
      <c r="BE21" s="110"/>
      <c r="BF21" s="110"/>
      <c r="BG21" s="110"/>
      <c r="BH21" s="110"/>
      <c r="BI21" s="110"/>
      <c r="BJ21" s="110"/>
      <c r="BK21" s="110"/>
      <c r="BL21" s="110"/>
      <c r="BM21" s="110"/>
      <c r="BN21" s="111"/>
      <c r="BO21" s="111"/>
      <c r="BP21" s="112"/>
      <c r="BQ21" s="112"/>
    </row>
    <row r="28" spans="1:70" ht="32.25" customHeight="1" x14ac:dyDescent="0.25">
      <c r="A28" s="50">
        <v>60</v>
      </c>
      <c r="B28" s="148" t="s">
        <v>64</v>
      </c>
      <c r="C28" s="219">
        <v>5</v>
      </c>
      <c r="D28" s="219">
        <v>5</v>
      </c>
      <c r="E28" s="52">
        <v>10</v>
      </c>
      <c r="F28" s="53">
        <v>10</v>
      </c>
      <c r="G28" s="53">
        <v>10</v>
      </c>
      <c r="H28" s="52">
        <v>10</v>
      </c>
      <c r="I28" s="53">
        <v>0</v>
      </c>
      <c r="J28" s="53">
        <v>0</v>
      </c>
      <c r="K28" s="52">
        <v>0</v>
      </c>
      <c r="L28" s="53">
        <v>0</v>
      </c>
      <c r="M28" s="53"/>
      <c r="N28" s="53"/>
      <c r="O28" s="178"/>
      <c r="P28" s="200"/>
      <c r="Q28" s="206"/>
      <c r="R28" s="178"/>
      <c r="S28" s="200"/>
      <c r="T28" s="206"/>
      <c r="U28" s="150"/>
      <c r="V28" s="178"/>
      <c r="W28" s="200"/>
      <c r="X28" s="206"/>
      <c r="Y28" s="151"/>
      <c r="Z28" s="178"/>
      <c r="AA28" s="200"/>
      <c r="AB28" s="206"/>
      <c r="AC28" s="200"/>
      <c r="AD28" s="153"/>
      <c r="AE28" s="52"/>
      <c r="AF28" s="52"/>
      <c r="AG28" s="52"/>
      <c r="AH28" s="52"/>
      <c r="AI28" s="52"/>
      <c r="AJ28" s="52"/>
      <c r="AK28" s="52"/>
      <c r="AL28" s="52"/>
      <c r="AM28" s="178"/>
      <c r="AN28" s="200"/>
      <c r="AO28" s="206"/>
      <c r="AP28" s="108"/>
      <c r="AQ28" s="220"/>
      <c r="AR28" s="178"/>
      <c r="AS28" s="109"/>
      <c r="AT28" s="109"/>
      <c r="AU28" s="221"/>
      <c r="AV28" s="200"/>
      <c r="AW28" s="109"/>
      <c r="AX28" s="109"/>
      <c r="AY28" s="109"/>
      <c r="AZ28" s="109"/>
      <c r="BA28" s="109"/>
      <c r="BB28" s="109"/>
      <c r="BC28" s="109"/>
      <c r="BD28" s="110"/>
      <c r="BE28" s="110"/>
      <c r="BF28" s="110"/>
      <c r="BG28" s="110"/>
      <c r="BH28" s="110"/>
      <c r="BI28" s="110"/>
      <c r="BJ28" s="110"/>
      <c r="BK28" s="110"/>
      <c r="BL28" s="110"/>
      <c r="BM28" s="111"/>
      <c r="BN28" s="111"/>
      <c r="BO28" s="112"/>
      <c r="BP28" s="112"/>
      <c r="BQ28" s="223"/>
      <c r="BR28" s="223"/>
    </row>
    <row r="29" spans="1:70" ht="32.25" customHeight="1" x14ac:dyDescent="0.25">
      <c r="A29" s="50">
        <v>50</v>
      </c>
      <c r="B29" s="222" t="s">
        <v>121</v>
      </c>
      <c r="C29" s="154">
        <v>4</v>
      </c>
      <c r="D29" s="154">
        <v>4</v>
      </c>
      <c r="E29" s="52">
        <v>8</v>
      </c>
      <c r="F29" s="155">
        <v>8</v>
      </c>
      <c r="G29" s="155">
        <v>8</v>
      </c>
      <c r="H29" s="52">
        <v>8</v>
      </c>
      <c r="I29" s="155">
        <v>0</v>
      </c>
      <c r="J29" s="155">
        <v>0</v>
      </c>
      <c r="K29" s="52">
        <v>0</v>
      </c>
      <c r="L29" s="155">
        <v>0</v>
      </c>
      <c r="M29" s="53"/>
      <c r="N29" s="155"/>
      <c r="O29" s="178"/>
      <c r="P29" s="200"/>
      <c r="Q29" s="206"/>
      <c r="R29" s="178"/>
      <c r="S29" s="200"/>
      <c r="T29" s="206"/>
      <c r="U29" s="150"/>
      <c r="V29" s="178"/>
      <c r="W29" s="200"/>
      <c r="X29" s="206"/>
      <c r="Y29" s="151"/>
      <c r="Z29" s="178"/>
      <c r="AA29" s="200"/>
      <c r="AB29" s="206"/>
      <c r="AC29" s="200"/>
      <c r="AD29" s="153"/>
      <c r="AE29" s="52"/>
      <c r="AF29" s="52"/>
      <c r="AG29" s="52"/>
      <c r="AH29" s="52"/>
      <c r="AI29" s="52"/>
      <c r="AJ29" s="52"/>
      <c r="AK29" s="52"/>
      <c r="AL29" s="52"/>
      <c r="AM29" s="178"/>
      <c r="AN29" s="200"/>
      <c r="AO29" s="206"/>
      <c r="AP29" s="108"/>
      <c r="AQ29" s="108"/>
      <c r="AR29" s="178"/>
      <c r="AS29" s="109"/>
      <c r="AT29" s="109"/>
      <c r="AU29" s="178"/>
      <c r="AV29" s="200"/>
      <c r="AW29" s="109"/>
      <c r="AX29" s="109"/>
      <c r="AY29" s="109"/>
      <c r="AZ29" s="109"/>
      <c r="BA29" s="109"/>
      <c r="BB29" s="109"/>
      <c r="BC29" s="109"/>
      <c r="BD29" s="63"/>
      <c r="BE29" s="110"/>
      <c r="BF29" s="113"/>
      <c r="BG29" s="110"/>
      <c r="BH29" s="110"/>
      <c r="BI29" s="63"/>
      <c r="BJ29" s="63"/>
      <c r="BK29" s="63"/>
      <c r="BL29" s="63"/>
      <c r="BM29" s="111"/>
      <c r="BN29" s="111"/>
      <c r="BO29" s="65"/>
      <c r="BP29" s="65"/>
      <c r="BQ29" s="223"/>
      <c r="BR29" s="223"/>
    </row>
    <row r="32" spans="1:70" x14ac:dyDescent="0.25">
      <c r="R32" s="178"/>
      <c r="S32" s="200"/>
      <c r="T32" s="206"/>
      <c r="U32" s="150"/>
      <c r="V32" s="178"/>
      <c r="W32" s="200"/>
      <c r="X32" s="206"/>
      <c r="Y32" s="151"/>
      <c r="Z32" s="178"/>
      <c r="AA32" s="200"/>
      <c r="AB32" s="206"/>
      <c r="AC32" s="200"/>
      <c r="AD32" s="153"/>
      <c r="AE32" s="52"/>
      <c r="AF32" s="52"/>
      <c r="AG32" s="52"/>
      <c r="AH32" s="52"/>
      <c r="AI32" s="52"/>
      <c r="AJ32" s="52"/>
      <c r="AK32" s="52"/>
      <c r="AL32" s="52"/>
      <c r="AM32" s="178"/>
      <c r="AN32" s="200"/>
      <c r="AO32" s="206"/>
      <c r="AP32" s="108"/>
      <c r="AQ32" s="108"/>
      <c r="AR32" s="178"/>
      <c r="AS32" s="109"/>
      <c r="AT32" s="109"/>
      <c r="AU32" s="178"/>
      <c r="AV32" s="200"/>
      <c r="AW32" s="109"/>
      <c r="AX32" s="109"/>
      <c r="AY32" s="109"/>
      <c r="AZ32" s="109"/>
      <c r="BA32" s="109"/>
      <c r="BB32" s="109"/>
      <c r="BC32" s="109"/>
      <c r="BD32" s="63"/>
      <c r="BE32" s="110"/>
      <c r="BF32" s="113"/>
      <c r="BG32" s="110"/>
      <c r="BH32" s="110"/>
      <c r="BI32" s="63"/>
      <c r="BJ32" s="63"/>
      <c r="BK32" s="63"/>
      <c r="BL32" s="63"/>
      <c r="BM32" s="111"/>
      <c r="BN32" s="111"/>
      <c r="BO32" s="65"/>
      <c r="BP32" s="65"/>
      <c r="BQ32" s="223"/>
      <c r="BR32" s="223"/>
    </row>
  </sheetData>
  <mergeCells count="24">
    <mergeCell ref="I12:J12"/>
    <mergeCell ref="I13:J13"/>
    <mergeCell ref="I14:J14"/>
    <mergeCell ref="BM1:BN1"/>
    <mergeCell ref="BO1:BP1"/>
    <mergeCell ref="Z1:AB1"/>
    <mergeCell ref="L1:L2"/>
    <mergeCell ref="M1:M2"/>
    <mergeCell ref="N1:N2"/>
    <mergeCell ref="O1:Q1"/>
    <mergeCell ref="R1:U1"/>
    <mergeCell ref="V1:Y1"/>
    <mergeCell ref="BQ2:BR2"/>
    <mergeCell ref="AC1:AD1"/>
    <mergeCell ref="AE1:AL1"/>
    <mergeCell ref="AM1:AQ1"/>
    <mergeCell ref="AR1:AT1"/>
    <mergeCell ref="AU1:BC1"/>
    <mergeCell ref="BD1:BL1"/>
    <mergeCell ref="A1:A3"/>
    <mergeCell ref="B1:B3"/>
    <mergeCell ref="C1:E2"/>
    <mergeCell ref="F1:H2"/>
    <mergeCell ref="I1:K2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3"/>
  <sheetViews>
    <sheetView topLeftCell="L4" workbookViewId="0">
      <selection activeCell="Q18" sqref="A1:XFD1048576"/>
    </sheetView>
  </sheetViews>
  <sheetFormatPr defaultRowHeight="15" x14ac:dyDescent="0.25"/>
  <cols>
    <col min="2" max="2" width="15.7109375" customWidth="1"/>
  </cols>
  <sheetData>
    <row r="1" spans="1:70" ht="15.75" x14ac:dyDescent="0.25">
      <c r="A1" s="1265" t="s">
        <v>0</v>
      </c>
      <c r="B1" s="1266" t="s">
        <v>1</v>
      </c>
      <c r="C1" s="1207" t="s">
        <v>2</v>
      </c>
      <c r="D1" s="1207"/>
      <c r="E1" s="1207"/>
      <c r="F1" s="1207" t="s">
        <v>3</v>
      </c>
      <c r="G1" s="1207"/>
      <c r="H1" s="1207"/>
      <c r="I1" s="1207" t="s">
        <v>4</v>
      </c>
      <c r="J1" s="1207"/>
      <c r="K1" s="1207"/>
      <c r="L1" s="1207" t="s">
        <v>5</v>
      </c>
      <c r="M1" s="1207" t="s">
        <v>6</v>
      </c>
      <c r="N1" s="1207" t="s">
        <v>7</v>
      </c>
      <c r="O1" s="1213" t="s">
        <v>8</v>
      </c>
      <c r="P1" s="1213"/>
      <c r="Q1" s="1213"/>
      <c r="R1" s="1214" t="s">
        <v>9</v>
      </c>
      <c r="S1" s="1214"/>
      <c r="T1" s="1214"/>
      <c r="U1" s="1214"/>
      <c r="V1" s="1215" t="s">
        <v>10</v>
      </c>
      <c r="W1" s="1215"/>
      <c r="X1" s="1215"/>
      <c r="Y1" s="1215"/>
      <c r="Z1" s="1206" t="s">
        <v>11</v>
      </c>
      <c r="AA1" s="1206"/>
      <c r="AB1" s="1206"/>
      <c r="AC1" s="1210" t="s">
        <v>12</v>
      </c>
      <c r="AD1" s="1210"/>
      <c r="AE1" s="1277" t="s">
        <v>13</v>
      </c>
      <c r="AF1" s="1277"/>
      <c r="AG1" s="1277"/>
      <c r="AH1" s="1277"/>
      <c r="AI1" s="1277"/>
      <c r="AJ1" s="1277"/>
      <c r="AK1" s="1277"/>
      <c r="AL1" s="1277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212" t="s">
        <v>14</v>
      </c>
      <c r="BE1" s="1212"/>
      <c r="BF1" s="1212"/>
      <c r="BG1" s="1212"/>
      <c r="BH1" s="1212"/>
      <c r="BI1" s="1212"/>
      <c r="BJ1" s="1212"/>
      <c r="BK1" s="1212"/>
      <c r="BL1" s="1212"/>
      <c r="BM1" s="1208" t="s">
        <v>15</v>
      </c>
      <c r="BN1" s="1208"/>
      <c r="BO1" s="1209" t="s">
        <v>16</v>
      </c>
      <c r="BP1" s="1209"/>
      <c r="BQ1" s="232"/>
      <c r="BR1" s="232"/>
    </row>
    <row r="2" spans="1:70" ht="225" x14ac:dyDescent="0.25">
      <c r="A2" s="1265"/>
      <c r="B2" s="1266"/>
      <c r="C2" s="1207"/>
      <c r="D2" s="1207"/>
      <c r="E2" s="1207"/>
      <c r="F2" s="1207"/>
      <c r="G2" s="1207"/>
      <c r="H2" s="1207"/>
      <c r="I2" s="1207"/>
      <c r="J2" s="1207"/>
      <c r="K2" s="1207"/>
      <c r="L2" s="1207"/>
      <c r="M2" s="1207"/>
      <c r="N2" s="1207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228" t="s">
        <v>23</v>
      </c>
      <c r="V2" s="42" t="s">
        <v>24</v>
      </c>
      <c r="W2" s="217" t="s">
        <v>25</v>
      </c>
      <c r="X2" s="218" t="s">
        <v>26</v>
      </c>
      <c r="Y2" s="229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26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225" t="s">
        <v>105</v>
      </c>
      <c r="AQ2" s="225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227" t="s">
        <v>14</v>
      </c>
      <c r="BE2" s="227" t="s">
        <v>39</v>
      </c>
      <c r="BF2" s="227" t="s">
        <v>40</v>
      </c>
      <c r="BG2" s="227" t="s">
        <v>41</v>
      </c>
      <c r="BH2" s="227" t="s">
        <v>42</v>
      </c>
      <c r="BI2" s="227" t="s">
        <v>43</v>
      </c>
      <c r="BJ2" s="227" t="s">
        <v>44</v>
      </c>
      <c r="BK2" s="227" t="s">
        <v>45</v>
      </c>
      <c r="BL2" s="227" t="s">
        <v>46</v>
      </c>
      <c r="BM2" s="224" t="s">
        <v>47</v>
      </c>
      <c r="BN2" s="224" t="s">
        <v>48</v>
      </c>
      <c r="BO2" s="225" t="s">
        <v>49</v>
      </c>
      <c r="BP2" s="225" t="s">
        <v>50</v>
      </c>
      <c r="BQ2" s="1208" t="s">
        <v>130</v>
      </c>
      <c r="BR2" s="1276"/>
    </row>
    <row r="3" spans="1:70" ht="75" x14ac:dyDescent="0.25">
      <c r="A3" s="1265"/>
      <c r="B3" s="1266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107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29" t="s">
        <v>59</v>
      </c>
      <c r="BF3" s="29" t="s">
        <v>60</v>
      </c>
      <c r="BG3" s="29" t="s">
        <v>61</v>
      </c>
      <c r="BH3" s="107" t="s">
        <v>62</v>
      </c>
      <c r="BI3" s="29" t="s">
        <v>57</v>
      </c>
      <c r="BJ3" s="107" t="s">
        <v>127</v>
      </c>
      <c r="BK3" s="29" t="s">
        <v>62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224" t="s">
        <v>131</v>
      </c>
      <c r="BR3" s="224" t="s">
        <v>132</v>
      </c>
    </row>
    <row r="4" spans="1:70" ht="16.5" thickBot="1" x14ac:dyDescent="0.3">
      <c r="A4" s="230"/>
      <c r="B4" s="231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48"/>
      <c r="P4" s="217"/>
      <c r="Q4" s="218"/>
      <c r="R4" s="42"/>
      <c r="S4" s="217"/>
      <c r="T4" s="218"/>
      <c r="U4" s="107"/>
      <c r="V4" s="42"/>
      <c r="W4" s="217"/>
      <c r="X4" s="218"/>
      <c r="Y4" s="107"/>
      <c r="Z4" s="42"/>
      <c r="AA4" s="217"/>
      <c r="AB4" s="218"/>
      <c r="AC4" s="217"/>
      <c r="AD4" s="107"/>
      <c r="AE4" s="29"/>
      <c r="AF4" s="107"/>
      <c r="AG4" s="29"/>
      <c r="AH4" s="107"/>
      <c r="AI4" s="29"/>
      <c r="AJ4" s="107"/>
      <c r="AK4" s="29"/>
      <c r="AL4" s="107"/>
      <c r="AM4" s="42"/>
      <c r="AN4" s="217"/>
      <c r="AO4" s="218"/>
      <c r="AP4" s="29"/>
      <c r="AQ4" s="107"/>
      <c r="AR4" s="42"/>
      <c r="AS4" s="29"/>
      <c r="AT4" s="107"/>
      <c r="AU4" s="42"/>
      <c r="AV4" s="217"/>
      <c r="AW4" s="107"/>
      <c r="AX4" s="107"/>
      <c r="AY4" s="107"/>
      <c r="AZ4" s="107"/>
      <c r="BA4" s="107"/>
      <c r="BB4" s="107"/>
      <c r="BC4" s="107"/>
      <c r="BD4" s="29"/>
      <c r="BE4" s="29"/>
      <c r="BF4" s="29"/>
      <c r="BG4" s="29"/>
      <c r="BH4" s="107"/>
      <c r="BI4" s="29"/>
      <c r="BJ4" s="107"/>
      <c r="BK4" s="29"/>
      <c r="BL4" s="107"/>
      <c r="BM4" s="107"/>
      <c r="BN4" s="107"/>
      <c r="BO4" s="107"/>
      <c r="BP4" s="107"/>
      <c r="BQ4" s="107" t="s">
        <v>54</v>
      </c>
      <c r="BR4" s="107" t="s">
        <v>54</v>
      </c>
    </row>
    <row r="5" spans="1:70" ht="32.25" thickBot="1" x14ac:dyDescent="0.3">
      <c r="A5" s="71">
        <v>60</v>
      </c>
      <c r="B5" s="13" t="s">
        <v>64</v>
      </c>
      <c r="C5" s="242">
        <v>5</v>
      </c>
      <c r="D5" s="242">
        <v>5</v>
      </c>
      <c r="E5" s="126">
        <v>10</v>
      </c>
      <c r="F5" s="127">
        <v>10</v>
      </c>
      <c r="G5" s="127">
        <v>10</v>
      </c>
      <c r="H5" s="126">
        <v>10</v>
      </c>
      <c r="I5" s="127">
        <v>0</v>
      </c>
      <c r="J5" s="127">
        <v>0</v>
      </c>
      <c r="K5" s="126">
        <v>0</v>
      </c>
      <c r="L5" s="127">
        <v>0</v>
      </c>
      <c r="M5" s="127" t="s">
        <v>65</v>
      </c>
      <c r="N5" s="127">
        <v>0</v>
      </c>
      <c r="O5" s="244">
        <v>4.8</v>
      </c>
      <c r="P5" s="244">
        <f>SUM(S5,W5,AA5,AC5,AN5,AV5)</f>
        <v>4.5</v>
      </c>
      <c r="Q5" s="244">
        <f>SUM(T5,X5,AB5,AO5)</f>
        <v>4</v>
      </c>
      <c r="R5" s="129">
        <v>2.5</v>
      </c>
      <c r="S5" s="129">
        <v>2.1</v>
      </c>
      <c r="T5" s="129">
        <v>2</v>
      </c>
      <c r="U5" s="129">
        <v>0</v>
      </c>
      <c r="V5" s="130">
        <v>2</v>
      </c>
      <c r="W5" s="130">
        <v>1.8</v>
      </c>
      <c r="X5" s="130">
        <v>1.7</v>
      </c>
      <c r="Y5" s="130">
        <v>0</v>
      </c>
      <c r="Z5" s="131">
        <v>0.1</v>
      </c>
      <c r="AA5" s="131">
        <v>0.04</v>
      </c>
      <c r="AB5" s="131">
        <v>0.03</v>
      </c>
      <c r="AC5" s="132">
        <v>0.55000000000000004</v>
      </c>
      <c r="AD5" s="132">
        <v>0</v>
      </c>
      <c r="AE5" s="126">
        <v>0</v>
      </c>
      <c r="AF5" s="126">
        <v>0</v>
      </c>
      <c r="AG5" s="126">
        <v>2</v>
      </c>
      <c r="AH5" s="126">
        <v>6</v>
      </c>
      <c r="AI5" s="126">
        <v>0</v>
      </c>
      <c r="AJ5" s="126">
        <v>0</v>
      </c>
      <c r="AK5" s="126">
        <v>0</v>
      </c>
      <c r="AL5" s="126">
        <v>0</v>
      </c>
      <c r="AM5" s="133">
        <v>0.1333</v>
      </c>
      <c r="AN5" s="133">
        <v>0</v>
      </c>
      <c r="AO5" s="133">
        <v>0.27</v>
      </c>
      <c r="AP5" s="133">
        <v>0</v>
      </c>
      <c r="AQ5" s="133">
        <v>0</v>
      </c>
      <c r="AR5" s="134">
        <v>0.05</v>
      </c>
      <c r="AS5" s="134">
        <v>3</v>
      </c>
      <c r="AT5" s="135"/>
      <c r="AU5" s="247">
        <v>1.6667000000000001E-2</v>
      </c>
      <c r="AV5" s="134">
        <v>0.01</v>
      </c>
      <c r="AW5" s="134" t="s">
        <v>65</v>
      </c>
      <c r="AX5" s="134">
        <v>0</v>
      </c>
      <c r="AY5" s="134" t="s">
        <v>65</v>
      </c>
      <c r="AZ5" s="134">
        <v>0</v>
      </c>
      <c r="BA5" s="134" t="s">
        <v>65</v>
      </c>
      <c r="BB5" s="134" t="s">
        <v>65</v>
      </c>
      <c r="BC5" s="134" t="s">
        <v>65</v>
      </c>
      <c r="BD5" s="137">
        <v>1</v>
      </c>
      <c r="BE5" s="137">
        <v>1337</v>
      </c>
      <c r="BF5" s="137">
        <v>1.5</v>
      </c>
      <c r="BG5" s="137" t="s">
        <v>72</v>
      </c>
      <c r="BH5" s="137">
        <v>1250</v>
      </c>
      <c r="BI5" s="137">
        <v>0</v>
      </c>
      <c r="BJ5" s="137" t="s">
        <v>65</v>
      </c>
      <c r="BK5" s="137">
        <v>0</v>
      </c>
      <c r="BL5" s="137" t="s">
        <v>65</v>
      </c>
      <c r="BM5" s="138" t="s">
        <v>67</v>
      </c>
      <c r="BN5" s="138" t="s">
        <v>67</v>
      </c>
      <c r="BO5" s="139" t="s">
        <v>67</v>
      </c>
      <c r="BP5" s="139" t="s">
        <v>67</v>
      </c>
      <c r="BQ5" s="246">
        <v>0</v>
      </c>
      <c r="BR5" s="246">
        <v>0</v>
      </c>
    </row>
    <row r="6" spans="1:70" ht="32.25" thickBot="1" x14ac:dyDescent="0.3">
      <c r="A6" s="71">
        <v>50</v>
      </c>
      <c r="B6" s="13" t="s">
        <v>121</v>
      </c>
      <c r="C6" s="242">
        <v>4</v>
      </c>
      <c r="D6" s="243">
        <v>4</v>
      </c>
      <c r="E6" s="126">
        <v>8</v>
      </c>
      <c r="F6" s="127">
        <v>8</v>
      </c>
      <c r="G6" s="127">
        <v>8</v>
      </c>
      <c r="H6" s="126">
        <v>16</v>
      </c>
      <c r="I6" s="127">
        <v>0</v>
      </c>
      <c r="J6" s="127">
        <v>0</v>
      </c>
      <c r="K6" s="126">
        <v>0</v>
      </c>
      <c r="L6" s="127">
        <v>0</v>
      </c>
      <c r="M6" s="127" t="s">
        <v>65</v>
      </c>
      <c r="N6" s="127">
        <v>0</v>
      </c>
      <c r="O6" s="244">
        <f>SUM(R6,V6,Z6,AM6,AR6,AU6)</f>
        <v>4.5</v>
      </c>
      <c r="P6" s="244">
        <f>SUM(S6,W6,AA6,AC6,AN6,AV6)</f>
        <v>3.8</v>
      </c>
      <c r="Q6" s="244">
        <f>SUM(T6,X6,AB6,AO6)</f>
        <v>3.5</v>
      </c>
      <c r="R6" s="129">
        <v>2.4</v>
      </c>
      <c r="S6" s="129">
        <v>1.9</v>
      </c>
      <c r="T6" s="129">
        <v>1.8</v>
      </c>
      <c r="U6" s="129"/>
      <c r="V6" s="130">
        <v>1.9</v>
      </c>
      <c r="W6" s="130">
        <v>1.5</v>
      </c>
      <c r="X6" s="130">
        <v>1.4</v>
      </c>
      <c r="Y6" s="130"/>
      <c r="Z6" s="131">
        <v>0.05</v>
      </c>
      <c r="AA6" s="131">
        <v>2.4E-2</v>
      </c>
      <c r="AB6" s="131">
        <v>0.01</v>
      </c>
      <c r="AC6" s="132">
        <v>0.37</v>
      </c>
      <c r="AD6" s="132">
        <v>0</v>
      </c>
      <c r="AE6" s="126">
        <v>0</v>
      </c>
      <c r="AF6" s="126">
        <v>0</v>
      </c>
      <c r="AG6" s="126">
        <v>1</v>
      </c>
      <c r="AH6" s="126">
        <v>1.6</v>
      </c>
      <c r="AI6" s="126">
        <v>0</v>
      </c>
      <c r="AJ6" s="126">
        <v>0</v>
      </c>
      <c r="AK6" s="126">
        <v>0</v>
      </c>
      <c r="AL6" s="126">
        <v>0</v>
      </c>
      <c r="AM6" s="133">
        <v>0.11</v>
      </c>
      <c r="AN6" s="133">
        <v>0</v>
      </c>
      <c r="AO6" s="133">
        <v>0.28999999999999998</v>
      </c>
      <c r="AP6" s="133">
        <v>0</v>
      </c>
      <c r="AQ6" s="133">
        <v>0</v>
      </c>
      <c r="AR6" s="134">
        <v>2.5999999999999999E-2</v>
      </c>
      <c r="AS6" s="134">
        <v>1</v>
      </c>
      <c r="AT6" s="135"/>
      <c r="AU6" s="134">
        <v>1.4E-2</v>
      </c>
      <c r="AV6" s="134">
        <v>6.0000000000000001E-3</v>
      </c>
      <c r="AW6" s="134" t="s">
        <v>65</v>
      </c>
      <c r="AX6" s="134">
        <v>0</v>
      </c>
      <c r="AY6" s="134" t="s">
        <v>65</v>
      </c>
      <c r="AZ6" s="134">
        <v>0</v>
      </c>
      <c r="BA6" s="134" t="s">
        <v>65</v>
      </c>
      <c r="BB6" s="134" t="s">
        <v>65</v>
      </c>
      <c r="BC6" s="134" t="s">
        <v>67</v>
      </c>
      <c r="BD6" s="137">
        <v>1</v>
      </c>
      <c r="BE6" s="137">
        <v>15617.8</v>
      </c>
      <c r="BF6" s="245">
        <v>1.6</v>
      </c>
      <c r="BG6" s="137" t="s">
        <v>72</v>
      </c>
      <c r="BH6" s="137">
        <v>790</v>
      </c>
      <c r="BI6" s="137">
        <v>0</v>
      </c>
      <c r="BJ6" s="137" t="s">
        <v>65</v>
      </c>
      <c r="BK6" s="137">
        <v>0</v>
      </c>
      <c r="BL6" s="137" t="s">
        <v>65</v>
      </c>
      <c r="BM6" s="138" t="s">
        <v>67</v>
      </c>
      <c r="BN6" s="138" t="s">
        <v>67</v>
      </c>
      <c r="BO6" s="139" t="s">
        <v>65</v>
      </c>
      <c r="BP6" s="139" t="s">
        <v>65</v>
      </c>
      <c r="BQ6" s="246">
        <v>0</v>
      </c>
      <c r="BR6" s="246">
        <v>0</v>
      </c>
    </row>
    <row r="8" spans="1:70" x14ac:dyDescent="0.25">
      <c r="M8" s="1278" t="s">
        <v>136</v>
      </c>
      <c r="N8" s="1278"/>
      <c r="O8" s="249">
        <f>SUM(R8,V8,Z8,AM8,AR8,AU8)</f>
        <v>144</v>
      </c>
      <c r="P8" s="250">
        <f>SUM(S8,W8,AA8,AC8,AN8,AV8)</f>
        <v>135</v>
      </c>
      <c r="Q8" s="251">
        <f>SUM(T8,X8,AB8,AO8)</f>
        <v>120</v>
      </c>
      <c r="R8" s="249">
        <f>2.5*30</f>
        <v>75</v>
      </c>
      <c r="S8" s="250">
        <f>2.1*30</f>
        <v>63</v>
      </c>
      <c r="T8" s="251">
        <f>2*30</f>
        <v>60</v>
      </c>
      <c r="U8" s="232"/>
      <c r="V8" s="249">
        <f>2*30</f>
        <v>60</v>
      </c>
      <c r="W8" s="250">
        <f>1.8*30</f>
        <v>54</v>
      </c>
      <c r="X8" s="251">
        <f>1.7*30</f>
        <v>51</v>
      </c>
      <c r="Y8" s="232"/>
      <c r="Z8" s="249">
        <f>0.1*30</f>
        <v>3</v>
      </c>
      <c r="AA8" s="250">
        <f>0.04*30</f>
        <v>1.2</v>
      </c>
      <c r="AB8" s="251">
        <f>0.03*30</f>
        <v>0.89999999999999991</v>
      </c>
      <c r="AC8" s="250">
        <f>0.55*30</f>
        <v>16.5</v>
      </c>
      <c r="AD8" s="232"/>
      <c r="AE8" s="232"/>
      <c r="AF8" s="232"/>
      <c r="AG8" s="232"/>
      <c r="AH8" s="232"/>
      <c r="AI8" s="232"/>
      <c r="AJ8" s="232"/>
      <c r="AK8" s="232"/>
      <c r="AL8" s="232"/>
      <c r="AM8" s="249">
        <v>4</v>
      </c>
      <c r="AN8" s="250"/>
      <c r="AO8" s="251">
        <f>0.27*30</f>
        <v>8.1000000000000014</v>
      </c>
      <c r="AP8" s="232"/>
      <c r="AQ8" s="232"/>
      <c r="AR8" s="249">
        <f>0.05*30</f>
        <v>1.5</v>
      </c>
      <c r="AS8" s="232"/>
      <c r="AT8" s="232"/>
      <c r="AU8" s="249">
        <v>0.5</v>
      </c>
      <c r="AV8" s="250">
        <f>0.01*30</f>
        <v>0.3</v>
      </c>
      <c r="AW8" s="232"/>
      <c r="AX8" s="232"/>
      <c r="AY8" s="232"/>
      <c r="AZ8" s="232"/>
      <c r="BA8" s="232"/>
      <c r="BB8" s="232"/>
      <c r="BC8" s="232"/>
      <c r="BD8" s="232"/>
      <c r="BE8" s="232"/>
      <c r="BF8" s="232"/>
      <c r="BG8" s="232"/>
      <c r="BH8" s="232"/>
      <c r="BI8" s="232"/>
      <c r="BJ8" s="232"/>
      <c r="BK8" s="232"/>
      <c r="BL8" s="232"/>
      <c r="BM8" s="232"/>
      <c r="BN8" s="232"/>
      <c r="BO8" s="232"/>
      <c r="BP8" s="232"/>
      <c r="BQ8" s="232"/>
    </row>
    <row r="9" spans="1:70" x14ac:dyDescent="0.25">
      <c r="M9" s="1278" t="s">
        <v>137</v>
      </c>
      <c r="N9" s="1278"/>
      <c r="O9" s="249">
        <f>SUM(R9,V9,Z9,AM9,AR9,AU9)</f>
        <v>135</v>
      </c>
      <c r="P9" s="250">
        <f>SUM(S9,W9,AA9,AC9,AN9,AV9)</f>
        <v>114</v>
      </c>
      <c r="Q9" s="251">
        <f>SUM(T9,X9,AB9,AO9)</f>
        <v>105</v>
      </c>
      <c r="R9" s="249">
        <f>30*2.4</f>
        <v>72</v>
      </c>
      <c r="S9" s="250">
        <f>1.9*30</f>
        <v>57</v>
      </c>
      <c r="T9" s="251">
        <f>1.8*30</f>
        <v>54</v>
      </c>
      <c r="U9" s="232"/>
      <c r="V9" s="249">
        <f>1.9*30</f>
        <v>57</v>
      </c>
      <c r="W9" s="250">
        <f>1.5*30</f>
        <v>45</v>
      </c>
      <c r="X9" s="251">
        <f>1.4*30</f>
        <v>42</v>
      </c>
      <c r="Y9" s="232"/>
      <c r="Z9" s="249">
        <f>0.05*30</f>
        <v>1.5</v>
      </c>
      <c r="AA9" s="250">
        <f>0.024*30</f>
        <v>0.72</v>
      </c>
      <c r="AB9" s="251">
        <f>0.01*30</f>
        <v>0.3</v>
      </c>
      <c r="AC9" s="250">
        <f>0.37*30</f>
        <v>11.1</v>
      </c>
      <c r="AD9" s="232"/>
      <c r="AE9" s="232"/>
      <c r="AF9" s="232"/>
      <c r="AG9" s="232"/>
      <c r="AH9" s="232"/>
      <c r="AI9" s="232"/>
      <c r="AJ9" s="232"/>
      <c r="AK9" s="232"/>
      <c r="AL9" s="232"/>
      <c r="AM9" s="249">
        <f>0.11*30</f>
        <v>3.3</v>
      </c>
      <c r="AN9" s="250"/>
      <c r="AO9" s="251">
        <f>0.29*30</f>
        <v>8.6999999999999993</v>
      </c>
      <c r="AP9" s="232"/>
      <c r="AQ9" s="232"/>
      <c r="AR9" s="249">
        <f>0.026*30</f>
        <v>0.77999999999999992</v>
      </c>
      <c r="AS9" s="232"/>
      <c r="AT9" s="232"/>
      <c r="AU9" s="249">
        <f>0.014*30</f>
        <v>0.42</v>
      </c>
      <c r="AV9" s="250">
        <f>0.006*30</f>
        <v>0.18</v>
      </c>
      <c r="AW9" s="232"/>
      <c r="AX9" s="232"/>
      <c r="AY9" s="232"/>
      <c r="AZ9" s="232"/>
      <c r="BA9" s="232"/>
      <c r="BB9" s="232"/>
      <c r="BC9" s="232"/>
      <c r="BD9" s="232"/>
      <c r="BE9" s="232"/>
      <c r="BF9" s="232"/>
      <c r="BG9" s="232"/>
      <c r="BH9" s="232"/>
      <c r="BI9" s="232"/>
      <c r="BJ9" s="232"/>
      <c r="BK9" s="232"/>
      <c r="BL9" s="232"/>
      <c r="BM9" s="232"/>
      <c r="BN9" s="232"/>
      <c r="BO9" s="232"/>
      <c r="BP9" s="232"/>
      <c r="BQ9" s="232"/>
    </row>
    <row r="13" spans="1:70" x14ac:dyDescent="0.25">
      <c r="X13">
        <v>54</v>
      </c>
    </row>
    <row r="14" spans="1:70" x14ac:dyDescent="0.25">
      <c r="W14" s="252"/>
      <c r="X14">
        <v>42</v>
      </c>
    </row>
    <row r="15" spans="1:70" x14ac:dyDescent="0.25">
      <c r="X15">
        <v>9</v>
      </c>
    </row>
    <row r="16" spans="1:70" x14ac:dyDescent="0.25">
      <c r="T16">
        <v>11.1</v>
      </c>
      <c r="X16">
        <f>SUM(X13,X14,X15)</f>
        <v>105</v>
      </c>
    </row>
    <row r="17" spans="20:22" x14ac:dyDescent="0.25">
      <c r="T17">
        <v>57</v>
      </c>
    </row>
    <row r="18" spans="20:22" x14ac:dyDescent="0.25">
      <c r="T18">
        <v>45</v>
      </c>
    </row>
    <row r="19" spans="20:22" x14ac:dyDescent="0.25">
      <c r="T19">
        <f>SUM(T16,T17,T18)</f>
        <v>113.1</v>
      </c>
    </row>
    <row r="20" spans="20:22" x14ac:dyDescent="0.25">
      <c r="T20">
        <v>114</v>
      </c>
    </row>
    <row r="21" spans="20:22" x14ac:dyDescent="0.25">
      <c r="T21">
        <f>T20-T19</f>
        <v>0.90000000000000568</v>
      </c>
      <c r="V21">
        <v>0.65</v>
      </c>
    </row>
    <row r="22" spans="20:22" x14ac:dyDescent="0.25">
      <c r="T22">
        <f>T21/2</f>
        <v>0.45000000000000284</v>
      </c>
      <c r="V22">
        <f>T21-V21</f>
        <v>0.25000000000000566</v>
      </c>
    </row>
    <row r="23" spans="20:22" x14ac:dyDescent="0.25">
      <c r="V23">
        <v>0.25</v>
      </c>
    </row>
  </sheetData>
  <mergeCells count="23">
    <mergeCell ref="M9:N9"/>
    <mergeCell ref="BM1:BN1"/>
    <mergeCell ref="BO1:BP1"/>
    <mergeCell ref="BQ2:BR2"/>
    <mergeCell ref="M8:N8"/>
    <mergeCell ref="AC1:AD1"/>
    <mergeCell ref="AE1:AL1"/>
    <mergeCell ref="AM1:AQ1"/>
    <mergeCell ref="AR1:AT1"/>
    <mergeCell ref="AU1:BC1"/>
    <mergeCell ref="BD1:BL1"/>
    <mergeCell ref="M1:M2"/>
    <mergeCell ref="N1:N2"/>
    <mergeCell ref="O1:Q1"/>
    <mergeCell ref="R1:U1"/>
    <mergeCell ref="V1:Y1"/>
    <mergeCell ref="Z1:AB1"/>
    <mergeCell ref="A1:A3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0"/>
  <sheetViews>
    <sheetView topLeftCell="N3" workbookViewId="0">
      <selection activeCell="W5" sqref="W5"/>
    </sheetView>
  </sheetViews>
  <sheetFormatPr defaultRowHeight="15" x14ac:dyDescent="0.25"/>
  <cols>
    <col min="2" max="2" width="15.7109375" customWidth="1"/>
  </cols>
  <sheetData>
    <row r="1" spans="1:70" ht="15.75" x14ac:dyDescent="0.25">
      <c r="A1" s="1265" t="s">
        <v>0</v>
      </c>
      <c r="B1" s="1266" t="s">
        <v>1</v>
      </c>
      <c r="C1" s="1207" t="s">
        <v>2</v>
      </c>
      <c r="D1" s="1207"/>
      <c r="E1" s="1207"/>
      <c r="F1" s="1207" t="s">
        <v>3</v>
      </c>
      <c r="G1" s="1207"/>
      <c r="H1" s="1207"/>
      <c r="I1" s="1207" t="s">
        <v>4</v>
      </c>
      <c r="J1" s="1207"/>
      <c r="K1" s="1207"/>
      <c r="L1" s="1207" t="s">
        <v>5</v>
      </c>
      <c r="M1" s="1207" t="s">
        <v>6</v>
      </c>
      <c r="N1" s="1207" t="s">
        <v>7</v>
      </c>
      <c r="O1" s="1213" t="s">
        <v>8</v>
      </c>
      <c r="P1" s="1213"/>
      <c r="Q1" s="1213"/>
      <c r="R1" s="1214" t="s">
        <v>9</v>
      </c>
      <c r="S1" s="1214"/>
      <c r="T1" s="1214"/>
      <c r="U1" s="1214"/>
      <c r="V1" s="1215" t="s">
        <v>10</v>
      </c>
      <c r="W1" s="1215"/>
      <c r="X1" s="1215"/>
      <c r="Y1" s="1215"/>
      <c r="Z1" s="1206" t="s">
        <v>11</v>
      </c>
      <c r="AA1" s="1206"/>
      <c r="AB1" s="1206"/>
      <c r="AC1" s="1210" t="s">
        <v>12</v>
      </c>
      <c r="AD1" s="1210"/>
      <c r="AE1" s="1277" t="s">
        <v>13</v>
      </c>
      <c r="AF1" s="1277"/>
      <c r="AG1" s="1277"/>
      <c r="AH1" s="1277"/>
      <c r="AI1" s="1277"/>
      <c r="AJ1" s="1277"/>
      <c r="AK1" s="1277"/>
      <c r="AL1" s="1277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212" t="s">
        <v>14</v>
      </c>
      <c r="BE1" s="1212"/>
      <c r="BF1" s="1212"/>
      <c r="BG1" s="1212"/>
      <c r="BH1" s="1212"/>
      <c r="BI1" s="1212"/>
      <c r="BJ1" s="1212"/>
      <c r="BK1" s="1212"/>
      <c r="BL1" s="1212"/>
      <c r="BM1" s="1208" t="s">
        <v>15</v>
      </c>
      <c r="BN1" s="1208"/>
      <c r="BO1" s="1209" t="s">
        <v>16</v>
      </c>
      <c r="BP1" s="1209"/>
      <c r="BQ1" s="241"/>
      <c r="BR1" s="241"/>
    </row>
    <row r="2" spans="1:70" ht="225" x14ac:dyDescent="0.25">
      <c r="A2" s="1265"/>
      <c r="B2" s="1266"/>
      <c r="C2" s="1207"/>
      <c r="D2" s="1207"/>
      <c r="E2" s="1207"/>
      <c r="F2" s="1207"/>
      <c r="G2" s="1207"/>
      <c r="H2" s="1207"/>
      <c r="I2" s="1207"/>
      <c r="J2" s="1207"/>
      <c r="K2" s="1207"/>
      <c r="L2" s="1207"/>
      <c r="M2" s="1207"/>
      <c r="N2" s="1207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233" t="s">
        <v>23</v>
      </c>
      <c r="V2" s="42" t="s">
        <v>24</v>
      </c>
      <c r="W2" s="217" t="s">
        <v>25</v>
      </c>
      <c r="X2" s="218" t="s">
        <v>26</v>
      </c>
      <c r="Y2" s="234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37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236" t="s">
        <v>105</v>
      </c>
      <c r="AQ2" s="236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238" t="s">
        <v>14</v>
      </c>
      <c r="BE2" s="238" t="s">
        <v>39</v>
      </c>
      <c r="BF2" s="238" t="s">
        <v>40</v>
      </c>
      <c r="BG2" s="238" t="s">
        <v>41</v>
      </c>
      <c r="BH2" s="238" t="s">
        <v>42</v>
      </c>
      <c r="BI2" s="238" t="s">
        <v>43</v>
      </c>
      <c r="BJ2" s="238" t="s">
        <v>44</v>
      </c>
      <c r="BK2" s="238" t="s">
        <v>45</v>
      </c>
      <c r="BL2" s="238" t="s">
        <v>46</v>
      </c>
      <c r="BM2" s="235" t="s">
        <v>47</v>
      </c>
      <c r="BN2" s="235" t="s">
        <v>48</v>
      </c>
      <c r="BO2" s="236" t="s">
        <v>49</v>
      </c>
      <c r="BP2" s="236" t="s">
        <v>50</v>
      </c>
      <c r="BQ2" s="1208" t="s">
        <v>130</v>
      </c>
      <c r="BR2" s="1276"/>
    </row>
    <row r="3" spans="1:70" ht="75" x14ac:dyDescent="0.25">
      <c r="A3" s="1265"/>
      <c r="B3" s="1266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107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29" t="s">
        <v>59</v>
      </c>
      <c r="BF3" s="29" t="s">
        <v>60</v>
      </c>
      <c r="BG3" s="29" t="s">
        <v>61</v>
      </c>
      <c r="BH3" s="107" t="s">
        <v>62</v>
      </c>
      <c r="BI3" s="29" t="s">
        <v>57</v>
      </c>
      <c r="BJ3" s="107" t="s">
        <v>127</v>
      </c>
      <c r="BK3" s="29" t="s">
        <v>62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235" t="s">
        <v>131</v>
      </c>
      <c r="BR3" s="235" t="s">
        <v>132</v>
      </c>
    </row>
    <row r="4" spans="1:70" ht="16.5" thickBot="1" x14ac:dyDescent="0.3">
      <c r="A4" s="239"/>
      <c r="B4" s="240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48"/>
      <c r="P4" s="217"/>
      <c r="Q4" s="218"/>
      <c r="R4" s="42"/>
      <c r="S4" s="217"/>
      <c r="T4" s="218"/>
      <c r="U4" s="107"/>
      <c r="V4" s="42"/>
      <c r="W4" s="217"/>
      <c r="X4" s="218"/>
      <c r="Y4" s="107"/>
      <c r="Z4" s="42"/>
      <c r="AA4" s="217"/>
      <c r="AB4" s="218"/>
      <c r="AC4" s="217"/>
      <c r="AD4" s="107"/>
      <c r="AE4" s="29"/>
      <c r="AF4" s="107"/>
      <c r="AG4" s="29"/>
      <c r="AH4" s="107"/>
      <c r="AI4" s="29"/>
      <c r="AJ4" s="107"/>
      <c r="AK4" s="29"/>
      <c r="AL4" s="107"/>
      <c r="AM4" s="42"/>
      <c r="AN4" s="217"/>
      <c r="AO4" s="218"/>
      <c r="AP4" s="29"/>
      <c r="AQ4" s="107"/>
      <c r="AR4" s="42"/>
      <c r="AS4" s="29"/>
      <c r="AT4" s="107"/>
      <c r="AU4" s="42"/>
      <c r="AV4" s="217"/>
      <c r="AW4" s="107"/>
      <c r="AX4" s="107"/>
      <c r="AY4" s="107"/>
      <c r="AZ4" s="107"/>
      <c r="BA4" s="107"/>
      <c r="BB4" s="107"/>
      <c r="BC4" s="107"/>
      <c r="BD4" s="29"/>
      <c r="BE4" s="29"/>
      <c r="BF4" s="29"/>
      <c r="BG4" s="29"/>
      <c r="BH4" s="107"/>
      <c r="BI4" s="29"/>
      <c r="BJ4" s="107"/>
      <c r="BK4" s="29"/>
      <c r="BL4" s="107"/>
      <c r="BM4" s="107"/>
      <c r="BN4" s="107"/>
      <c r="BO4" s="107"/>
      <c r="BP4" s="107"/>
      <c r="BQ4" s="107" t="s">
        <v>54</v>
      </c>
      <c r="BR4" s="107" t="s">
        <v>54</v>
      </c>
    </row>
    <row r="5" spans="1:70" ht="32.25" thickBot="1" x14ac:dyDescent="0.3">
      <c r="A5" s="71">
        <v>60</v>
      </c>
      <c r="B5" s="13" t="s">
        <v>64</v>
      </c>
      <c r="C5" s="242">
        <v>5</v>
      </c>
      <c r="D5" s="242">
        <v>5</v>
      </c>
      <c r="E5" s="126">
        <v>10</v>
      </c>
      <c r="F5" s="127">
        <v>10</v>
      </c>
      <c r="G5" s="127">
        <v>10</v>
      </c>
      <c r="H5" s="126">
        <v>10</v>
      </c>
      <c r="I5" s="127">
        <v>0</v>
      </c>
      <c r="J5" s="127">
        <v>0</v>
      </c>
      <c r="K5" s="126">
        <v>0</v>
      </c>
      <c r="L5" s="127">
        <v>0</v>
      </c>
      <c r="M5" s="127" t="s">
        <v>65</v>
      </c>
      <c r="N5" s="127">
        <v>0</v>
      </c>
      <c r="O5" s="244">
        <f>SUM(R5,V5,Z5,AM5,AR5,AU5)</f>
        <v>4.9969999999999999</v>
      </c>
      <c r="P5" s="244">
        <f>SUM(S5,W5,AA5,AC5,AN5,AV5)</f>
        <v>4.5759999999999996</v>
      </c>
      <c r="Q5" s="244">
        <f>SUM(T5,X5,AB5,AO5)</f>
        <v>4.0879999999999992</v>
      </c>
      <c r="R5" s="129">
        <v>2.5299999999999998</v>
      </c>
      <c r="S5" s="129">
        <v>2.14</v>
      </c>
      <c r="T5" s="129">
        <v>2.0299999999999998</v>
      </c>
      <c r="U5" s="129">
        <v>0</v>
      </c>
      <c r="V5" s="130">
        <v>2.14</v>
      </c>
      <c r="W5" s="130">
        <v>1.82</v>
      </c>
      <c r="X5" s="130">
        <v>1.75</v>
      </c>
      <c r="Y5" s="130">
        <v>0</v>
      </c>
      <c r="Z5" s="131">
        <v>0.11</v>
      </c>
      <c r="AA5" s="131">
        <v>5.5E-2</v>
      </c>
      <c r="AB5" s="131">
        <v>3.7999999999999999E-2</v>
      </c>
      <c r="AC5" s="132">
        <v>0.55000000000000004</v>
      </c>
      <c r="AD5" s="132">
        <v>0</v>
      </c>
      <c r="AE5" s="126">
        <v>0</v>
      </c>
      <c r="AF5" s="126">
        <v>0</v>
      </c>
      <c r="AG5" s="126">
        <v>2</v>
      </c>
      <c r="AH5" s="126">
        <v>6</v>
      </c>
      <c r="AI5" s="126">
        <v>0</v>
      </c>
      <c r="AJ5" s="126">
        <v>0</v>
      </c>
      <c r="AK5" s="126">
        <v>0</v>
      </c>
      <c r="AL5" s="126">
        <v>0</v>
      </c>
      <c r="AM5" s="133">
        <v>0.14000000000000001</v>
      </c>
      <c r="AN5" s="133">
        <v>0</v>
      </c>
      <c r="AO5" s="133">
        <v>0.27</v>
      </c>
      <c r="AP5" s="133">
        <v>0</v>
      </c>
      <c r="AQ5" s="133">
        <v>0</v>
      </c>
      <c r="AR5" s="134">
        <v>5.5E-2</v>
      </c>
      <c r="AS5" s="134">
        <v>3</v>
      </c>
      <c r="AT5" s="135"/>
      <c r="AU5" s="247">
        <v>2.1999999999999999E-2</v>
      </c>
      <c r="AV5" s="134">
        <v>1.0999999999999999E-2</v>
      </c>
      <c r="AW5" s="134" t="s">
        <v>65</v>
      </c>
      <c r="AX5" s="134">
        <v>0</v>
      </c>
      <c r="AY5" s="134" t="s">
        <v>65</v>
      </c>
      <c r="AZ5" s="134">
        <v>0</v>
      </c>
      <c r="BA5" s="134" t="s">
        <v>65</v>
      </c>
      <c r="BB5" s="134" t="s">
        <v>65</v>
      </c>
      <c r="BC5" s="134" t="s">
        <v>65</v>
      </c>
      <c r="BD5" s="137">
        <v>1</v>
      </c>
      <c r="BE5" s="137">
        <v>1337</v>
      </c>
      <c r="BF5" s="137">
        <v>1.5</v>
      </c>
      <c r="BG5" s="137" t="s">
        <v>72</v>
      </c>
      <c r="BH5" s="137">
        <v>1250</v>
      </c>
      <c r="BI5" s="137">
        <v>0</v>
      </c>
      <c r="BJ5" s="137" t="s">
        <v>65</v>
      </c>
      <c r="BK5" s="137">
        <v>0</v>
      </c>
      <c r="BL5" s="137" t="s">
        <v>65</v>
      </c>
      <c r="BM5" s="138" t="s">
        <v>67</v>
      </c>
      <c r="BN5" s="138" t="s">
        <v>67</v>
      </c>
      <c r="BO5" s="139" t="s">
        <v>67</v>
      </c>
      <c r="BP5" s="139" t="s">
        <v>67</v>
      </c>
      <c r="BQ5" s="246">
        <v>0</v>
      </c>
      <c r="BR5" s="246">
        <v>0</v>
      </c>
    </row>
    <row r="6" spans="1:70" ht="32.25" thickBot="1" x14ac:dyDescent="0.3">
      <c r="A6" s="71">
        <v>50</v>
      </c>
      <c r="B6" s="13" t="s">
        <v>121</v>
      </c>
      <c r="C6" s="242">
        <v>4</v>
      </c>
      <c r="D6" s="243">
        <v>4</v>
      </c>
      <c r="E6" s="126">
        <v>8</v>
      </c>
      <c r="F6" s="127">
        <v>8</v>
      </c>
      <c r="G6" s="127">
        <v>8</v>
      </c>
      <c r="H6" s="126">
        <v>8</v>
      </c>
      <c r="I6" s="127">
        <v>0</v>
      </c>
      <c r="J6" s="127">
        <v>0</v>
      </c>
      <c r="K6" s="126">
        <v>0</v>
      </c>
      <c r="L6" s="127">
        <v>0</v>
      </c>
      <c r="M6" s="127" t="s">
        <v>65</v>
      </c>
      <c r="N6" s="127">
        <v>0</v>
      </c>
      <c r="O6" s="244">
        <f>SUM(R6,V6,Z6,AM6,AR6,AU6)</f>
        <v>4.548</v>
      </c>
      <c r="P6" s="244">
        <f>SUM(S6,W6,AA6,AC6,AN6,AV6)</f>
        <v>3.8694999999999999</v>
      </c>
      <c r="Q6" s="244">
        <f>SUM(T6,X6,AB6,AO6)</f>
        <v>3.5810000000000004</v>
      </c>
      <c r="R6" s="129">
        <v>2.42</v>
      </c>
      <c r="S6" s="129">
        <v>1.92</v>
      </c>
      <c r="T6" s="129">
        <v>1.81</v>
      </c>
      <c r="U6" s="129"/>
      <c r="V6" s="130">
        <v>1.92</v>
      </c>
      <c r="W6" s="130">
        <v>1.54</v>
      </c>
      <c r="X6" s="130">
        <v>1.43</v>
      </c>
      <c r="Y6" s="130"/>
      <c r="Z6" s="131">
        <v>5.5E-2</v>
      </c>
      <c r="AA6" s="131">
        <v>2.4E-2</v>
      </c>
      <c r="AB6" s="131">
        <v>1.0999999999999999E-2</v>
      </c>
      <c r="AC6" s="132">
        <v>0.38</v>
      </c>
      <c r="AD6" s="132">
        <v>0</v>
      </c>
      <c r="AE6" s="126">
        <v>0</v>
      </c>
      <c r="AF6" s="126">
        <v>0</v>
      </c>
      <c r="AG6" s="126">
        <v>1</v>
      </c>
      <c r="AH6" s="126">
        <v>1.6</v>
      </c>
      <c r="AI6" s="126">
        <v>0</v>
      </c>
      <c r="AJ6" s="126">
        <v>0</v>
      </c>
      <c r="AK6" s="126">
        <v>0</v>
      </c>
      <c r="AL6" s="126">
        <v>0</v>
      </c>
      <c r="AM6" s="133">
        <v>0.11</v>
      </c>
      <c r="AN6" s="133">
        <v>0</v>
      </c>
      <c r="AO6" s="133">
        <v>0.33</v>
      </c>
      <c r="AP6" s="133">
        <v>0</v>
      </c>
      <c r="AQ6" s="133">
        <v>0</v>
      </c>
      <c r="AR6" s="134">
        <v>2.7E-2</v>
      </c>
      <c r="AS6" s="134">
        <v>1</v>
      </c>
      <c r="AT6" s="135"/>
      <c r="AU6" s="134">
        <v>1.6E-2</v>
      </c>
      <c r="AV6" s="134">
        <v>5.4999999999999997E-3</v>
      </c>
      <c r="AW6" s="134" t="s">
        <v>65</v>
      </c>
      <c r="AX6" s="134">
        <v>0</v>
      </c>
      <c r="AY6" s="134" t="s">
        <v>65</v>
      </c>
      <c r="AZ6" s="134">
        <v>0</v>
      </c>
      <c r="BA6" s="134" t="s">
        <v>65</v>
      </c>
      <c r="BB6" s="134" t="s">
        <v>65</v>
      </c>
      <c r="BC6" s="134" t="s">
        <v>67</v>
      </c>
      <c r="BD6" s="137">
        <v>1</v>
      </c>
      <c r="BE6" s="137">
        <v>15617.8</v>
      </c>
      <c r="BF6" s="245">
        <v>1.6</v>
      </c>
      <c r="BG6" s="137" t="s">
        <v>72</v>
      </c>
      <c r="BH6" s="137">
        <v>790</v>
      </c>
      <c r="BI6" s="137">
        <v>0</v>
      </c>
      <c r="BJ6" s="137" t="s">
        <v>65</v>
      </c>
      <c r="BK6" s="137">
        <v>0</v>
      </c>
      <c r="BL6" s="137" t="s">
        <v>65</v>
      </c>
      <c r="BM6" s="138" t="s">
        <v>67</v>
      </c>
      <c r="BN6" s="138" t="s">
        <v>67</v>
      </c>
      <c r="BO6" s="139" t="s">
        <v>65</v>
      </c>
      <c r="BP6" s="139" t="s">
        <v>65</v>
      </c>
      <c r="BQ6" s="246">
        <v>0</v>
      </c>
      <c r="BR6" s="246">
        <v>0</v>
      </c>
    </row>
    <row r="8" spans="1:70" ht="15.75" thickBot="1" x14ac:dyDescent="0.3"/>
    <row r="9" spans="1:70" ht="32.25" thickBot="1" x14ac:dyDescent="0.3">
      <c r="A9" s="71">
        <v>60</v>
      </c>
      <c r="B9" s="13" t="s">
        <v>64</v>
      </c>
      <c r="C9" s="242">
        <v>5</v>
      </c>
      <c r="D9" s="242">
        <v>5</v>
      </c>
      <c r="E9" s="126">
        <v>10</v>
      </c>
      <c r="F9" s="127">
        <v>10</v>
      </c>
      <c r="G9" s="127">
        <v>10</v>
      </c>
      <c r="H9" s="126">
        <v>10</v>
      </c>
      <c r="I9" s="127">
        <v>0</v>
      </c>
      <c r="J9" s="127">
        <v>0</v>
      </c>
      <c r="K9" s="126">
        <v>0</v>
      </c>
      <c r="L9" s="127">
        <v>0</v>
      </c>
      <c r="M9" s="127" t="s">
        <v>65</v>
      </c>
      <c r="N9" s="127">
        <v>0</v>
      </c>
      <c r="O9" s="244">
        <f>SUM(R9,V9,Z9,AM9,AR9,AU9)</f>
        <v>149.01</v>
      </c>
      <c r="P9" s="244">
        <f>SUM(S9,W9,AA9,AC9,AN9,AV9)</f>
        <v>139.89000000000004</v>
      </c>
      <c r="Q9" s="244">
        <f>SUM(T9,X9,AB9,AO9)</f>
        <v>127.2</v>
      </c>
      <c r="R9" s="129">
        <f>2.5*30</f>
        <v>75</v>
      </c>
      <c r="S9" s="129">
        <f>2.15*30</f>
        <v>64.5</v>
      </c>
      <c r="T9" s="129">
        <f>2.1*30</f>
        <v>63</v>
      </c>
      <c r="U9" s="129">
        <v>0</v>
      </c>
      <c r="V9" s="130">
        <f>2.14*30</f>
        <v>64.2</v>
      </c>
      <c r="W9" s="130">
        <f>1.83*30</f>
        <v>54.900000000000006</v>
      </c>
      <c r="X9" s="130">
        <f>1.8*30</f>
        <v>54</v>
      </c>
      <c r="Y9" s="130">
        <v>0</v>
      </c>
      <c r="Z9" s="131">
        <f>0.11*30</f>
        <v>3.3</v>
      </c>
      <c r="AA9" s="131">
        <f>0.056*30</f>
        <v>1.68</v>
      </c>
      <c r="AB9" s="131">
        <f>0.04*30</f>
        <v>1.2</v>
      </c>
      <c r="AC9" s="132">
        <f>0.56*30</f>
        <v>16.8</v>
      </c>
      <c r="AD9" s="132">
        <v>0</v>
      </c>
      <c r="AE9" s="126">
        <v>0</v>
      </c>
      <c r="AF9" s="126">
        <v>0</v>
      </c>
      <c r="AG9" s="126">
        <v>2</v>
      </c>
      <c r="AH9" s="126">
        <v>6</v>
      </c>
      <c r="AI9" s="126">
        <v>0</v>
      </c>
      <c r="AJ9" s="126">
        <v>0</v>
      </c>
      <c r="AK9" s="126">
        <v>0</v>
      </c>
      <c r="AL9" s="126">
        <v>0</v>
      </c>
      <c r="AM9" s="133">
        <f>0.14*30</f>
        <v>4.2</v>
      </c>
      <c r="AN9" s="133">
        <f>30*0.056</f>
        <v>1.68</v>
      </c>
      <c r="AO9" s="133">
        <f>0.3*30</f>
        <v>9</v>
      </c>
      <c r="AP9" s="133">
        <v>0</v>
      </c>
      <c r="AQ9" s="133">
        <v>0</v>
      </c>
      <c r="AR9" s="134">
        <f>0.055*30</f>
        <v>1.65</v>
      </c>
      <c r="AS9" s="134">
        <v>3</v>
      </c>
      <c r="AT9" s="135"/>
      <c r="AU9" s="247">
        <f>0.022*30</f>
        <v>0.65999999999999992</v>
      </c>
      <c r="AV9" s="134">
        <f>0.011*30</f>
        <v>0.32999999999999996</v>
      </c>
      <c r="AW9" s="134" t="s">
        <v>65</v>
      </c>
      <c r="AX9" s="134">
        <v>0</v>
      </c>
      <c r="AY9" s="134" t="s">
        <v>65</v>
      </c>
      <c r="AZ9" s="134">
        <v>0</v>
      </c>
      <c r="BA9" s="134" t="s">
        <v>65</v>
      </c>
      <c r="BB9" s="134" t="s">
        <v>65</v>
      </c>
      <c r="BC9" s="134" t="s">
        <v>65</v>
      </c>
      <c r="BD9" s="137">
        <v>1</v>
      </c>
      <c r="BE9" s="137">
        <v>1337</v>
      </c>
      <c r="BF9" s="137">
        <v>1.5</v>
      </c>
      <c r="BG9" s="137" t="s">
        <v>72</v>
      </c>
      <c r="BH9" s="137">
        <v>1250</v>
      </c>
      <c r="BI9" s="137">
        <v>0</v>
      </c>
      <c r="BJ9" s="137" t="s">
        <v>65</v>
      </c>
      <c r="BK9" s="137">
        <v>0</v>
      </c>
      <c r="BL9" s="137" t="s">
        <v>65</v>
      </c>
      <c r="BM9" s="138" t="s">
        <v>67</v>
      </c>
      <c r="BN9" s="138" t="s">
        <v>67</v>
      </c>
      <c r="BO9" s="139" t="s">
        <v>67</v>
      </c>
      <c r="BP9" s="139" t="s">
        <v>67</v>
      </c>
      <c r="BQ9" s="246">
        <v>0</v>
      </c>
      <c r="BR9" s="246">
        <v>0</v>
      </c>
    </row>
    <row r="10" spans="1:70" ht="32.25" thickBot="1" x14ac:dyDescent="0.3">
      <c r="A10" s="71">
        <v>50</v>
      </c>
      <c r="B10" s="13" t="s">
        <v>121</v>
      </c>
      <c r="C10" s="242">
        <v>4</v>
      </c>
      <c r="D10" s="243">
        <v>4</v>
      </c>
      <c r="E10" s="126">
        <v>8</v>
      </c>
      <c r="F10" s="127">
        <v>8</v>
      </c>
      <c r="G10" s="127">
        <v>8</v>
      </c>
      <c r="H10" s="126">
        <v>8</v>
      </c>
      <c r="I10" s="127">
        <v>0</v>
      </c>
      <c r="J10" s="127">
        <v>0</v>
      </c>
      <c r="K10" s="126">
        <v>0</v>
      </c>
      <c r="L10" s="127">
        <v>0</v>
      </c>
      <c r="M10" s="127" t="s">
        <v>65</v>
      </c>
      <c r="N10" s="127">
        <v>0</v>
      </c>
      <c r="O10" s="244">
        <f>SUM(R10,V10,Z10,AM10,AR10,AU10)</f>
        <v>140.01</v>
      </c>
      <c r="P10" s="244">
        <f>SUM(S10,W10,AA10,AC10,AN10,AV10)</f>
        <v>118.02</v>
      </c>
      <c r="Q10" s="244">
        <f>SUM(T10,X10,AB10,AO10)</f>
        <v>108.96</v>
      </c>
      <c r="R10" s="129">
        <f>2.46*30</f>
        <v>73.8</v>
      </c>
      <c r="S10" s="129">
        <f>1.96*30</f>
        <v>58.8</v>
      </c>
      <c r="T10" s="129">
        <f>30*1.82</f>
        <v>54.6</v>
      </c>
      <c r="U10" s="129"/>
      <c r="V10" s="130">
        <f>30*1.96</f>
        <v>58.8</v>
      </c>
      <c r="W10" s="130">
        <f>30*1.56</f>
        <v>46.800000000000004</v>
      </c>
      <c r="X10" s="130">
        <f>30*1.45</f>
        <v>43.5</v>
      </c>
      <c r="Y10" s="130"/>
      <c r="Z10" s="131">
        <f>30*0.057</f>
        <v>1.71</v>
      </c>
      <c r="AA10" s="131">
        <f>30*0.022</f>
        <v>0.65999999999999992</v>
      </c>
      <c r="AB10" s="131">
        <f>30*0.012</f>
        <v>0.36</v>
      </c>
      <c r="AC10" s="132">
        <f>30*0.39</f>
        <v>11.700000000000001</v>
      </c>
      <c r="AD10" s="132">
        <v>0</v>
      </c>
      <c r="AE10" s="126">
        <v>0</v>
      </c>
      <c r="AF10" s="126">
        <v>0</v>
      </c>
      <c r="AG10" s="126">
        <v>1</v>
      </c>
      <c r="AH10" s="126">
        <v>1.6</v>
      </c>
      <c r="AI10" s="126">
        <v>0</v>
      </c>
      <c r="AJ10" s="126">
        <v>0</v>
      </c>
      <c r="AK10" s="126">
        <v>0</v>
      </c>
      <c r="AL10" s="126">
        <v>0</v>
      </c>
      <c r="AM10" s="133">
        <f>30*0.15</f>
        <v>4.5</v>
      </c>
      <c r="AN10" s="133">
        <v>0</v>
      </c>
      <c r="AO10" s="133">
        <f>30*0.35</f>
        <v>10.5</v>
      </c>
      <c r="AP10" s="133">
        <v>0</v>
      </c>
      <c r="AQ10" s="133">
        <v>0</v>
      </c>
      <c r="AR10" s="134">
        <f>30*0.021</f>
        <v>0.63</v>
      </c>
      <c r="AS10" s="134">
        <v>1</v>
      </c>
      <c r="AT10" s="135"/>
      <c r="AU10" s="134">
        <f>30*0.019</f>
        <v>0.56999999999999995</v>
      </c>
      <c r="AV10" s="134">
        <f>30*0.002</f>
        <v>0.06</v>
      </c>
      <c r="AW10" s="134" t="s">
        <v>65</v>
      </c>
      <c r="AX10" s="134">
        <v>0</v>
      </c>
      <c r="AY10" s="134" t="s">
        <v>65</v>
      </c>
      <c r="AZ10" s="134">
        <v>0</v>
      </c>
      <c r="BA10" s="134" t="s">
        <v>65</v>
      </c>
      <c r="BB10" s="134" t="s">
        <v>65</v>
      </c>
      <c r="BC10" s="134" t="s">
        <v>67</v>
      </c>
      <c r="BD10" s="137">
        <v>1</v>
      </c>
      <c r="BE10" s="137">
        <v>15617.8</v>
      </c>
      <c r="BF10" s="245">
        <v>1.6</v>
      </c>
      <c r="BG10" s="137" t="s">
        <v>72</v>
      </c>
      <c r="BH10" s="137">
        <v>790</v>
      </c>
      <c r="BI10" s="137">
        <v>0</v>
      </c>
      <c r="BJ10" s="137" t="s">
        <v>65</v>
      </c>
      <c r="BK10" s="137">
        <v>0</v>
      </c>
      <c r="BL10" s="137" t="s">
        <v>65</v>
      </c>
      <c r="BM10" s="138" t="s">
        <v>67</v>
      </c>
      <c r="BN10" s="138" t="s">
        <v>67</v>
      </c>
      <c r="BO10" s="139" t="s">
        <v>65</v>
      </c>
      <c r="BP10" s="139" t="s">
        <v>65</v>
      </c>
      <c r="BQ10" s="246">
        <v>0</v>
      </c>
      <c r="BR10" s="246">
        <v>0</v>
      </c>
    </row>
  </sheetData>
  <mergeCells count="21">
    <mergeCell ref="Z1:AB1"/>
    <mergeCell ref="A1:A3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  <mergeCell ref="BM1:BN1"/>
    <mergeCell ref="BO1:BP1"/>
    <mergeCell ref="BQ2:BR2"/>
    <mergeCell ref="AC1:AD1"/>
    <mergeCell ref="AE1:AL1"/>
    <mergeCell ref="AM1:AQ1"/>
    <mergeCell ref="AR1:AT1"/>
    <mergeCell ref="AU1:BC1"/>
    <mergeCell ref="BD1:BL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"/>
  <sheetViews>
    <sheetView topLeftCell="M3" workbookViewId="0">
      <selection activeCell="V12" sqref="V11:V12"/>
    </sheetView>
  </sheetViews>
  <sheetFormatPr defaultRowHeight="15" x14ac:dyDescent="0.25"/>
  <cols>
    <col min="2" max="2" width="15.7109375" customWidth="1"/>
  </cols>
  <sheetData>
    <row r="1" spans="1:70" ht="15.75" x14ac:dyDescent="0.25">
      <c r="A1" s="1265" t="s">
        <v>0</v>
      </c>
      <c r="B1" s="1266" t="s">
        <v>1</v>
      </c>
      <c r="C1" s="1207" t="s">
        <v>2</v>
      </c>
      <c r="D1" s="1207"/>
      <c r="E1" s="1207"/>
      <c r="F1" s="1207" t="s">
        <v>3</v>
      </c>
      <c r="G1" s="1207"/>
      <c r="H1" s="1207"/>
      <c r="I1" s="1207" t="s">
        <v>4</v>
      </c>
      <c r="J1" s="1207"/>
      <c r="K1" s="1207"/>
      <c r="L1" s="1207" t="s">
        <v>5</v>
      </c>
      <c r="M1" s="1207" t="s">
        <v>6</v>
      </c>
      <c r="N1" s="1207" t="s">
        <v>7</v>
      </c>
      <c r="O1" s="1213" t="s">
        <v>8</v>
      </c>
      <c r="P1" s="1213"/>
      <c r="Q1" s="1213"/>
      <c r="R1" s="1214" t="s">
        <v>9</v>
      </c>
      <c r="S1" s="1214"/>
      <c r="T1" s="1214"/>
      <c r="U1" s="1214"/>
      <c r="V1" s="1215" t="s">
        <v>10</v>
      </c>
      <c r="W1" s="1215"/>
      <c r="X1" s="1215"/>
      <c r="Y1" s="1215"/>
      <c r="Z1" s="1206" t="s">
        <v>11</v>
      </c>
      <c r="AA1" s="1206"/>
      <c r="AB1" s="1206"/>
      <c r="AC1" s="1210" t="s">
        <v>12</v>
      </c>
      <c r="AD1" s="1210"/>
      <c r="AE1" s="1277" t="s">
        <v>13</v>
      </c>
      <c r="AF1" s="1277"/>
      <c r="AG1" s="1277"/>
      <c r="AH1" s="1277"/>
      <c r="AI1" s="1277"/>
      <c r="AJ1" s="1277"/>
      <c r="AK1" s="1277"/>
      <c r="AL1" s="1277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212" t="s">
        <v>14</v>
      </c>
      <c r="BE1" s="1212"/>
      <c r="BF1" s="1212"/>
      <c r="BG1" s="1212"/>
      <c r="BH1" s="1212"/>
      <c r="BI1" s="1212"/>
      <c r="BJ1" s="1212"/>
      <c r="BK1" s="1212"/>
      <c r="BL1" s="1212"/>
      <c r="BM1" s="1208" t="s">
        <v>15</v>
      </c>
      <c r="BN1" s="1208"/>
      <c r="BO1" s="1209" t="s">
        <v>16</v>
      </c>
      <c r="BP1" s="1209"/>
      <c r="BQ1" s="261"/>
      <c r="BR1" s="261"/>
    </row>
    <row r="2" spans="1:70" ht="225" x14ac:dyDescent="0.25">
      <c r="A2" s="1265"/>
      <c r="B2" s="1266"/>
      <c r="C2" s="1207"/>
      <c r="D2" s="1207"/>
      <c r="E2" s="1207"/>
      <c r="F2" s="1207"/>
      <c r="G2" s="1207"/>
      <c r="H2" s="1207"/>
      <c r="I2" s="1207"/>
      <c r="J2" s="1207"/>
      <c r="K2" s="1207"/>
      <c r="L2" s="1207"/>
      <c r="M2" s="1207"/>
      <c r="N2" s="1207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257" t="s">
        <v>23</v>
      </c>
      <c r="V2" s="42" t="s">
        <v>24</v>
      </c>
      <c r="W2" s="217" t="s">
        <v>25</v>
      </c>
      <c r="X2" s="218" t="s">
        <v>26</v>
      </c>
      <c r="Y2" s="258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55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254" t="s">
        <v>105</v>
      </c>
      <c r="AQ2" s="254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256" t="s">
        <v>14</v>
      </c>
      <c r="BE2" s="256" t="s">
        <v>39</v>
      </c>
      <c r="BF2" s="256" t="s">
        <v>40</v>
      </c>
      <c r="BG2" s="256" t="s">
        <v>41</v>
      </c>
      <c r="BH2" s="256" t="s">
        <v>42</v>
      </c>
      <c r="BI2" s="256" t="s">
        <v>43</v>
      </c>
      <c r="BJ2" s="256" t="s">
        <v>44</v>
      </c>
      <c r="BK2" s="256" t="s">
        <v>45</v>
      </c>
      <c r="BL2" s="256" t="s">
        <v>46</v>
      </c>
      <c r="BM2" s="253" t="s">
        <v>47</v>
      </c>
      <c r="BN2" s="253" t="s">
        <v>48</v>
      </c>
      <c r="BO2" s="254" t="s">
        <v>49</v>
      </c>
      <c r="BP2" s="254" t="s">
        <v>50</v>
      </c>
      <c r="BQ2" s="1208" t="s">
        <v>130</v>
      </c>
      <c r="BR2" s="1276"/>
    </row>
    <row r="3" spans="1:70" ht="75" x14ac:dyDescent="0.25">
      <c r="A3" s="1265"/>
      <c r="B3" s="1266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107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29" t="s">
        <v>59</v>
      </c>
      <c r="BF3" s="29" t="s">
        <v>60</v>
      </c>
      <c r="BG3" s="29" t="s">
        <v>61</v>
      </c>
      <c r="BH3" s="107" t="s">
        <v>62</v>
      </c>
      <c r="BI3" s="29" t="s">
        <v>57</v>
      </c>
      <c r="BJ3" s="107" t="s">
        <v>127</v>
      </c>
      <c r="BK3" s="29" t="s">
        <v>62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253" t="s">
        <v>131</v>
      </c>
      <c r="BR3" s="253" t="s">
        <v>132</v>
      </c>
    </row>
    <row r="4" spans="1:70" ht="16.5" thickBot="1" x14ac:dyDescent="0.3">
      <c r="A4" s="259"/>
      <c r="B4" s="260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48"/>
      <c r="P4" s="217"/>
      <c r="Q4" s="218"/>
      <c r="R4" s="42"/>
      <c r="S4" s="217"/>
      <c r="T4" s="218"/>
      <c r="U4" s="107"/>
      <c r="V4" s="42"/>
      <c r="W4" s="217"/>
      <c r="X4" s="218"/>
      <c r="Y4" s="107"/>
      <c r="Z4" s="42"/>
      <c r="AA4" s="217"/>
      <c r="AB4" s="218"/>
      <c r="AC4" s="217"/>
      <c r="AD4" s="107"/>
      <c r="AE4" s="29"/>
      <c r="AF4" s="107"/>
      <c r="AG4" s="29"/>
      <c r="AH4" s="107"/>
      <c r="AI4" s="29"/>
      <c r="AJ4" s="107"/>
      <c r="AK4" s="29"/>
      <c r="AL4" s="107"/>
      <c r="AM4" s="42"/>
      <c r="AN4" s="217"/>
      <c r="AO4" s="218"/>
      <c r="AP4" s="29"/>
      <c r="AQ4" s="107"/>
      <c r="AR4" s="42"/>
      <c r="AS4" s="29"/>
      <c r="AT4" s="107"/>
      <c r="AU4" s="42"/>
      <c r="AV4" s="217"/>
      <c r="AW4" s="107"/>
      <c r="AX4" s="107"/>
      <c r="AY4" s="107"/>
      <c r="AZ4" s="107"/>
      <c r="BA4" s="107"/>
      <c r="BB4" s="107"/>
      <c r="BC4" s="107"/>
      <c r="BD4" s="29"/>
      <c r="BE4" s="29"/>
      <c r="BF4" s="29"/>
      <c r="BG4" s="29"/>
      <c r="BH4" s="107"/>
      <c r="BI4" s="29"/>
      <c r="BJ4" s="107"/>
      <c r="BK4" s="29"/>
      <c r="BL4" s="107"/>
      <c r="BM4" s="107"/>
      <c r="BN4" s="107"/>
      <c r="BO4" s="107"/>
      <c r="BP4" s="107"/>
      <c r="BQ4" s="107" t="s">
        <v>54</v>
      </c>
      <c r="BR4" s="107" t="s">
        <v>54</v>
      </c>
    </row>
    <row r="5" spans="1:70" ht="32.25" thickBot="1" x14ac:dyDescent="0.3">
      <c r="A5" s="71">
        <v>60</v>
      </c>
      <c r="B5" s="13" t="s">
        <v>64</v>
      </c>
      <c r="C5" s="242">
        <v>5</v>
      </c>
      <c r="D5" s="242">
        <v>5</v>
      </c>
      <c r="E5" s="126">
        <v>10</v>
      </c>
      <c r="F5" s="127">
        <v>10</v>
      </c>
      <c r="G5" s="127">
        <v>10</v>
      </c>
      <c r="H5" s="126">
        <v>10</v>
      </c>
      <c r="I5" s="127">
        <v>0</v>
      </c>
      <c r="J5" s="127">
        <v>0</v>
      </c>
      <c r="K5" s="126">
        <v>0</v>
      </c>
      <c r="L5" s="127">
        <v>0</v>
      </c>
      <c r="M5" s="127" t="s">
        <v>65</v>
      </c>
      <c r="N5" s="127">
        <v>0</v>
      </c>
      <c r="O5" s="244">
        <f>SUM(R5,V5,Z5,AM5,AR5,AU5)</f>
        <v>5.0200000000000005</v>
      </c>
      <c r="P5" s="244">
        <f>SUM(S5,W5,AA5,AC5,AN5,AV5)</f>
        <v>4.6079999999999997</v>
      </c>
      <c r="Q5" s="244">
        <f>SUM(T5,X5,AB5,AO5)</f>
        <v>4.1179999999999994</v>
      </c>
      <c r="R5" s="129">
        <v>2.54</v>
      </c>
      <c r="S5" s="129">
        <v>2.15</v>
      </c>
      <c r="T5" s="129">
        <v>2.04</v>
      </c>
      <c r="U5" s="129">
        <v>0</v>
      </c>
      <c r="V5" s="130">
        <v>2.14</v>
      </c>
      <c r="W5" s="130">
        <v>1.83</v>
      </c>
      <c r="X5" s="130">
        <v>1.76</v>
      </c>
      <c r="Y5" s="130">
        <v>0</v>
      </c>
      <c r="Z5" s="131">
        <v>0.11</v>
      </c>
      <c r="AA5" s="131">
        <v>5.6000000000000001E-2</v>
      </c>
      <c r="AB5" s="131">
        <v>3.7999999999999999E-2</v>
      </c>
      <c r="AC5" s="132">
        <v>0.56000000000000005</v>
      </c>
      <c r="AD5" s="132">
        <v>0</v>
      </c>
      <c r="AE5" s="126">
        <v>0</v>
      </c>
      <c r="AF5" s="126">
        <v>0</v>
      </c>
      <c r="AG5" s="126">
        <v>2</v>
      </c>
      <c r="AH5" s="126">
        <v>6</v>
      </c>
      <c r="AI5" s="126">
        <v>0</v>
      </c>
      <c r="AJ5" s="126">
        <v>0</v>
      </c>
      <c r="AK5" s="126">
        <v>0</v>
      </c>
      <c r="AL5" s="126">
        <v>0</v>
      </c>
      <c r="AM5" s="133">
        <v>0.15</v>
      </c>
      <c r="AN5" s="133">
        <v>0</v>
      </c>
      <c r="AO5" s="133">
        <v>0.28000000000000003</v>
      </c>
      <c r="AP5" s="133">
        <v>0</v>
      </c>
      <c r="AQ5" s="133">
        <v>0</v>
      </c>
      <c r="AR5" s="134">
        <v>5.6000000000000001E-2</v>
      </c>
      <c r="AS5" s="134">
        <v>3</v>
      </c>
      <c r="AT5" s="135"/>
      <c r="AU5" s="247">
        <v>2.4E-2</v>
      </c>
      <c r="AV5" s="134">
        <v>1.2E-2</v>
      </c>
      <c r="AW5" s="134" t="s">
        <v>65</v>
      </c>
      <c r="AX5" s="134">
        <v>0</v>
      </c>
      <c r="AY5" s="134" t="s">
        <v>65</v>
      </c>
      <c r="AZ5" s="134">
        <v>0</v>
      </c>
      <c r="BA5" s="134" t="s">
        <v>65</v>
      </c>
      <c r="BB5" s="134" t="s">
        <v>65</v>
      </c>
      <c r="BC5" s="134" t="s">
        <v>65</v>
      </c>
      <c r="BD5" s="137">
        <v>1</v>
      </c>
      <c r="BE5" s="137">
        <v>1337</v>
      </c>
      <c r="BF5" s="137">
        <v>1.5</v>
      </c>
      <c r="BG5" s="137" t="s">
        <v>72</v>
      </c>
      <c r="BH5" s="137">
        <v>1250</v>
      </c>
      <c r="BI5" s="137">
        <v>0</v>
      </c>
      <c r="BJ5" s="137" t="s">
        <v>65</v>
      </c>
      <c r="BK5" s="137">
        <v>0</v>
      </c>
      <c r="BL5" s="137" t="s">
        <v>65</v>
      </c>
      <c r="BM5" s="138" t="s">
        <v>67</v>
      </c>
      <c r="BN5" s="138" t="s">
        <v>67</v>
      </c>
      <c r="BO5" s="139" t="s">
        <v>67</v>
      </c>
      <c r="BP5" s="139" t="s">
        <v>67</v>
      </c>
      <c r="BQ5" s="246">
        <v>0</v>
      </c>
      <c r="BR5" s="246">
        <v>0</v>
      </c>
    </row>
    <row r="6" spans="1:70" ht="32.25" thickBot="1" x14ac:dyDescent="0.3">
      <c r="A6" s="71">
        <v>50</v>
      </c>
      <c r="B6" s="13" t="s">
        <v>121</v>
      </c>
      <c r="C6" s="242">
        <v>4</v>
      </c>
      <c r="D6" s="243">
        <v>4</v>
      </c>
      <c r="E6" s="126">
        <v>8</v>
      </c>
      <c r="F6" s="127">
        <v>8</v>
      </c>
      <c r="G6" s="127">
        <v>8</v>
      </c>
      <c r="H6" s="126">
        <v>8</v>
      </c>
      <c r="I6" s="127">
        <v>0</v>
      </c>
      <c r="J6" s="127">
        <v>0</v>
      </c>
      <c r="K6" s="126">
        <v>0</v>
      </c>
      <c r="L6" s="127">
        <v>0</v>
      </c>
      <c r="M6" s="127" t="s">
        <v>65</v>
      </c>
      <c r="N6" s="127">
        <v>0</v>
      </c>
      <c r="O6" s="244">
        <f>SUM(R6,V6,Z6,AM6,AR6,AU6)</f>
        <v>4.5770000000000008</v>
      </c>
      <c r="P6" s="244">
        <f>SUM(S6,W6,AA6,AC6,AN6,AV6)</f>
        <v>3.8885000000000001</v>
      </c>
      <c r="Q6" s="244">
        <f>SUM(T6,X6,AB6,AO6)</f>
        <v>3.5920000000000001</v>
      </c>
      <c r="R6" s="129">
        <v>2.4300000000000002</v>
      </c>
      <c r="S6" s="129">
        <v>1.93</v>
      </c>
      <c r="T6" s="129">
        <v>1.8</v>
      </c>
      <c r="U6" s="129"/>
      <c r="V6" s="130">
        <v>1.93</v>
      </c>
      <c r="W6" s="130">
        <v>1.54</v>
      </c>
      <c r="X6" s="130">
        <v>1.44</v>
      </c>
      <c r="Y6" s="130"/>
      <c r="Z6" s="131">
        <v>5.3999999999999999E-2</v>
      </c>
      <c r="AA6" s="131">
        <v>2.3E-2</v>
      </c>
      <c r="AB6" s="131">
        <v>1.2E-2</v>
      </c>
      <c r="AC6" s="132">
        <v>0.39</v>
      </c>
      <c r="AD6" s="132">
        <v>0</v>
      </c>
      <c r="AE6" s="126">
        <v>0</v>
      </c>
      <c r="AF6" s="126">
        <v>0</v>
      </c>
      <c r="AG6" s="126">
        <v>1</v>
      </c>
      <c r="AH6" s="126">
        <v>1.6</v>
      </c>
      <c r="AI6" s="126">
        <v>0</v>
      </c>
      <c r="AJ6" s="126">
        <v>0</v>
      </c>
      <c r="AK6" s="126">
        <v>0</v>
      </c>
      <c r="AL6" s="126">
        <v>0</v>
      </c>
      <c r="AM6" s="133">
        <v>0.12</v>
      </c>
      <c r="AN6" s="133">
        <v>0</v>
      </c>
      <c r="AO6" s="133">
        <v>0.34</v>
      </c>
      <c r="AP6" s="133">
        <v>0</v>
      </c>
      <c r="AQ6" s="133">
        <v>0</v>
      </c>
      <c r="AR6" s="134">
        <v>2.7E-2</v>
      </c>
      <c r="AS6" s="134">
        <v>1</v>
      </c>
      <c r="AT6" s="135"/>
      <c r="AU6" s="134">
        <v>1.6E-2</v>
      </c>
      <c r="AV6" s="134">
        <v>5.4999999999999997E-3</v>
      </c>
      <c r="AW6" s="134" t="s">
        <v>65</v>
      </c>
      <c r="AX6" s="134">
        <v>0</v>
      </c>
      <c r="AY6" s="134" t="s">
        <v>65</v>
      </c>
      <c r="AZ6" s="134">
        <v>0</v>
      </c>
      <c r="BA6" s="134" t="s">
        <v>65</v>
      </c>
      <c r="BB6" s="134" t="s">
        <v>65</v>
      </c>
      <c r="BC6" s="134" t="s">
        <v>67</v>
      </c>
      <c r="BD6" s="137">
        <v>1</v>
      </c>
      <c r="BE6" s="137">
        <v>15617.8</v>
      </c>
      <c r="BF6" s="245">
        <v>1.6</v>
      </c>
      <c r="BG6" s="137" t="s">
        <v>72</v>
      </c>
      <c r="BH6" s="137">
        <v>790</v>
      </c>
      <c r="BI6" s="137">
        <v>0</v>
      </c>
      <c r="BJ6" s="137" t="s">
        <v>65</v>
      </c>
      <c r="BK6" s="137">
        <v>0</v>
      </c>
      <c r="BL6" s="137" t="s">
        <v>65</v>
      </c>
      <c r="BM6" s="138" t="s">
        <v>67</v>
      </c>
      <c r="BN6" s="138" t="s">
        <v>67</v>
      </c>
      <c r="BO6" s="139" t="s">
        <v>65</v>
      </c>
      <c r="BP6" s="139" t="s">
        <v>65</v>
      </c>
      <c r="BQ6" s="246">
        <v>0</v>
      </c>
      <c r="BR6" s="246">
        <v>0</v>
      </c>
    </row>
    <row r="7" spans="1:70" ht="15.75" thickBot="1" x14ac:dyDescent="0.3"/>
    <row r="8" spans="1:70" ht="32.25" thickBot="1" x14ac:dyDescent="0.3">
      <c r="A8" s="71">
        <v>60</v>
      </c>
      <c r="B8" s="13" t="s">
        <v>64</v>
      </c>
      <c r="C8" s="242">
        <v>5</v>
      </c>
      <c r="D8" s="242">
        <v>5</v>
      </c>
      <c r="E8" s="126">
        <v>10</v>
      </c>
      <c r="F8" s="127">
        <v>10</v>
      </c>
      <c r="G8" s="127">
        <v>10</v>
      </c>
      <c r="H8" s="126">
        <v>10</v>
      </c>
      <c r="I8" s="127">
        <v>0</v>
      </c>
      <c r="J8" s="127">
        <v>0</v>
      </c>
      <c r="K8" s="126">
        <v>0</v>
      </c>
      <c r="L8" s="127">
        <v>0</v>
      </c>
      <c r="M8" s="127" t="s">
        <v>65</v>
      </c>
      <c r="N8" s="127">
        <v>0</v>
      </c>
      <c r="O8" s="244">
        <f>SUM(R8,V8,Z8,AM8,AR8,AU8)</f>
        <v>148.99999999999997</v>
      </c>
      <c r="P8" s="244">
        <f>SUM(S8,W8,AA8,AC8,AN8,AV8)</f>
        <v>140</v>
      </c>
      <c r="Q8" s="244">
        <f>SUM(T8,X8,AB8,AO8)</f>
        <v>127</v>
      </c>
      <c r="R8" s="272">
        <f>30*2.53</f>
        <v>75.899999999999991</v>
      </c>
      <c r="S8" s="129">
        <v>65.2</v>
      </c>
      <c r="T8" s="129">
        <f>30*2.07</f>
        <v>62.099999999999994</v>
      </c>
      <c r="U8" s="129">
        <f>30*0</f>
        <v>0</v>
      </c>
      <c r="V8" s="271">
        <v>63.89</v>
      </c>
      <c r="W8" s="130">
        <v>54.92</v>
      </c>
      <c r="X8" s="130">
        <f>30*1.77</f>
        <v>53.1</v>
      </c>
      <c r="Y8" s="130">
        <v>0</v>
      </c>
      <c r="Z8" s="131">
        <f>30*0.09</f>
        <v>2.6999999999999997</v>
      </c>
      <c r="AA8" s="131">
        <v>1.73</v>
      </c>
      <c r="AB8" s="131">
        <f>30*0.03</f>
        <v>0.89999999999999991</v>
      </c>
      <c r="AC8" s="132">
        <f>30*0.59</f>
        <v>17.7</v>
      </c>
      <c r="AD8" s="132">
        <v>0</v>
      </c>
      <c r="AE8" s="126">
        <v>0</v>
      </c>
      <c r="AF8" s="126">
        <v>0</v>
      </c>
      <c r="AG8" s="126">
        <v>2</v>
      </c>
      <c r="AH8" s="126">
        <v>6</v>
      </c>
      <c r="AI8" s="126">
        <v>0</v>
      </c>
      <c r="AJ8" s="126">
        <v>0</v>
      </c>
      <c r="AK8" s="126">
        <v>0</v>
      </c>
      <c r="AL8" s="126">
        <v>0</v>
      </c>
      <c r="AM8" s="133">
        <f>30*0.14</f>
        <v>4.2</v>
      </c>
      <c r="AN8" s="133">
        <v>0</v>
      </c>
      <c r="AO8" s="133">
        <v>10.9</v>
      </c>
      <c r="AP8" s="133">
        <v>0</v>
      </c>
      <c r="AQ8" s="133">
        <v>0</v>
      </c>
      <c r="AR8" s="134">
        <f>30*0.053</f>
        <v>1.5899999999999999</v>
      </c>
      <c r="AS8" s="134">
        <v>3</v>
      </c>
      <c r="AT8" s="135"/>
      <c r="AU8" s="247">
        <f>30*0.024</f>
        <v>0.72</v>
      </c>
      <c r="AV8" s="134">
        <f>30*0.015</f>
        <v>0.44999999999999996</v>
      </c>
      <c r="AW8" s="134" t="s">
        <v>65</v>
      </c>
      <c r="AX8" s="134">
        <v>0</v>
      </c>
      <c r="AY8" s="134" t="s">
        <v>65</v>
      </c>
      <c r="AZ8" s="134">
        <v>0</v>
      </c>
      <c r="BA8" s="134" t="s">
        <v>65</v>
      </c>
      <c r="BB8" s="134" t="s">
        <v>65</v>
      </c>
      <c r="BC8" s="134" t="s">
        <v>65</v>
      </c>
      <c r="BD8" s="137">
        <v>1</v>
      </c>
      <c r="BE8" s="137">
        <v>1337</v>
      </c>
      <c r="BF8" s="137">
        <v>1.5</v>
      </c>
      <c r="BG8" s="137" t="s">
        <v>72</v>
      </c>
      <c r="BH8" s="137">
        <v>1250</v>
      </c>
      <c r="BI8" s="137">
        <v>0</v>
      </c>
      <c r="BJ8" s="137" t="s">
        <v>65</v>
      </c>
      <c r="BK8" s="137">
        <v>0</v>
      </c>
      <c r="BL8" s="137" t="s">
        <v>65</v>
      </c>
      <c r="BM8" s="138" t="s">
        <v>67</v>
      </c>
      <c r="BN8" s="138" t="s">
        <v>67</v>
      </c>
      <c r="BO8" s="139" t="s">
        <v>67</v>
      </c>
      <c r="BP8" s="139" t="s">
        <v>67</v>
      </c>
      <c r="BQ8" s="246">
        <v>0</v>
      </c>
      <c r="BR8" s="246">
        <v>0</v>
      </c>
    </row>
    <row r="9" spans="1:70" ht="32.25" thickBot="1" x14ac:dyDescent="0.3">
      <c r="A9" s="71">
        <v>50</v>
      </c>
      <c r="B9" s="13" t="s">
        <v>121</v>
      </c>
      <c r="C9" s="242">
        <v>4</v>
      </c>
      <c r="D9" s="243">
        <v>4</v>
      </c>
      <c r="E9" s="126">
        <v>8</v>
      </c>
      <c r="F9" s="127">
        <v>8</v>
      </c>
      <c r="G9" s="127">
        <v>8</v>
      </c>
      <c r="H9" s="126">
        <v>8</v>
      </c>
      <c r="I9" s="127">
        <v>0</v>
      </c>
      <c r="J9" s="127">
        <v>0</v>
      </c>
      <c r="K9" s="126">
        <v>0</v>
      </c>
      <c r="L9" s="127">
        <v>0</v>
      </c>
      <c r="M9" s="127" t="s">
        <v>65</v>
      </c>
      <c r="N9" s="127">
        <v>0</v>
      </c>
      <c r="O9" s="244">
        <f>SUM(R9,V9,Z9,AM9,AR9,AU9)</f>
        <v>140</v>
      </c>
      <c r="P9" s="244">
        <v>118</v>
      </c>
      <c r="Q9" s="244">
        <f>SUM(T9,X9,AB9,AO9)</f>
        <v>109.02000000000001</v>
      </c>
      <c r="R9" s="129">
        <f>30*2.47</f>
        <v>74.100000000000009</v>
      </c>
      <c r="S9" s="129">
        <v>58.6</v>
      </c>
      <c r="T9" s="129">
        <f>30*1.8</f>
        <v>54</v>
      </c>
      <c r="U9" s="129"/>
      <c r="V9" s="130">
        <f>30*1.98</f>
        <v>59.4</v>
      </c>
      <c r="W9" s="130">
        <v>46.5</v>
      </c>
      <c r="X9" s="130">
        <f>30*1.43</f>
        <v>42.9</v>
      </c>
      <c r="Y9" s="130"/>
      <c r="Z9" s="131">
        <f>30*0.053</f>
        <v>1.5899999999999999</v>
      </c>
      <c r="AA9" s="131">
        <v>0.73</v>
      </c>
      <c r="AB9" s="131">
        <f>30*0.014</f>
        <v>0.42</v>
      </c>
      <c r="AC9" s="132">
        <f>30*0.4</f>
        <v>12</v>
      </c>
      <c r="AD9" s="132">
        <v>0</v>
      </c>
      <c r="AE9" s="126">
        <v>0</v>
      </c>
      <c r="AF9" s="126">
        <v>0</v>
      </c>
      <c r="AG9" s="126">
        <v>1</v>
      </c>
      <c r="AH9" s="126">
        <v>1.6</v>
      </c>
      <c r="AI9" s="126">
        <v>0</v>
      </c>
      <c r="AJ9" s="126">
        <v>0</v>
      </c>
      <c r="AK9" s="126">
        <v>0</v>
      </c>
      <c r="AL9" s="126">
        <v>0</v>
      </c>
      <c r="AM9" s="133">
        <f>30*0.12</f>
        <v>3.5999999999999996</v>
      </c>
      <c r="AN9" s="133">
        <v>0</v>
      </c>
      <c r="AO9" s="133">
        <f>30*0.39</f>
        <v>11.700000000000001</v>
      </c>
      <c r="AP9" s="133">
        <v>0</v>
      </c>
      <c r="AQ9" s="133">
        <v>0</v>
      </c>
      <c r="AR9" s="134">
        <v>0.83</v>
      </c>
      <c r="AS9" s="134">
        <v>1</v>
      </c>
      <c r="AT9" s="135"/>
      <c r="AU9" s="134">
        <f>30*0.016</f>
        <v>0.48</v>
      </c>
      <c r="AV9" s="134">
        <f>30*0.0059</f>
        <v>0.17699999999999999</v>
      </c>
      <c r="AW9" s="134" t="s">
        <v>65</v>
      </c>
      <c r="AX9" s="134">
        <v>0</v>
      </c>
      <c r="AY9" s="134" t="s">
        <v>65</v>
      </c>
      <c r="AZ9" s="134">
        <v>0</v>
      </c>
      <c r="BA9" s="134" t="s">
        <v>65</v>
      </c>
      <c r="BB9" s="134" t="s">
        <v>65</v>
      </c>
      <c r="BC9" s="134" t="s">
        <v>67</v>
      </c>
      <c r="BD9" s="137">
        <v>1</v>
      </c>
      <c r="BE9" s="137">
        <v>15617.8</v>
      </c>
      <c r="BF9" s="245">
        <v>1.6</v>
      </c>
      <c r="BG9" s="137" t="s">
        <v>72</v>
      </c>
      <c r="BH9" s="137">
        <v>790</v>
      </c>
      <c r="BI9" s="137">
        <v>0</v>
      </c>
      <c r="BJ9" s="137" t="s">
        <v>65</v>
      </c>
      <c r="BK9" s="137">
        <v>0</v>
      </c>
      <c r="BL9" s="137" t="s">
        <v>65</v>
      </c>
      <c r="BM9" s="138" t="s">
        <v>67</v>
      </c>
      <c r="BN9" s="138" t="s">
        <v>67</v>
      </c>
      <c r="BO9" s="139" t="s">
        <v>65</v>
      </c>
      <c r="BP9" s="139" t="s">
        <v>65</v>
      </c>
      <c r="BQ9" s="246">
        <v>0</v>
      </c>
      <c r="BR9" s="246">
        <v>0</v>
      </c>
    </row>
  </sheetData>
  <mergeCells count="21">
    <mergeCell ref="Z1:AB1"/>
    <mergeCell ref="A1:A3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  <mergeCell ref="BM1:BN1"/>
    <mergeCell ref="BO1:BP1"/>
    <mergeCell ref="BQ2:BR2"/>
    <mergeCell ref="AC1:AD1"/>
    <mergeCell ref="AE1:AL1"/>
    <mergeCell ref="AM1:AQ1"/>
    <mergeCell ref="AR1:AT1"/>
    <mergeCell ref="AU1:BC1"/>
    <mergeCell ref="BD1:BL1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6"/>
  <sheetViews>
    <sheetView topLeftCell="K3" workbookViewId="0">
      <selection activeCell="R6" sqref="R6"/>
    </sheetView>
  </sheetViews>
  <sheetFormatPr defaultRowHeight="15" x14ac:dyDescent="0.25"/>
  <cols>
    <col min="2" max="2" width="15.7109375" customWidth="1"/>
  </cols>
  <sheetData>
    <row r="1" spans="1:70" ht="15.75" x14ac:dyDescent="0.25">
      <c r="A1" s="1265" t="s">
        <v>0</v>
      </c>
      <c r="B1" s="1266" t="s">
        <v>1</v>
      </c>
      <c r="C1" s="1207" t="s">
        <v>2</v>
      </c>
      <c r="D1" s="1207"/>
      <c r="E1" s="1207"/>
      <c r="F1" s="1207" t="s">
        <v>3</v>
      </c>
      <c r="G1" s="1207"/>
      <c r="H1" s="1207"/>
      <c r="I1" s="1207" t="s">
        <v>4</v>
      </c>
      <c r="J1" s="1207"/>
      <c r="K1" s="1207"/>
      <c r="L1" s="1207" t="s">
        <v>5</v>
      </c>
      <c r="M1" s="1207" t="s">
        <v>6</v>
      </c>
      <c r="N1" s="1207" t="s">
        <v>7</v>
      </c>
      <c r="O1" s="1213" t="s">
        <v>8</v>
      </c>
      <c r="P1" s="1213"/>
      <c r="Q1" s="1213"/>
      <c r="R1" s="1214" t="s">
        <v>9</v>
      </c>
      <c r="S1" s="1214"/>
      <c r="T1" s="1214"/>
      <c r="U1" s="1214"/>
      <c r="V1" s="1215" t="s">
        <v>10</v>
      </c>
      <c r="W1" s="1215"/>
      <c r="X1" s="1215"/>
      <c r="Y1" s="1215"/>
      <c r="Z1" s="1206" t="s">
        <v>11</v>
      </c>
      <c r="AA1" s="1206"/>
      <c r="AB1" s="1206"/>
      <c r="AC1" s="1210" t="s">
        <v>12</v>
      </c>
      <c r="AD1" s="1210"/>
      <c r="AE1" s="1277" t="s">
        <v>13</v>
      </c>
      <c r="AF1" s="1277"/>
      <c r="AG1" s="1277"/>
      <c r="AH1" s="1277"/>
      <c r="AI1" s="1277"/>
      <c r="AJ1" s="1277"/>
      <c r="AK1" s="1277"/>
      <c r="AL1" s="1277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212" t="s">
        <v>14</v>
      </c>
      <c r="BE1" s="1212"/>
      <c r="BF1" s="1212"/>
      <c r="BG1" s="1212"/>
      <c r="BH1" s="1212"/>
      <c r="BI1" s="1212"/>
      <c r="BJ1" s="1212"/>
      <c r="BK1" s="1212"/>
      <c r="BL1" s="1212"/>
      <c r="BM1" s="1208" t="s">
        <v>15</v>
      </c>
      <c r="BN1" s="1208"/>
      <c r="BO1" s="1209" t="s">
        <v>16</v>
      </c>
      <c r="BP1" s="1209"/>
      <c r="BQ1" s="281"/>
      <c r="BR1" s="281"/>
    </row>
    <row r="2" spans="1:70" ht="225" x14ac:dyDescent="0.25">
      <c r="A2" s="1265"/>
      <c r="B2" s="1266"/>
      <c r="C2" s="1207"/>
      <c r="D2" s="1207"/>
      <c r="E2" s="1207"/>
      <c r="F2" s="1207"/>
      <c r="G2" s="1207"/>
      <c r="H2" s="1207"/>
      <c r="I2" s="1207"/>
      <c r="J2" s="1207"/>
      <c r="K2" s="1207"/>
      <c r="L2" s="1207"/>
      <c r="M2" s="1207"/>
      <c r="N2" s="1207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277" t="s">
        <v>23</v>
      </c>
      <c r="V2" s="42" t="s">
        <v>24</v>
      </c>
      <c r="W2" s="217" t="s">
        <v>25</v>
      </c>
      <c r="X2" s="218" t="s">
        <v>26</v>
      </c>
      <c r="Y2" s="278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75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274" t="s">
        <v>105</v>
      </c>
      <c r="AQ2" s="274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276" t="s">
        <v>14</v>
      </c>
      <c r="BE2" s="276" t="s">
        <v>39</v>
      </c>
      <c r="BF2" s="276" t="s">
        <v>40</v>
      </c>
      <c r="BG2" s="276" t="s">
        <v>41</v>
      </c>
      <c r="BH2" s="276" t="s">
        <v>42</v>
      </c>
      <c r="BI2" s="276" t="s">
        <v>43</v>
      </c>
      <c r="BJ2" s="276" t="s">
        <v>44</v>
      </c>
      <c r="BK2" s="276" t="s">
        <v>45</v>
      </c>
      <c r="BL2" s="276" t="s">
        <v>46</v>
      </c>
      <c r="BM2" s="273" t="s">
        <v>47</v>
      </c>
      <c r="BN2" s="273" t="s">
        <v>48</v>
      </c>
      <c r="BO2" s="274" t="s">
        <v>49</v>
      </c>
      <c r="BP2" s="274" t="s">
        <v>50</v>
      </c>
      <c r="BQ2" s="1208" t="s">
        <v>130</v>
      </c>
      <c r="BR2" s="1276"/>
    </row>
    <row r="3" spans="1:70" ht="75" x14ac:dyDescent="0.25">
      <c r="A3" s="1265"/>
      <c r="B3" s="1266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107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29" t="s">
        <v>59</v>
      </c>
      <c r="BF3" s="29" t="s">
        <v>60</v>
      </c>
      <c r="BG3" s="29" t="s">
        <v>61</v>
      </c>
      <c r="BH3" s="107" t="s">
        <v>62</v>
      </c>
      <c r="BI3" s="29" t="s">
        <v>57</v>
      </c>
      <c r="BJ3" s="107" t="s">
        <v>127</v>
      </c>
      <c r="BK3" s="29" t="s">
        <v>62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273" t="s">
        <v>131</v>
      </c>
      <c r="BR3" s="273" t="s">
        <v>132</v>
      </c>
    </row>
    <row r="4" spans="1:70" ht="16.5" thickBot="1" x14ac:dyDescent="0.3">
      <c r="A4" s="279"/>
      <c r="B4" s="280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48"/>
      <c r="P4" s="217"/>
      <c r="Q4" s="218"/>
      <c r="R4" s="42"/>
      <c r="S4" s="217"/>
      <c r="T4" s="218"/>
      <c r="U4" s="107"/>
      <c r="V4" s="42"/>
      <c r="W4" s="217"/>
      <c r="X4" s="218"/>
      <c r="Y4" s="107"/>
      <c r="Z4" s="42"/>
      <c r="AA4" s="217"/>
      <c r="AB4" s="218"/>
      <c r="AC4" s="217"/>
      <c r="AD4" s="107"/>
      <c r="AE4" s="29"/>
      <c r="AF4" s="107"/>
      <c r="AG4" s="29"/>
      <c r="AH4" s="107"/>
      <c r="AI4" s="29"/>
      <c r="AJ4" s="107"/>
      <c r="AK4" s="29"/>
      <c r="AL4" s="107"/>
      <c r="AM4" s="42"/>
      <c r="AN4" s="217"/>
      <c r="AO4" s="218"/>
      <c r="AP4" s="29"/>
      <c r="AQ4" s="107"/>
      <c r="AR4" s="42"/>
      <c r="AS4" s="29"/>
      <c r="AT4" s="107"/>
      <c r="AU4" s="42"/>
      <c r="AV4" s="217"/>
      <c r="AW4" s="107"/>
      <c r="AX4" s="107"/>
      <c r="AY4" s="107"/>
      <c r="AZ4" s="107"/>
      <c r="BA4" s="107"/>
      <c r="BB4" s="107"/>
      <c r="BC4" s="107"/>
      <c r="BD4" s="29"/>
      <c r="BE4" s="29"/>
      <c r="BF4" s="29"/>
      <c r="BG4" s="29"/>
      <c r="BH4" s="107"/>
      <c r="BI4" s="29"/>
      <c r="BJ4" s="107"/>
      <c r="BK4" s="29"/>
      <c r="BL4" s="107"/>
      <c r="BM4" s="107"/>
      <c r="BN4" s="107"/>
      <c r="BO4" s="107"/>
      <c r="BP4" s="107"/>
      <c r="BQ4" s="107" t="s">
        <v>54</v>
      </c>
      <c r="BR4" s="107" t="s">
        <v>54</v>
      </c>
    </row>
    <row r="5" spans="1:70" ht="32.25" thickBot="1" x14ac:dyDescent="0.3">
      <c r="A5" s="71">
        <v>60</v>
      </c>
      <c r="B5" s="13" t="s">
        <v>64</v>
      </c>
      <c r="C5" s="242">
        <v>5</v>
      </c>
      <c r="D5" s="242">
        <v>5</v>
      </c>
      <c r="E5" s="126">
        <v>10</v>
      </c>
      <c r="F5" s="127">
        <v>10</v>
      </c>
      <c r="G5" s="127">
        <v>10</v>
      </c>
      <c r="H5" s="126">
        <v>10</v>
      </c>
      <c r="I5" s="127">
        <v>0</v>
      </c>
      <c r="J5" s="127">
        <v>0</v>
      </c>
      <c r="K5" s="126">
        <v>0</v>
      </c>
      <c r="L5" s="127">
        <v>0</v>
      </c>
      <c r="M5" s="127" t="s">
        <v>65</v>
      </c>
      <c r="N5" s="127">
        <v>0</v>
      </c>
      <c r="O5" s="244">
        <f>SUM(R5,V5,Z5,AM5,AR5,AU5)</f>
        <v>5.105999999999999</v>
      </c>
      <c r="P5" s="244">
        <f>SUM(S5,W5,AA5,AC5,AN5,AV5)</f>
        <v>4.7860000000000005</v>
      </c>
      <c r="Q5" s="244">
        <f>SUM(T5,X5,AB5,AO5)</f>
        <v>4.0449999999999999</v>
      </c>
      <c r="R5" s="129">
        <v>2.5499999999999998</v>
      </c>
      <c r="S5" s="129">
        <v>2.17</v>
      </c>
      <c r="T5" s="129">
        <v>2.0499999999999998</v>
      </c>
      <c r="U5" s="129">
        <v>0</v>
      </c>
      <c r="V5" s="130">
        <v>2.15</v>
      </c>
      <c r="W5" s="130">
        <v>1.85</v>
      </c>
      <c r="X5" s="130">
        <v>1.75</v>
      </c>
      <c r="Y5" s="130">
        <v>0</v>
      </c>
      <c r="Z5" s="131">
        <v>0.12</v>
      </c>
      <c r="AA5" s="131">
        <v>5.7000000000000002E-2</v>
      </c>
      <c r="AB5" s="131">
        <v>3.5000000000000003E-2</v>
      </c>
      <c r="AC5" s="132">
        <v>0.59</v>
      </c>
      <c r="AD5" s="132">
        <v>0</v>
      </c>
      <c r="AE5" s="126">
        <v>0</v>
      </c>
      <c r="AF5" s="126">
        <v>0</v>
      </c>
      <c r="AG5" s="126">
        <v>2</v>
      </c>
      <c r="AH5" s="126">
        <v>6</v>
      </c>
      <c r="AI5" s="126">
        <v>0</v>
      </c>
      <c r="AJ5" s="126">
        <v>0</v>
      </c>
      <c r="AK5" s="126">
        <v>0</v>
      </c>
      <c r="AL5" s="126">
        <v>0</v>
      </c>
      <c r="AM5" s="133">
        <v>0.22</v>
      </c>
      <c r="AN5" s="133">
        <v>0.11</v>
      </c>
      <c r="AO5" s="133">
        <v>0.21</v>
      </c>
      <c r="AP5" s="133">
        <v>0</v>
      </c>
      <c r="AQ5" s="133">
        <v>0</v>
      </c>
      <c r="AR5" s="134">
        <v>4.4999999999999998E-2</v>
      </c>
      <c r="AS5" s="134">
        <v>3</v>
      </c>
      <c r="AT5" s="135"/>
      <c r="AU5" s="247">
        <v>2.1000000000000001E-2</v>
      </c>
      <c r="AV5" s="134">
        <v>8.9999999999999993E-3</v>
      </c>
      <c r="AW5" s="134" t="s">
        <v>65</v>
      </c>
      <c r="AX5" s="134">
        <v>0</v>
      </c>
      <c r="AY5" s="134" t="s">
        <v>65</v>
      </c>
      <c r="AZ5" s="134">
        <v>0</v>
      </c>
      <c r="BA5" s="134" t="s">
        <v>65</v>
      </c>
      <c r="BB5" s="134" t="s">
        <v>65</v>
      </c>
      <c r="BC5" s="134" t="s">
        <v>65</v>
      </c>
      <c r="BD5" s="137">
        <v>1</v>
      </c>
      <c r="BE5" s="137">
        <v>1337</v>
      </c>
      <c r="BF5" s="137">
        <v>1.5</v>
      </c>
      <c r="BG5" s="137" t="s">
        <v>72</v>
      </c>
      <c r="BH5" s="137">
        <v>1250</v>
      </c>
      <c r="BI5" s="137">
        <v>0</v>
      </c>
      <c r="BJ5" s="137" t="s">
        <v>65</v>
      </c>
      <c r="BK5" s="137">
        <v>0</v>
      </c>
      <c r="BL5" s="137" t="s">
        <v>65</v>
      </c>
      <c r="BM5" s="138" t="s">
        <v>67</v>
      </c>
      <c r="BN5" s="138" t="s">
        <v>67</v>
      </c>
      <c r="BO5" s="139" t="s">
        <v>67</v>
      </c>
      <c r="BP5" s="139" t="s">
        <v>67</v>
      </c>
      <c r="BQ5" s="246">
        <v>0</v>
      </c>
      <c r="BR5" s="246">
        <v>0</v>
      </c>
    </row>
    <row r="6" spans="1:70" ht="32.25" thickBot="1" x14ac:dyDescent="0.3">
      <c r="A6" s="71">
        <v>50</v>
      </c>
      <c r="B6" s="13" t="s">
        <v>121</v>
      </c>
      <c r="C6" s="242">
        <v>4</v>
      </c>
      <c r="D6" s="243">
        <v>4</v>
      </c>
      <c r="E6" s="126">
        <v>8</v>
      </c>
      <c r="F6" s="127">
        <v>8</v>
      </c>
      <c r="G6" s="127">
        <v>8</v>
      </c>
      <c r="H6" s="126">
        <v>8</v>
      </c>
      <c r="I6" s="127">
        <v>0</v>
      </c>
      <c r="J6" s="127">
        <v>0</v>
      </c>
      <c r="K6" s="126">
        <v>0</v>
      </c>
      <c r="L6" s="127">
        <v>0</v>
      </c>
      <c r="M6" s="127" t="s">
        <v>65</v>
      </c>
      <c r="N6" s="127">
        <v>0</v>
      </c>
      <c r="O6" s="244">
        <f>SUM(R6,V6,Z6,AM6,AR6,AU6)</f>
        <v>4.6469999999999985</v>
      </c>
      <c r="P6" s="244">
        <f>SUM(S6,W6,AA6,AC6,AN6,AV6)</f>
        <v>3.92</v>
      </c>
      <c r="Q6" s="244">
        <f>SUM(T6,X6,AB6,AO6)</f>
        <v>3.3919999999999999</v>
      </c>
      <c r="R6" s="129">
        <v>2.44</v>
      </c>
      <c r="S6" s="129">
        <v>1.92</v>
      </c>
      <c r="T6" s="129">
        <v>1.78</v>
      </c>
      <c r="U6" s="129">
        <v>0</v>
      </c>
      <c r="V6" s="130">
        <v>1.94</v>
      </c>
      <c r="W6" s="130">
        <v>1.54</v>
      </c>
      <c r="X6" s="130">
        <v>1.45</v>
      </c>
      <c r="Y6" s="130">
        <v>0</v>
      </c>
      <c r="Z6" s="131">
        <v>5.5E-2</v>
      </c>
      <c r="AA6" s="131">
        <v>2.1999999999999999E-2</v>
      </c>
      <c r="AB6" s="131">
        <v>1.2E-2</v>
      </c>
      <c r="AC6" s="132">
        <v>0.35</v>
      </c>
      <c r="AD6" s="132">
        <v>0</v>
      </c>
      <c r="AE6" s="126">
        <v>0</v>
      </c>
      <c r="AF6" s="126">
        <v>0</v>
      </c>
      <c r="AG6" s="126">
        <v>1</v>
      </c>
      <c r="AH6" s="126">
        <v>1.6</v>
      </c>
      <c r="AI6" s="126">
        <v>0</v>
      </c>
      <c r="AJ6" s="126">
        <v>0</v>
      </c>
      <c r="AK6" s="126">
        <v>0</v>
      </c>
      <c r="AL6" s="126">
        <v>0</v>
      </c>
      <c r="AM6" s="133">
        <v>0.18</v>
      </c>
      <c r="AN6" s="133">
        <v>0.08</v>
      </c>
      <c r="AO6" s="133">
        <v>0.15</v>
      </c>
      <c r="AP6" s="133">
        <v>0</v>
      </c>
      <c r="AQ6" s="133">
        <v>0</v>
      </c>
      <c r="AR6" s="134">
        <v>0.02</v>
      </c>
      <c r="AS6" s="134">
        <v>1</v>
      </c>
      <c r="AT6" s="135"/>
      <c r="AU6" s="134">
        <v>1.2E-2</v>
      </c>
      <c r="AV6" s="134">
        <v>8.0000000000000002E-3</v>
      </c>
      <c r="AW6" s="134" t="s">
        <v>65</v>
      </c>
      <c r="AX6" s="134">
        <v>0</v>
      </c>
      <c r="AY6" s="134" t="s">
        <v>65</v>
      </c>
      <c r="AZ6" s="134">
        <v>0</v>
      </c>
      <c r="BA6" s="134" t="s">
        <v>65</v>
      </c>
      <c r="BB6" s="134" t="s">
        <v>65</v>
      </c>
      <c r="BC6" s="134" t="s">
        <v>67</v>
      </c>
      <c r="BD6" s="137">
        <v>1</v>
      </c>
      <c r="BE6" s="137">
        <v>15617.8</v>
      </c>
      <c r="BF6" s="245">
        <v>1.6</v>
      </c>
      <c r="BG6" s="137" t="s">
        <v>72</v>
      </c>
      <c r="BH6" s="137">
        <v>790</v>
      </c>
      <c r="BI6" s="137">
        <v>0</v>
      </c>
      <c r="BJ6" s="137" t="s">
        <v>65</v>
      </c>
      <c r="BK6" s="137">
        <v>0</v>
      </c>
      <c r="BL6" s="137" t="s">
        <v>65</v>
      </c>
      <c r="BM6" s="138" t="s">
        <v>67</v>
      </c>
      <c r="BN6" s="138" t="s">
        <v>67</v>
      </c>
      <c r="BO6" s="139" t="s">
        <v>65</v>
      </c>
      <c r="BP6" s="139" t="s">
        <v>65</v>
      </c>
      <c r="BQ6" s="246">
        <v>0</v>
      </c>
      <c r="BR6" s="246">
        <v>0</v>
      </c>
    </row>
  </sheetData>
  <mergeCells count="21">
    <mergeCell ref="Z1:AB1"/>
    <mergeCell ref="A1:A3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  <mergeCell ref="BM1:BN1"/>
    <mergeCell ref="BO1:BP1"/>
    <mergeCell ref="BQ2:BR2"/>
    <mergeCell ref="AC1:AD1"/>
    <mergeCell ref="AE1:AL1"/>
    <mergeCell ref="AM1:AQ1"/>
    <mergeCell ref="AR1:AT1"/>
    <mergeCell ref="AU1:BC1"/>
    <mergeCell ref="BD1:BL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0"/>
  <sheetViews>
    <sheetView topLeftCell="A4" workbookViewId="0">
      <selection activeCell="U16" sqref="A1:XFD1048576"/>
    </sheetView>
  </sheetViews>
  <sheetFormatPr defaultRowHeight="15" x14ac:dyDescent="0.25"/>
  <cols>
    <col min="2" max="2" width="23.42578125" customWidth="1"/>
  </cols>
  <sheetData>
    <row r="1" spans="1:70" ht="15.75" x14ac:dyDescent="0.25">
      <c r="A1" s="1265" t="s">
        <v>0</v>
      </c>
      <c r="B1" s="1266" t="s">
        <v>1</v>
      </c>
      <c r="C1" s="1207" t="s">
        <v>2</v>
      </c>
      <c r="D1" s="1207"/>
      <c r="E1" s="1207"/>
      <c r="F1" s="1207" t="s">
        <v>3</v>
      </c>
      <c r="G1" s="1207"/>
      <c r="H1" s="1207"/>
      <c r="I1" s="1207" t="s">
        <v>4</v>
      </c>
      <c r="J1" s="1207"/>
      <c r="K1" s="1207"/>
      <c r="L1" s="1207" t="s">
        <v>5</v>
      </c>
      <c r="M1" s="1207" t="s">
        <v>6</v>
      </c>
      <c r="N1" s="1207" t="s">
        <v>7</v>
      </c>
      <c r="O1" s="1213" t="s">
        <v>8</v>
      </c>
      <c r="P1" s="1213"/>
      <c r="Q1" s="1213"/>
      <c r="R1" s="1214" t="s">
        <v>9</v>
      </c>
      <c r="S1" s="1214"/>
      <c r="T1" s="1214"/>
      <c r="U1" s="1214"/>
      <c r="V1" s="1215" t="s">
        <v>10</v>
      </c>
      <c r="W1" s="1215"/>
      <c r="X1" s="1215"/>
      <c r="Y1" s="1215"/>
      <c r="Z1" s="1206" t="s">
        <v>11</v>
      </c>
      <c r="AA1" s="1206"/>
      <c r="AB1" s="1206"/>
      <c r="AC1" s="1210" t="s">
        <v>12</v>
      </c>
      <c r="AD1" s="1210"/>
      <c r="AE1" s="1277" t="s">
        <v>13</v>
      </c>
      <c r="AF1" s="1277"/>
      <c r="AG1" s="1277"/>
      <c r="AH1" s="1277"/>
      <c r="AI1" s="1277"/>
      <c r="AJ1" s="1277"/>
      <c r="AK1" s="1277"/>
      <c r="AL1" s="1277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212" t="s">
        <v>14</v>
      </c>
      <c r="BE1" s="1212"/>
      <c r="BF1" s="1212"/>
      <c r="BG1" s="1212"/>
      <c r="BH1" s="1212"/>
      <c r="BI1" s="1212"/>
      <c r="BJ1" s="1212"/>
      <c r="BK1" s="1212"/>
      <c r="BL1" s="1212"/>
      <c r="BM1" s="1208" t="s">
        <v>15</v>
      </c>
      <c r="BN1" s="1208"/>
      <c r="BO1" s="1209" t="s">
        <v>16</v>
      </c>
      <c r="BP1" s="1209"/>
      <c r="BQ1" s="290"/>
      <c r="BR1" s="290"/>
    </row>
    <row r="2" spans="1:70" ht="225" x14ac:dyDescent="0.25">
      <c r="A2" s="1265"/>
      <c r="B2" s="1266"/>
      <c r="C2" s="1207"/>
      <c r="D2" s="1207"/>
      <c r="E2" s="1207"/>
      <c r="F2" s="1207"/>
      <c r="G2" s="1207"/>
      <c r="H2" s="1207"/>
      <c r="I2" s="1207"/>
      <c r="J2" s="1207"/>
      <c r="K2" s="1207"/>
      <c r="L2" s="1207"/>
      <c r="M2" s="1207"/>
      <c r="N2" s="1207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282" t="s">
        <v>23</v>
      </c>
      <c r="V2" s="42" t="s">
        <v>24</v>
      </c>
      <c r="W2" s="217" t="s">
        <v>25</v>
      </c>
      <c r="X2" s="218" t="s">
        <v>26</v>
      </c>
      <c r="Y2" s="283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86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285" t="s">
        <v>105</v>
      </c>
      <c r="AQ2" s="285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287" t="s">
        <v>14</v>
      </c>
      <c r="BE2" s="287" t="s">
        <v>39</v>
      </c>
      <c r="BF2" s="287" t="s">
        <v>40</v>
      </c>
      <c r="BG2" s="287" t="s">
        <v>41</v>
      </c>
      <c r="BH2" s="287" t="s">
        <v>42</v>
      </c>
      <c r="BI2" s="287" t="s">
        <v>43</v>
      </c>
      <c r="BJ2" s="287" t="s">
        <v>44</v>
      </c>
      <c r="BK2" s="287" t="s">
        <v>45</v>
      </c>
      <c r="BL2" s="287" t="s">
        <v>46</v>
      </c>
      <c r="BM2" s="284" t="s">
        <v>47</v>
      </c>
      <c r="BN2" s="284" t="s">
        <v>48</v>
      </c>
      <c r="BO2" s="285" t="s">
        <v>49</v>
      </c>
      <c r="BP2" s="285" t="s">
        <v>50</v>
      </c>
      <c r="BQ2" s="1208" t="s">
        <v>130</v>
      </c>
      <c r="BR2" s="1276"/>
    </row>
    <row r="3" spans="1:70" ht="75" x14ac:dyDescent="0.25">
      <c r="A3" s="1265"/>
      <c r="B3" s="1266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107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29" t="s">
        <v>59</v>
      </c>
      <c r="BF3" s="29" t="s">
        <v>60</v>
      </c>
      <c r="BG3" s="29" t="s">
        <v>61</v>
      </c>
      <c r="BH3" s="107" t="s">
        <v>62</v>
      </c>
      <c r="BI3" s="29" t="s">
        <v>57</v>
      </c>
      <c r="BJ3" s="107" t="s">
        <v>127</v>
      </c>
      <c r="BK3" s="29" t="s">
        <v>62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284" t="s">
        <v>131</v>
      </c>
      <c r="BR3" s="284" t="s">
        <v>132</v>
      </c>
    </row>
    <row r="4" spans="1:70" ht="16.5" thickBot="1" x14ac:dyDescent="0.3">
      <c r="A4" s="288"/>
      <c r="B4" s="28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48"/>
      <c r="P4" s="217"/>
      <c r="Q4" s="218"/>
      <c r="R4" s="42"/>
      <c r="S4" s="217"/>
      <c r="T4" s="218"/>
      <c r="U4" s="107"/>
      <c r="V4" s="42"/>
      <c r="W4" s="217"/>
      <c r="X4" s="218"/>
      <c r="Y4" s="107"/>
      <c r="Z4" s="42"/>
      <c r="AA4" s="217"/>
      <c r="AB4" s="218"/>
      <c r="AC4" s="217"/>
      <c r="AD4" s="107"/>
      <c r="AE4" s="29"/>
      <c r="AF4" s="107"/>
      <c r="AG4" s="29"/>
      <c r="AH4" s="107"/>
      <c r="AI4" s="29"/>
      <c r="AJ4" s="107"/>
      <c r="AK4" s="29"/>
      <c r="AL4" s="107"/>
      <c r="AM4" s="42"/>
      <c r="AN4" s="217"/>
      <c r="AO4" s="218"/>
      <c r="AP4" s="29"/>
      <c r="AQ4" s="107"/>
      <c r="AR4" s="42"/>
      <c r="AS4" s="29"/>
      <c r="AT4" s="107"/>
      <c r="AU4" s="42"/>
      <c r="AV4" s="217"/>
      <c r="AW4" s="107"/>
      <c r="AX4" s="107"/>
      <c r="AY4" s="107"/>
      <c r="AZ4" s="107"/>
      <c r="BA4" s="107"/>
      <c r="BB4" s="107"/>
      <c r="BC4" s="107"/>
      <c r="BD4" s="29"/>
      <c r="BE4" s="29"/>
      <c r="BF4" s="29"/>
      <c r="BG4" s="29"/>
      <c r="BH4" s="107"/>
      <c r="BI4" s="29"/>
      <c r="BJ4" s="107"/>
      <c r="BK4" s="29"/>
      <c r="BL4" s="107"/>
      <c r="BM4" s="107"/>
      <c r="BN4" s="107"/>
      <c r="BO4" s="107"/>
      <c r="BP4" s="107"/>
      <c r="BQ4" s="107" t="s">
        <v>54</v>
      </c>
      <c r="BR4" s="107" t="s">
        <v>54</v>
      </c>
    </row>
    <row r="5" spans="1:70" ht="30.75" customHeight="1" thickBot="1" x14ac:dyDescent="0.3">
      <c r="A5" s="71">
        <v>60</v>
      </c>
      <c r="B5" s="13" t="s">
        <v>161</v>
      </c>
      <c r="C5" s="242">
        <v>5</v>
      </c>
      <c r="D5" s="242">
        <v>5</v>
      </c>
      <c r="E5" s="126">
        <v>10</v>
      </c>
      <c r="F5" s="127">
        <v>10</v>
      </c>
      <c r="G5" s="127">
        <v>10</v>
      </c>
      <c r="H5" s="126">
        <v>10</v>
      </c>
      <c r="I5" s="127">
        <v>0</v>
      </c>
      <c r="J5" s="127">
        <v>0</v>
      </c>
      <c r="K5" s="126">
        <v>0</v>
      </c>
      <c r="L5" s="127">
        <v>0</v>
      </c>
      <c r="M5" s="127" t="s">
        <v>65</v>
      </c>
      <c r="N5" s="127">
        <v>0</v>
      </c>
      <c r="O5" s="244">
        <f>SUM(R5,V5,Z5,AM5,AR5,AU5)</f>
        <v>5.2459999999999996</v>
      </c>
      <c r="P5" s="244">
        <f>SUM(S5,W5,AA5,AC5,AN5,AV5)</f>
        <v>4.7859999999999996</v>
      </c>
      <c r="Q5" s="244">
        <f>SUM(T5,X5,AB5,AO5)</f>
        <v>3.9430000000000001</v>
      </c>
      <c r="R5" s="129">
        <v>2.59</v>
      </c>
      <c r="S5" s="129">
        <v>2.2000000000000002</v>
      </c>
      <c r="T5" s="129">
        <v>2.09</v>
      </c>
      <c r="U5" s="129">
        <v>0</v>
      </c>
      <c r="V5" s="130">
        <v>2.2000000000000002</v>
      </c>
      <c r="W5" s="130">
        <v>1.81</v>
      </c>
      <c r="X5" s="130">
        <v>1.6</v>
      </c>
      <c r="Y5" s="130">
        <v>0</v>
      </c>
      <c r="Z5" s="131">
        <v>0.12</v>
      </c>
      <c r="AA5" s="131">
        <v>5.5E-2</v>
      </c>
      <c r="AB5" s="131">
        <v>3.3000000000000002E-2</v>
      </c>
      <c r="AC5" s="132">
        <v>0.6</v>
      </c>
      <c r="AD5" s="132">
        <v>0</v>
      </c>
      <c r="AE5" s="126">
        <v>0</v>
      </c>
      <c r="AF5" s="126">
        <v>0</v>
      </c>
      <c r="AG5" s="126">
        <v>2</v>
      </c>
      <c r="AH5" s="126">
        <v>6</v>
      </c>
      <c r="AI5" s="126">
        <v>0</v>
      </c>
      <c r="AJ5" s="126">
        <v>0</v>
      </c>
      <c r="AK5" s="126">
        <v>0</v>
      </c>
      <c r="AL5" s="126">
        <v>0</v>
      </c>
      <c r="AM5" s="133">
        <v>0.27</v>
      </c>
      <c r="AN5" s="133">
        <v>0.11</v>
      </c>
      <c r="AO5" s="133">
        <v>0.22</v>
      </c>
      <c r="AP5" s="133">
        <v>0</v>
      </c>
      <c r="AQ5" s="133">
        <v>0</v>
      </c>
      <c r="AR5" s="134">
        <v>4.3999999999999997E-2</v>
      </c>
      <c r="AS5" s="134">
        <v>3</v>
      </c>
      <c r="AT5" s="135"/>
      <c r="AU5" s="247">
        <v>2.1999999999999999E-2</v>
      </c>
      <c r="AV5" s="134">
        <v>1.0999999999999999E-2</v>
      </c>
      <c r="AW5" s="134" t="s">
        <v>65</v>
      </c>
      <c r="AX5" s="134">
        <v>0</v>
      </c>
      <c r="AY5" s="134" t="s">
        <v>65</v>
      </c>
      <c r="AZ5" s="134">
        <v>0</v>
      </c>
      <c r="BA5" s="134" t="s">
        <v>65</v>
      </c>
      <c r="BB5" s="134" t="s">
        <v>65</v>
      </c>
      <c r="BC5" s="134" t="s">
        <v>65</v>
      </c>
      <c r="BD5" s="137">
        <v>1</v>
      </c>
      <c r="BE5" s="137">
        <v>1350</v>
      </c>
      <c r="BF5" s="137">
        <v>1.5</v>
      </c>
      <c r="BG5" s="137" t="s">
        <v>72</v>
      </c>
      <c r="BH5" s="137">
        <v>1260</v>
      </c>
      <c r="BI5" s="137">
        <v>0</v>
      </c>
      <c r="BJ5" s="137" t="s">
        <v>65</v>
      </c>
      <c r="BK5" s="137">
        <v>0</v>
      </c>
      <c r="BL5" s="137" t="s">
        <v>65</v>
      </c>
      <c r="BM5" s="138" t="s">
        <v>67</v>
      </c>
      <c r="BN5" s="138" t="s">
        <v>67</v>
      </c>
      <c r="BO5" s="139" t="s">
        <v>67</v>
      </c>
      <c r="BP5" s="139" t="s">
        <v>67</v>
      </c>
      <c r="BQ5" s="246">
        <v>0</v>
      </c>
      <c r="BR5" s="246">
        <v>0</v>
      </c>
    </row>
    <row r="6" spans="1:70" ht="35.25" customHeight="1" thickBot="1" x14ac:dyDescent="0.3">
      <c r="A6" s="71">
        <v>50</v>
      </c>
      <c r="B6" s="13" t="s">
        <v>121</v>
      </c>
      <c r="C6" s="242">
        <v>4</v>
      </c>
      <c r="D6" s="243">
        <v>4</v>
      </c>
      <c r="E6" s="126">
        <v>8</v>
      </c>
      <c r="F6" s="127">
        <v>8</v>
      </c>
      <c r="G6" s="127">
        <v>8</v>
      </c>
      <c r="H6" s="126">
        <v>8</v>
      </c>
      <c r="I6" s="127">
        <v>0</v>
      </c>
      <c r="J6" s="127">
        <v>0</v>
      </c>
      <c r="K6" s="126">
        <v>0</v>
      </c>
      <c r="L6" s="127">
        <v>0</v>
      </c>
      <c r="M6" s="127" t="s">
        <v>65</v>
      </c>
      <c r="N6" s="127">
        <v>0</v>
      </c>
      <c r="O6" s="244">
        <f>SUM(R6,V6,Z6,AM6,AR6,AU6)</f>
        <v>4.7739999999999991</v>
      </c>
      <c r="P6" s="244">
        <f>SUM(S6,W6,AA6,AC6,AN6,AV6)</f>
        <v>4.0007999999999999</v>
      </c>
      <c r="Q6" s="244">
        <f>SUM(T6,X6,AB6,AO6)</f>
        <v>3.2867999999999999</v>
      </c>
      <c r="R6" s="129">
        <v>2.48</v>
      </c>
      <c r="S6" s="129">
        <v>1.93</v>
      </c>
      <c r="T6" s="129">
        <v>1.76</v>
      </c>
      <c r="U6" s="129">
        <v>0</v>
      </c>
      <c r="V6" s="130">
        <v>1.98</v>
      </c>
      <c r="W6" s="130">
        <v>1.55</v>
      </c>
      <c r="X6" s="130">
        <v>1.43</v>
      </c>
      <c r="Y6" s="130">
        <v>0</v>
      </c>
      <c r="Z6" s="131">
        <v>5.5E-2</v>
      </c>
      <c r="AA6" s="131">
        <v>2.1999999999999999E-2</v>
      </c>
      <c r="AB6" s="131">
        <v>8.8000000000000005E-3</v>
      </c>
      <c r="AC6" s="132">
        <v>0.38</v>
      </c>
      <c r="AD6" s="132">
        <v>0</v>
      </c>
      <c r="AE6" s="126">
        <v>0</v>
      </c>
      <c r="AF6" s="126">
        <v>0</v>
      </c>
      <c r="AG6" s="126">
        <v>1</v>
      </c>
      <c r="AH6" s="126">
        <v>1.6</v>
      </c>
      <c r="AI6" s="126">
        <v>0</v>
      </c>
      <c r="AJ6" s="126">
        <v>0</v>
      </c>
      <c r="AK6" s="126">
        <v>0</v>
      </c>
      <c r="AL6" s="126">
        <v>0</v>
      </c>
      <c r="AM6" s="133">
        <v>0.22</v>
      </c>
      <c r="AN6" s="133">
        <v>0.11</v>
      </c>
      <c r="AO6" s="133">
        <v>8.7999999999999995E-2</v>
      </c>
      <c r="AP6" s="133">
        <v>0</v>
      </c>
      <c r="AQ6" s="133">
        <v>0</v>
      </c>
      <c r="AR6" s="134">
        <v>2.7E-2</v>
      </c>
      <c r="AS6" s="134">
        <v>1</v>
      </c>
      <c r="AT6" s="135"/>
      <c r="AU6" s="134">
        <v>1.2E-2</v>
      </c>
      <c r="AV6" s="134">
        <v>8.8000000000000005E-3</v>
      </c>
      <c r="AW6" s="134" t="s">
        <v>65</v>
      </c>
      <c r="AX6" s="134">
        <v>0</v>
      </c>
      <c r="AY6" s="134" t="s">
        <v>65</v>
      </c>
      <c r="AZ6" s="134">
        <v>0</v>
      </c>
      <c r="BA6" s="134" t="s">
        <v>65</v>
      </c>
      <c r="BB6" s="134" t="s">
        <v>65</v>
      </c>
      <c r="BC6" s="134" t="s">
        <v>67</v>
      </c>
      <c r="BD6" s="137">
        <v>1</v>
      </c>
      <c r="BE6" s="137">
        <v>15617.8</v>
      </c>
      <c r="BF6" s="245">
        <v>1.6</v>
      </c>
      <c r="BG6" s="137" t="s">
        <v>72</v>
      </c>
      <c r="BH6" s="137">
        <v>800</v>
      </c>
      <c r="BI6" s="137">
        <v>0</v>
      </c>
      <c r="BJ6" s="137" t="s">
        <v>65</v>
      </c>
      <c r="BK6" s="137">
        <v>0</v>
      </c>
      <c r="BL6" s="137" t="s">
        <v>65</v>
      </c>
      <c r="BM6" s="138" t="s">
        <v>67</v>
      </c>
      <c r="BN6" s="138" t="s">
        <v>67</v>
      </c>
      <c r="BO6" s="139" t="s">
        <v>65</v>
      </c>
      <c r="BP6" s="139" t="s">
        <v>65</v>
      </c>
      <c r="BQ6" s="246">
        <v>0</v>
      </c>
      <c r="BR6" s="246">
        <v>0</v>
      </c>
    </row>
    <row r="8" spans="1:70" ht="15.75" thickBot="1" x14ac:dyDescent="0.3"/>
    <row r="9" spans="1:70" ht="30.75" customHeight="1" thickBot="1" x14ac:dyDescent="0.3">
      <c r="A9" s="71">
        <v>60</v>
      </c>
      <c r="B9" s="13" t="s">
        <v>161</v>
      </c>
      <c r="C9" s="242">
        <v>5</v>
      </c>
      <c r="D9" s="242">
        <v>5</v>
      </c>
      <c r="E9" s="126">
        <v>10</v>
      </c>
      <c r="F9" s="127">
        <v>10</v>
      </c>
      <c r="G9" s="127">
        <v>10</v>
      </c>
      <c r="H9" s="126">
        <v>10</v>
      </c>
      <c r="I9" s="127">
        <v>0</v>
      </c>
      <c r="J9" s="127">
        <v>0</v>
      </c>
      <c r="K9" s="126">
        <v>0</v>
      </c>
      <c r="L9" s="127">
        <v>0</v>
      </c>
      <c r="M9" s="127" t="s">
        <v>65</v>
      </c>
      <c r="N9" s="127">
        <v>0</v>
      </c>
      <c r="O9" s="244">
        <f>SUM(R9,V9,Z9,AM9,AR9,AU9)</f>
        <v>144.00000000000003</v>
      </c>
      <c r="P9" s="244">
        <f>SUM(S9,W9,AA9,AC9,AN9,AV9)</f>
        <v>135</v>
      </c>
      <c r="Q9" s="244">
        <f>SUM(T9,X9,AB9,AO9)</f>
        <v>123.00000000000001</v>
      </c>
      <c r="R9" s="129">
        <f>30*2.48</f>
        <v>74.400000000000006</v>
      </c>
      <c r="S9" s="129">
        <v>62.1</v>
      </c>
      <c r="T9" s="129">
        <f>30*2.06</f>
        <v>61.800000000000004</v>
      </c>
      <c r="U9" s="129">
        <f>30*0</f>
        <v>0</v>
      </c>
      <c r="V9" s="130">
        <f>30*2.06</f>
        <v>61.800000000000004</v>
      </c>
      <c r="W9" s="130">
        <f>30*1.7</f>
        <v>51</v>
      </c>
      <c r="X9" s="130">
        <f>30*1.61</f>
        <v>48.300000000000004</v>
      </c>
      <c r="Y9" s="130">
        <f>30*0</f>
        <v>0</v>
      </c>
      <c r="Z9" s="131">
        <f>30*0.07</f>
        <v>2.1</v>
      </c>
      <c r="AA9" s="131">
        <f>30*0.05</f>
        <v>1.5</v>
      </c>
      <c r="AB9" s="131">
        <f>30*0.03</f>
        <v>0.89999999999999991</v>
      </c>
      <c r="AC9" s="132">
        <f>30*0.57</f>
        <v>17.099999999999998</v>
      </c>
      <c r="AD9" s="132">
        <f>30*0</f>
        <v>0</v>
      </c>
      <c r="AE9" s="126">
        <v>0</v>
      </c>
      <c r="AF9" s="126">
        <v>0</v>
      </c>
      <c r="AG9" s="126">
        <v>2</v>
      </c>
      <c r="AH9" s="126">
        <v>6</v>
      </c>
      <c r="AI9" s="126">
        <v>0</v>
      </c>
      <c r="AJ9" s="126">
        <v>0</v>
      </c>
      <c r="AK9" s="126">
        <v>0</v>
      </c>
      <c r="AL9" s="126">
        <v>0</v>
      </c>
      <c r="AM9" s="133">
        <f>30*0.15</f>
        <v>4.5</v>
      </c>
      <c r="AN9" s="133">
        <f>30*0.1</f>
        <v>3</v>
      </c>
      <c r="AO9" s="133">
        <f>30*0.4</f>
        <v>12</v>
      </c>
      <c r="AP9" s="133">
        <f>30*0</f>
        <v>0</v>
      </c>
      <c r="AQ9" s="133">
        <f>30*0</f>
        <v>0</v>
      </c>
      <c r="AR9" s="134">
        <f>30*0.028</f>
        <v>0.84</v>
      </c>
      <c r="AS9" s="134">
        <v>3</v>
      </c>
      <c r="AT9" s="135"/>
      <c r="AU9" s="247">
        <f>30*0.012</f>
        <v>0.36</v>
      </c>
      <c r="AV9" s="134">
        <f>30*0.01</f>
        <v>0.3</v>
      </c>
      <c r="AW9" s="134" t="s">
        <v>65</v>
      </c>
      <c r="AX9" s="134">
        <v>0</v>
      </c>
      <c r="AY9" s="134" t="s">
        <v>65</v>
      </c>
      <c r="AZ9" s="134">
        <v>0</v>
      </c>
      <c r="BA9" s="134" t="s">
        <v>65</v>
      </c>
      <c r="BB9" s="134" t="s">
        <v>65</v>
      </c>
      <c r="BC9" s="134" t="s">
        <v>65</v>
      </c>
      <c r="BD9" s="137">
        <v>1</v>
      </c>
      <c r="BE9" s="137">
        <v>1350</v>
      </c>
      <c r="BF9" s="137">
        <v>1.5</v>
      </c>
      <c r="BG9" s="137" t="s">
        <v>72</v>
      </c>
      <c r="BH9" s="137">
        <v>1260</v>
      </c>
      <c r="BI9" s="137">
        <v>0</v>
      </c>
      <c r="BJ9" s="137" t="s">
        <v>65</v>
      </c>
      <c r="BK9" s="137">
        <v>0</v>
      </c>
      <c r="BL9" s="137" t="s">
        <v>65</v>
      </c>
      <c r="BM9" s="138" t="s">
        <v>67</v>
      </c>
      <c r="BN9" s="138" t="s">
        <v>67</v>
      </c>
      <c r="BO9" s="139" t="s">
        <v>67</v>
      </c>
      <c r="BP9" s="139" t="s">
        <v>67</v>
      </c>
      <c r="BQ9" s="246">
        <v>0</v>
      </c>
      <c r="BR9" s="246">
        <v>0</v>
      </c>
    </row>
    <row r="10" spans="1:70" ht="35.25" customHeight="1" thickBot="1" x14ac:dyDescent="0.3">
      <c r="A10" s="71">
        <v>50</v>
      </c>
      <c r="B10" s="13" t="s">
        <v>121</v>
      </c>
      <c r="C10" s="242">
        <v>4</v>
      </c>
      <c r="D10" s="243">
        <v>4</v>
      </c>
      <c r="E10" s="126">
        <v>8</v>
      </c>
      <c r="F10" s="127">
        <v>8</v>
      </c>
      <c r="G10" s="127">
        <v>8</v>
      </c>
      <c r="H10" s="126">
        <v>8</v>
      </c>
      <c r="I10" s="127">
        <v>0</v>
      </c>
      <c r="J10" s="127">
        <v>0</v>
      </c>
      <c r="K10" s="126">
        <v>0</v>
      </c>
      <c r="L10" s="127">
        <v>0</v>
      </c>
      <c r="M10" s="127" t="s">
        <v>65</v>
      </c>
      <c r="N10" s="127">
        <v>0</v>
      </c>
      <c r="O10" s="244">
        <f>SUM(R10,V10,Z10,AM10,AR10,AU10)</f>
        <v>135</v>
      </c>
      <c r="P10" s="244">
        <f>SUM(S10,W10,AA10,AC10,AN10,AV10)</f>
        <v>114.00000000000001</v>
      </c>
      <c r="Q10" s="244">
        <f>SUM(T10,X10,AB10,AO10)</f>
        <v>105</v>
      </c>
      <c r="R10" s="129">
        <f>30*2.41</f>
        <v>72.300000000000011</v>
      </c>
      <c r="S10" s="129">
        <f>30*1.87</f>
        <v>56.1</v>
      </c>
      <c r="T10" s="129">
        <f>30*1.8</f>
        <v>54</v>
      </c>
      <c r="U10" s="129">
        <f>30*0</f>
        <v>0</v>
      </c>
      <c r="V10" s="130">
        <f>30*1.89</f>
        <v>56.699999999999996</v>
      </c>
      <c r="W10" s="130">
        <f>30*1.51</f>
        <v>45.3</v>
      </c>
      <c r="X10" s="130">
        <f>30*1.46</f>
        <v>43.8</v>
      </c>
      <c r="Y10" s="130">
        <v>0</v>
      </c>
      <c r="Z10" s="131">
        <f>30*0.05</f>
        <v>1.5</v>
      </c>
      <c r="AA10" s="131">
        <f>30*0.015</f>
        <v>0.44999999999999996</v>
      </c>
      <c r="AB10" s="131">
        <f>30*0.01</f>
        <v>0.3</v>
      </c>
      <c r="AC10" s="132">
        <f>30*0.36</f>
        <v>10.799999999999999</v>
      </c>
      <c r="AD10" s="132">
        <v>0</v>
      </c>
      <c r="AE10" s="126">
        <v>0</v>
      </c>
      <c r="AF10" s="126">
        <v>0</v>
      </c>
      <c r="AG10" s="126">
        <v>1</v>
      </c>
      <c r="AH10" s="126">
        <v>1.6</v>
      </c>
      <c r="AI10" s="126">
        <v>0</v>
      </c>
      <c r="AJ10" s="126">
        <v>0</v>
      </c>
      <c r="AK10" s="126">
        <v>0</v>
      </c>
      <c r="AL10" s="126">
        <v>0</v>
      </c>
      <c r="AM10" s="133">
        <f>30*0.11</f>
        <v>3.3</v>
      </c>
      <c r="AN10" s="133">
        <f>30*0.04</f>
        <v>1.2</v>
      </c>
      <c r="AO10" s="133">
        <f>30*0.23</f>
        <v>6.9</v>
      </c>
      <c r="AP10" s="133">
        <v>0</v>
      </c>
      <c r="AQ10" s="133">
        <v>0</v>
      </c>
      <c r="AR10" s="134">
        <f>30*0.025</f>
        <v>0.75</v>
      </c>
      <c r="AS10" s="134">
        <v>1</v>
      </c>
      <c r="AT10" s="135"/>
      <c r="AU10" s="134">
        <f>30*0.015</f>
        <v>0.44999999999999996</v>
      </c>
      <c r="AV10" s="134">
        <f>30*0.005</f>
        <v>0.15</v>
      </c>
      <c r="AW10" s="134" t="s">
        <v>65</v>
      </c>
      <c r="AX10" s="134">
        <v>0</v>
      </c>
      <c r="AY10" s="134" t="s">
        <v>65</v>
      </c>
      <c r="AZ10" s="134">
        <v>0</v>
      </c>
      <c r="BA10" s="134" t="s">
        <v>65</v>
      </c>
      <c r="BB10" s="134" t="s">
        <v>65</v>
      </c>
      <c r="BC10" s="134" t="s">
        <v>67</v>
      </c>
      <c r="BD10" s="137">
        <v>1</v>
      </c>
      <c r="BE10" s="137">
        <v>15617.8</v>
      </c>
      <c r="BF10" s="245">
        <v>1.6</v>
      </c>
      <c r="BG10" s="137" t="s">
        <v>72</v>
      </c>
      <c r="BH10" s="137">
        <v>800</v>
      </c>
      <c r="BI10" s="137">
        <v>0</v>
      </c>
      <c r="BJ10" s="137" t="s">
        <v>65</v>
      </c>
      <c r="BK10" s="137">
        <v>0</v>
      </c>
      <c r="BL10" s="137" t="s">
        <v>65</v>
      </c>
      <c r="BM10" s="138" t="s">
        <v>67</v>
      </c>
      <c r="BN10" s="138" t="s">
        <v>67</v>
      </c>
      <c r="BO10" s="139" t="s">
        <v>65</v>
      </c>
      <c r="BP10" s="139" t="s">
        <v>65</v>
      </c>
      <c r="BQ10" s="246">
        <v>0</v>
      </c>
      <c r="BR10" s="246">
        <v>0</v>
      </c>
    </row>
    <row r="15" spans="1:70" x14ac:dyDescent="0.25">
      <c r="N15" s="249" t="s">
        <v>163</v>
      </c>
      <c r="O15" s="249">
        <v>144</v>
      </c>
      <c r="P15" s="249">
        <v>135</v>
      </c>
      <c r="Q15" s="249">
        <v>123</v>
      </c>
      <c r="T15" s="310"/>
      <c r="W15">
        <v>10.8</v>
      </c>
      <c r="Y15">
        <v>7.2</v>
      </c>
    </row>
    <row r="16" spans="1:70" x14ac:dyDescent="0.25">
      <c r="N16" s="249" t="s">
        <v>162</v>
      </c>
      <c r="O16" s="249">
        <v>135</v>
      </c>
      <c r="P16" s="249">
        <v>114</v>
      </c>
      <c r="Q16" s="249">
        <v>105</v>
      </c>
      <c r="T16" s="310"/>
      <c r="W16">
        <v>56.1</v>
      </c>
      <c r="Y16">
        <v>54</v>
      </c>
    </row>
    <row r="17" spans="23:35" x14ac:dyDescent="0.25">
      <c r="W17">
        <v>45.3</v>
      </c>
      <c r="Y17">
        <v>43.8</v>
      </c>
      <c r="AI17" s="291"/>
    </row>
    <row r="18" spans="23:35" x14ac:dyDescent="0.25">
      <c r="W18">
        <v>1.3</v>
      </c>
      <c r="Y18">
        <f>SUM(Y15:Y17)</f>
        <v>105</v>
      </c>
    </row>
    <row r="19" spans="23:35" x14ac:dyDescent="0.25">
      <c r="W19">
        <v>0.5</v>
      </c>
    </row>
    <row r="20" spans="23:35" x14ac:dyDescent="0.25">
      <c r="W20">
        <f>SUM(W15:W19)</f>
        <v>114</v>
      </c>
    </row>
  </sheetData>
  <mergeCells count="21">
    <mergeCell ref="BM1:BN1"/>
    <mergeCell ref="BO1:BP1"/>
    <mergeCell ref="BQ2:BR2"/>
    <mergeCell ref="AC1:AD1"/>
    <mergeCell ref="AE1:AL1"/>
    <mergeCell ref="AM1:AQ1"/>
    <mergeCell ref="AR1:AT1"/>
    <mergeCell ref="AU1:BC1"/>
    <mergeCell ref="BD1:BL1"/>
    <mergeCell ref="Z1:AB1"/>
    <mergeCell ref="A1:A3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5"/>
  <sheetViews>
    <sheetView topLeftCell="F10" workbookViewId="0">
      <selection activeCell="L19" sqref="L19"/>
    </sheetView>
  </sheetViews>
  <sheetFormatPr defaultRowHeight="15" x14ac:dyDescent="0.25"/>
  <cols>
    <col min="2" max="2" width="23.42578125" customWidth="1"/>
    <col min="14" max="14" width="9.5703125" bestFit="1" customWidth="1"/>
  </cols>
  <sheetData>
    <row r="1" spans="1:70" ht="15.75" customHeight="1" x14ac:dyDescent="0.25">
      <c r="A1" s="1282" t="s">
        <v>0</v>
      </c>
      <c r="B1" s="1285" t="s">
        <v>1</v>
      </c>
      <c r="C1" s="1288" t="s">
        <v>2</v>
      </c>
      <c r="D1" s="1289"/>
      <c r="E1" s="1290"/>
      <c r="F1" s="1288" t="s">
        <v>3</v>
      </c>
      <c r="G1" s="1289"/>
      <c r="H1" s="1290"/>
      <c r="I1" s="1288" t="s">
        <v>4</v>
      </c>
      <c r="J1" s="1289"/>
      <c r="K1" s="1290"/>
      <c r="L1" s="1294" t="s">
        <v>5</v>
      </c>
      <c r="M1" s="1294" t="s">
        <v>6</v>
      </c>
      <c r="N1" s="1294" t="s">
        <v>7</v>
      </c>
      <c r="O1" s="1296" t="s">
        <v>8</v>
      </c>
      <c r="P1" s="1297"/>
      <c r="Q1" s="1298"/>
      <c r="R1" s="1299" t="s">
        <v>9</v>
      </c>
      <c r="S1" s="1300"/>
      <c r="T1" s="1300"/>
      <c r="U1" s="1301"/>
      <c r="V1" s="1302" t="s">
        <v>10</v>
      </c>
      <c r="W1" s="1303"/>
      <c r="X1" s="1303"/>
      <c r="Y1" s="1304"/>
      <c r="Z1" s="1279" t="s">
        <v>11</v>
      </c>
      <c r="AA1" s="1280"/>
      <c r="AB1" s="1281"/>
      <c r="AC1" s="1309" t="s">
        <v>12</v>
      </c>
      <c r="AD1" s="1310"/>
      <c r="AE1" s="1311" t="s">
        <v>13</v>
      </c>
      <c r="AF1" s="1312"/>
      <c r="AG1" s="1312"/>
      <c r="AH1" s="1312"/>
      <c r="AI1" s="1312"/>
      <c r="AJ1" s="1312"/>
      <c r="AK1" s="1312"/>
      <c r="AL1" s="1313"/>
      <c r="AM1" s="1314" t="s">
        <v>99</v>
      </c>
      <c r="AN1" s="1315"/>
      <c r="AO1" s="1315"/>
      <c r="AP1" s="1315"/>
      <c r="AQ1" s="1316"/>
      <c r="AR1" s="1317" t="s">
        <v>100</v>
      </c>
      <c r="AS1" s="1318"/>
      <c r="AT1" s="1319"/>
      <c r="AU1" s="1317" t="s">
        <v>101</v>
      </c>
      <c r="AV1" s="1318"/>
      <c r="AW1" s="1318"/>
      <c r="AX1" s="1318"/>
      <c r="AY1" s="1318"/>
      <c r="AZ1" s="1318"/>
      <c r="BA1" s="1318"/>
      <c r="BB1" s="1318"/>
      <c r="BC1" s="1319"/>
      <c r="BD1" s="1320" t="s">
        <v>14</v>
      </c>
      <c r="BE1" s="1321"/>
      <c r="BF1" s="1321"/>
      <c r="BG1" s="1321"/>
      <c r="BH1" s="1321"/>
      <c r="BI1" s="1321"/>
      <c r="BJ1" s="1321"/>
      <c r="BK1" s="1321"/>
      <c r="BL1" s="1322"/>
      <c r="BM1" s="1305" t="s">
        <v>15</v>
      </c>
      <c r="BN1" s="1306"/>
      <c r="BO1" s="1307" t="s">
        <v>16</v>
      </c>
      <c r="BP1" s="1308"/>
      <c r="BQ1" s="300"/>
      <c r="BR1" s="300"/>
    </row>
    <row r="2" spans="1:70" ht="225" x14ac:dyDescent="0.25">
      <c r="A2" s="1283"/>
      <c r="B2" s="1286"/>
      <c r="C2" s="1291"/>
      <c r="D2" s="1292"/>
      <c r="E2" s="1293"/>
      <c r="F2" s="1291"/>
      <c r="G2" s="1292"/>
      <c r="H2" s="1293"/>
      <c r="I2" s="1291"/>
      <c r="J2" s="1292"/>
      <c r="K2" s="1293"/>
      <c r="L2" s="1295"/>
      <c r="M2" s="1295"/>
      <c r="N2" s="1295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296" t="s">
        <v>23</v>
      </c>
      <c r="V2" s="42" t="s">
        <v>24</v>
      </c>
      <c r="W2" s="217" t="s">
        <v>25</v>
      </c>
      <c r="X2" s="218" t="s">
        <v>26</v>
      </c>
      <c r="Y2" s="297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94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293" t="s">
        <v>105</v>
      </c>
      <c r="AQ2" s="293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295" t="s">
        <v>14</v>
      </c>
      <c r="BE2" s="295" t="s">
        <v>39</v>
      </c>
      <c r="BF2" s="295" t="s">
        <v>40</v>
      </c>
      <c r="BG2" s="295" t="s">
        <v>41</v>
      </c>
      <c r="BH2" s="295" t="s">
        <v>42</v>
      </c>
      <c r="BI2" s="295" t="s">
        <v>43</v>
      </c>
      <c r="BJ2" s="295" t="s">
        <v>44</v>
      </c>
      <c r="BK2" s="295" t="s">
        <v>45</v>
      </c>
      <c r="BL2" s="295" t="s">
        <v>46</v>
      </c>
      <c r="BM2" s="292" t="s">
        <v>47</v>
      </c>
      <c r="BN2" s="292" t="s">
        <v>48</v>
      </c>
      <c r="BO2" s="293" t="s">
        <v>49</v>
      </c>
      <c r="BP2" s="293" t="s">
        <v>50</v>
      </c>
      <c r="BQ2" s="1305" t="s">
        <v>130</v>
      </c>
      <c r="BR2" s="1306"/>
    </row>
    <row r="3" spans="1:70" ht="75" x14ac:dyDescent="0.25">
      <c r="A3" s="1284"/>
      <c r="B3" s="1287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107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29" t="s">
        <v>59</v>
      </c>
      <c r="BF3" s="29" t="s">
        <v>60</v>
      </c>
      <c r="BG3" s="29" t="s">
        <v>61</v>
      </c>
      <c r="BH3" s="107" t="s">
        <v>62</v>
      </c>
      <c r="BI3" s="29" t="s">
        <v>57</v>
      </c>
      <c r="BJ3" s="107" t="s">
        <v>127</v>
      </c>
      <c r="BK3" s="29" t="s">
        <v>62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292" t="s">
        <v>131</v>
      </c>
      <c r="BR3" s="292" t="s">
        <v>132</v>
      </c>
    </row>
    <row r="4" spans="1:70" ht="16.5" thickBot="1" x14ac:dyDescent="0.3">
      <c r="A4" s="298"/>
      <c r="B4" s="29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48"/>
      <c r="P4" s="217"/>
      <c r="Q4" s="218"/>
      <c r="R4" s="42"/>
      <c r="S4" s="217"/>
      <c r="T4" s="218"/>
      <c r="U4" s="107"/>
      <c r="V4" s="42"/>
      <c r="W4" s="217"/>
      <c r="X4" s="218"/>
      <c r="Y4" s="107"/>
      <c r="Z4" s="42"/>
      <c r="AA4" s="217"/>
      <c r="AB4" s="218"/>
      <c r="AC4" s="217"/>
      <c r="AD4" s="107"/>
      <c r="AE4" s="29"/>
      <c r="AF4" s="107"/>
      <c r="AG4" s="29"/>
      <c r="AH4" s="107"/>
      <c r="AI4" s="29"/>
      <c r="AJ4" s="107"/>
      <c r="AK4" s="29"/>
      <c r="AL4" s="107"/>
      <c r="AM4" s="42"/>
      <c r="AN4" s="217"/>
      <c r="AO4" s="218"/>
      <c r="AP4" s="29"/>
      <c r="AQ4" s="107"/>
      <c r="AR4" s="42"/>
      <c r="AS4" s="29"/>
      <c r="AT4" s="107"/>
      <c r="AU4" s="42"/>
      <c r="AV4" s="217"/>
      <c r="AW4" s="107"/>
      <c r="AX4" s="107"/>
      <c r="AY4" s="107"/>
      <c r="AZ4" s="107"/>
      <c r="BA4" s="107"/>
      <c r="BB4" s="107"/>
      <c r="BC4" s="107"/>
      <c r="BD4" s="29"/>
      <c r="BE4" s="29"/>
      <c r="BF4" s="29"/>
      <c r="BG4" s="29"/>
      <c r="BH4" s="107"/>
      <c r="BI4" s="29"/>
      <c r="BJ4" s="107"/>
      <c r="BK4" s="29"/>
      <c r="BL4" s="107"/>
      <c r="BM4" s="107"/>
      <c r="BN4" s="107"/>
      <c r="BO4" s="107"/>
      <c r="BP4" s="107"/>
      <c r="BQ4" s="107" t="s">
        <v>54</v>
      </c>
      <c r="BR4" s="107" t="s">
        <v>54</v>
      </c>
    </row>
    <row r="5" spans="1:70" ht="30.75" customHeight="1" thickBot="1" x14ac:dyDescent="0.3">
      <c r="A5" s="71">
        <v>60</v>
      </c>
      <c r="B5" s="13" t="s">
        <v>161</v>
      </c>
      <c r="C5" s="242">
        <v>5</v>
      </c>
      <c r="D5" s="242">
        <v>5</v>
      </c>
      <c r="E5" s="126">
        <v>10</v>
      </c>
      <c r="F5" s="127">
        <v>10</v>
      </c>
      <c r="G5" s="127">
        <v>10</v>
      </c>
      <c r="H5" s="126">
        <v>10</v>
      </c>
      <c r="I5" s="127">
        <v>0</v>
      </c>
      <c r="J5" s="127">
        <v>0</v>
      </c>
      <c r="K5" s="126">
        <v>0</v>
      </c>
      <c r="L5" s="127">
        <v>0</v>
      </c>
      <c r="M5" s="127" t="s">
        <v>164</v>
      </c>
      <c r="N5" s="301">
        <v>400</v>
      </c>
      <c r="O5" s="244">
        <f>SUM(R5,V5,Z5,AM5,AR5,AU5)</f>
        <v>5.7230000000000008</v>
      </c>
      <c r="P5" s="244">
        <f>SUM(S5,W5,AA5,AC5,AN5,AV5)</f>
        <v>4.7780000000000005</v>
      </c>
      <c r="Q5" s="244">
        <f>SUM(T5,X5,AB5,AO5)</f>
        <v>3.0639999999999996</v>
      </c>
      <c r="R5" s="129">
        <v>2.76</v>
      </c>
      <c r="S5" s="129">
        <v>2.21</v>
      </c>
      <c r="T5" s="129">
        <v>1.66</v>
      </c>
      <c r="U5" s="129">
        <v>0</v>
      </c>
      <c r="V5" s="130">
        <v>2.21</v>
      </c>
      <c r="W5" s="130">
        <v>1.66</v>
      </c>
      <c r="X5" s="130">
        <v>1.2</v>
      </c>
      <c r="Y5" s="130">
        <v>0</v>
      </c>
      <c r="Z5" s="131">
        <v>0.12</v>
      </c>
      <c r="AA5" s="131">
        <v>5.6000000000000001E-2</v>
      </c>
      <c r="AB5" s="131">
        <v>3.4000000000000002E-2</v>
      </c>
      <c r="AC5" s="132">
        <v>0.61</v>
      </c>
      <c r="AD5" s="132">
        <v>0</v>
      </c>
      <c r="AE5" s="126">
        <v>0</v>
      </c>
      <c r="AF5" s="126">
        <v>0</v>
      </c>
      <c r="AG5" s="126">
        <v>2</v>
      </c>
      <c r="AH5" s="126">
        <v>6</v>
      </c>
      <c r="AI5" s="126">
        <v>0</v>
      </c>
      <c r="AJ5" s="126">
        <v>0</v>
      </c>
      <c r="AK5" s="126">
        <v>0</v>
      </c>
      <c r="AL5" s="126">
        <v>0</v>
      </c>
      <c r="AM5" s="133">
        <v>0.56000000000000005</v>
      </c>
      <c r="AN5" s="133">
        <v>0.23</v>
      </c>
      <c r="AO5" s="133">
        <v>0.17</v>
      </c>
      <c r="AP5" s="133">
        <v>0</v>
      </c>
      <c r="AQ5" s="133">
        <v>0</v>
      </c>
      <c r="AR5" s="134">
        <v>5.6000000000000001E-2</v>
      </c>
      <c r="AS5" s="134">
        <v>3</v>
      </c>
      <c r="AT5" s="135"/>
      <c r="AU5" s="247">
        <v>1.7000000000000001E-2</v>
      </c>
      <c r="AV5" s="134">
        <v>1.2E-2</v>
      </c>
      <c r="AW5" s="134" t="s">
        <v>65</v>
      </c>
      <c r="AX5" s="134">
        <v>0</v>
      </c>
      <c r="AY5" s="134" t="s">
        <v>65</v>
      </c>
      <c r="AZ5" s="134">
        <v>0</v>
      </c>
      <c r="BA5" s="134" t="s">
        <v>65</v>
      </c>
      <c r="BB5" s="134" t="s">
        <v>65</v>
      </c>
      <c r="BC5" s="134" t="s">
        <v>65</v>
      </c>
      <c r="BD5" s="137">
        <v>1</v>
      </c>
      <c r="BE5" s="137">
        <v>1350</v>
      </c>
      <c r="BF5" s="137">
        <v>1.5</v>
      </c>
      <c r="BG5" s="137" t="s">
        <v>72</v>
      </c>
      <c r="BH5" s="137">
        <v>1260</v>
      </c>
      <c r="BI5" s="137">
        <v>0</v>
      </c>
      <c r="BJ5" s="137" t="s">
        <v>65</v>
      </c>
      <c r="BK5" s="137">
        <v>0</v>
      </c>
      <c r="BL5" s="137" t="s">
        <v>65</v>
      </c>
      <c r="BM5" s="138" t="s">
        <v>67</v>
      </c>
      <c r="BN5" s="138" t="s">
        <v>67</v>
      </c>
      <c r="BO5" s="139" t="s">
        <v>67</v>
      </c>
      <c r="BP5" s="139" t="s">
        <v>67</v>
      </c>
      <c r="BQ5" s="246">
        <v>0</v>
      </c>
      <c r="BR5" s="246">
        <v>0</v>
      </c>
    </row>
    <row r="6" spans="1:70" ht="35.25" customHeight="1" thickBot="1" x14ac:dyDescent="0.3">
      <c r="A6" s="71">
        <v>50</v>
      </c>
      <c r="B6" s="13" t="s">
        <v>121</v>
      </c>
      <c r="C6" s="242">
        <v>4</v>
      </c>
      <c r="D6" s="243">
        <v>4</v>
      </c>
      <c r="E6" s="126">
        <v>8</v>
      </c>
      <c r="F6" s="127">
        <v>8</v>
      </c>
      <c r="G6" s="127">
        <v>8</v>
      </c>
      <c r="H6" s="126">
        <v>8</v>
      </c>
      <c r="I6" s="127">
        <v>0</v>
      </c>
      <c r="J6" s="127">
        <v>0</v>
      </c>
      <c r="K6" s="126">
        <v>0</v>
      </c>
      <c r="L6" s="127">
        <v>0</v>
      </c>
      <c r="M6" s="127" t="s">
        <v>65</v>
      </c>
      <c r="N6" s="127">
        <v>0</v>
      </c>
      <c r="O6" s="244">
        <f>SUM(R6,V6,Z6,AM6,AR6,AU6)</f>
        <v>5.0759999999999996</v>
      </c>
      <c r="P6" s="244">
        <f>SUM(S6,W6,AA6,AC6,AN6,AV6)</f>
        <v>3.8669000000000002</v>
      </c>
      <c r="Q6" s="244">
        <f>SUM(T6,X6,AB6,AO6)</f>
        <v>2.87</v>
      </c>
      <c r="R6" s="129">
        <v>2.4300000000000002</v>
      </c>
      <c r="S6" s="129">
        <v>1.66</v>
      </c>
      <c r="T6" s="129">
        <v>1.33</v>
      </c>
      <c r="U6" s="129">
        <v>0</v>
      </c>
      <c r="V6" s="130">
        <v>2.3199999999999998</v>
      </c>
      <c r="W6" s="130">
        <v>1.66</v>
      </c>
      <c r="X6" s="130">
        <v>1.44</v>
      </c>
      <c r="Y6" s="130">
        <v>0</v>
      </c>
      <c r="Z6" s="131">
        <v>5.6000000000000001E-2</v>
      </c>
      <c r="AA6" s="131">
        <v>2.8000000000000001E-2</v>
      </c>
      <c r="AB6" s="131">
        <v>1.0999999999999999E-2</v>
      </c>
      <c r="AC6" s="132">
        <v>0.39</v>
      </c>
      <c r="AD6" s="132">
        <v>0</v>
      </c>
      <c r="AE6" s="126">
        <v>0</v>
      </c>
      <c r="AF6" s="126">
        <v>0</v>
      </c>
      <c r="AG6" s="126">
        <v>1</v>
      </c>
      <c r="AH6" s="126">
        <v>1.6</v>
      </c>
      <c r="AI6" s="126">
        <v>0</v>
      </c>
      <c r="AJ6" s="126">
        <v>0</v>
      </c>
      <c r="AK6" s="126">
        <v>0</v>
      </c>
      <c r="AL6" s="126">
        <v>0</v>
      </c>
      <c r="AM6" s="133">
        <v>0.23</v>
      </c>
      <c r="AN6" s="133">
        <v>0.12</v>
      </c>
      <c r="AO6" s="133">
        <v>8.8999999999999996E-2</v>
      </c>
      <c r="AP6" s="133">
        <v>0</v>
      </c>
      <c r="AQ6" s="133">
        <v>0</v>
      </c>
      <c r="AR6" s="134">
        <v>2.8000000000000001E-2</v>
      </c>
      <c r="AS6" s="134">
        <v>1</v>
      </c>
      <c r="AT6" s="135"/>
      <c r="AU6" s="134">
        <v>1.2E-2</v>
      </c>
      <c r="AV6" s="134">
        <v>8.8999999999999999E-3</v>
      </c>
      <c r="AW6" s="134" t="s">
        <v>65</v>
      </c>
      <c r="AX6" s="134">
        <v>0</v>
      </c>
      <c r="AY6" s="134" t="s">
        <v>65</v>
      </c>
      <c r="AZ6" s="134">
        <v>0</v>
      </c>
      <c r="BA6" s="134" t="s">
        <v>65</v>
      </c>
      <c r="BB6" s="134" t="s">
        <v>65</v>
      </c>
      <c r="BC6" s="134" t="s">
        <v>67</v>
      </c>
      <c r="BD6" s="137">
        <v>1</v>
      </c>
      <c r="BE6" s="137">
        <v>15617.8</v>
      </c>
      <c r="BF6" s="245">
        <v>1.6</v>
      </c>
      <c r="BG6" s="137" t="s">
        <v>72</v>
      </c>
      <c r="BH6" s="137">
        <v>800</v>
      </c>
      <c r="BI6" s="137">
        <v>0</v>
      </c>
      <c r="BJ6" s="137" t="s">
        <v>65</v>
      </c>
      <c r="BK6" s="137">
        <v>0</v>
      </c>
      <c r="BL6" s="137" t="s">
        <v>65</v>
      </c>
      <c r="BM6" s="138" t="s">
        <v>67</v>
      </c>
      <c r="BN6" s="138" t="s">
        <v>67</v>
      </c>
      <c r="BO6" s="139" t="s">
        <v>65</v>
      </c>
      <c r="BP6" s="139" t="s">
        <v>65</v>
      </c>
      <c r="BQ6" s="246">
        <v>0</v>
      </c>
      <c r="BR6" s="246">
        <v>0</v>
      </c>
    </row>
    <row r="8" spans="1:70" ht="15.75" thickBot="1" x14ac:dyDescent="0.3"/>
    <row r="9" spans="1:70" s="319" customFormat="1" ht="30.75" customHeight="1" thickBot="1" x14ac:dyDescent="0.3">
      <c r="A9" s="311">
        <v>60</v>
      </c>
      <c r="B9" s="312" t="s">
        <v>161</v>
      </c>
      <c r="C9" s="313">
        <v>5</v>
      </c>
      <c r="D9" s="313">
        <v>5</v>
      </c>
      <c r="E9" s="314">
        <v>10</v>
      </c>
      <c r="F9" s="314">
        <v>10</v>
      </c>
      <c r="G9" s="314">
        <v>10</v>
      </c>
      <c r="H9" s="314">
        <v>10</v>
      </c>
      <c r="I9" s="314">
        <v>0</v>
      </c>
      <c r="J9" s="314">
        <v>0</v>
      </c>
      <c r="K9" s="314">
        <v>0</v>
      </c>
      <c r="L9" s="314">
        <v>0</v>
      </c>
      <c r="M9" s="314" t="s">
        <v>164</v>
      </c>
      <c r="N9" s="315">
        <v>400</v>
      </c>
      <c r="O9" s="314">
        <f>SUM(R9,V9,Z9,AM9,AR9,AU9)</f>
        <v>144</v>
      </c>
      <c r="P9" s="314">
        <f>SUM(S9,W9,AA9,AC9,AN9,AV9)</f>
        <v>135</v>
      </c>
      <c r="Q9" s="314">
        <f>SUM(T9,X9,AB9,AO9)</f>
        <v>108.99</v>
      </c>
      <c r="R9" s="314">
        <v>74</v>
      </c>
      <c r="S9" s="314">
        <v>63.4</v>
      </c>
      <c r="T9" s="314">
        <v>63.4</v>
      </c>
      <c r="U9" s="314">
        <f>30*0</f>
        <v>0</v>
      </c>
      <c r="V9" s="314">
        <v>57.6</v>
      </c>
      <c r="W9" s="314">
        <v>42.2</v>
      </c>
      <c r="X9" s="314">
        <v>42.2</v>
      </c>
      <c r="Y9" s="314">
        <f>30*0</f>
        <v>0</v>
      </c>
      <c r="Z9" s="314">
        <v>2</v>
      </c>
      <c r="AA9" s="314">
        <v>0.44</v>
      </c>
      <c r="AB9" s="314">
        <v>0.39</v>
      </c>
      <c r="AC9" s="314">
        <v>25.1</v>
      </c>
      <c r="AD9" s="314">
        <f>30*0</f>
        <v>0</v>
      </c>
      <c r="AE9" s="314">
        <v>0</v>
      </c>
      <c r="AF9" s="314">
        <v>0</v>
      </c>
      <c r="AG9" s="314">
        <v>2</v>
      </c>
      <c r="AH9" s="314">
        <v>6</v>
      </c>
      <c r="AI9" s="314">
        <v>0</v>
      </c>
      <c r="AJ9" s="314">
        <v>0</v>
      </c>
      <c r="AK9" s="314">
        <v>0</v>
      </c>
      <c r="AL9" s="314">
        <v>0</v>
      </c>
      <c r="AM9" s="314">
        <v>10</v>
      </c>
      <c r="AN9" s="314">
        <v>3.3</v>
      </c>
      <c r="AO9" s="314">
        <v>3</v>
      </c>
      <c r="AP9" s="314">
        <v>0</v>
      </c>
      <c r="AQ9" s="314">
        <v>0</v>
      </c>
      <c r="AR9" s="314">
        <v>0.28000000000000003</v>
      </c>
      <c r="AS9" s="314">
        <v>3</v>
      </c>
      <c r="AT9" s="316"/>
      <c r="AU9" s="314">
        <v>0.12</v>
      </c>
      <c r="AV9" s="314">
        <v>0.56000000000000005</v>
      </c>
      <c r="AW9" s="314" t="s">
        <v>65</v>
      </c>
      <c r="AX9" s="314">
        <v>0</v>
      </c>
      <c r="AY9" s="314" t="s">
        <v>65</v>
      </c>
      <c r="AZ9" s="314">
        <v>0</v>
      </c>
      <c r="BA9" s="314" t="s">
        <v>65</v>
      </c>
      <c r="BB9" s="314" t="s">
        <v>65</v>
      </c>
      <c r="BC9" s="314" t="s">
        <v>65</v>
      </c>
      <c r="BD9" s="317">
        <v>1</v>
      </c>
      <c r="BE9" s="317">
        <v>1350</v>
      </c>
      <c r="BF9" s="317">
        <v>1.5</v>
      </c>
      <c r="BG9" s="317" t="s">
        <v>72</v>
      </c>
      <c r="BH9" s="317">
        <v>1260</v>
      </c>
      <c r="BI9" s="317">
        <v>0</v>
      </c>
      <c r="BJ9" s="317" t="s">
        <v>65</v>
      </c>
      <c r="BK9" s="317">
        <v>0</v>
      </c>
      <c r="BL9" s="317" t="s">
        <v>65</v>
      </c>
      <c r="BM9" s="317" t="s">
        <v>67</v>
      </c>
      <c r="BN9" s="317" t="s">
        <v>67</v>
      </c>
      <c r="BO9" s="317" t="s">
        <v>67</v>
      </c>
      <c r="BP9" s="317" t="s">
        <v>67</v>
      </c>
      <c r="BQ9" s="318">
        <v>0</v>
      </c>
      <c r="BR9" s="318">
        <v>0</v>
      </c>
    </row>
    <row r="10" spans="1:70" s="319" customFormat="1" ht="35.25" customHeight="1" thickBot="1" x14ac:dyDescent="0.3">
      <c r="A10" s="311">
        <v>50</v>
      </c>
      <c r="B10" s="312" t="s">
        <v>121</v>
      </c>
      <c r="C10" s="313">
        <v>4</v>
      </c>
      <c r="D10" s="314">
        <v>4</v>
      </c>
      <c r="E10" s="314">
        <v>8</v>
      </c>
      <c r="F10" s="314">
        <v>8</v>
      </c>
      <c r="G10" s="314">
        <v>8</v>
      </c>
      <c r="H10" s="314">
        <v>8</v>
      </c>
      <c r="I10" s="314">
        <v>0</v>
      </c>
      <c r="J10" s="314">
        <v>0</v>
      </c>
      <c r="K10" s="314">
        <v>0</v>
      </c>
      <c r="L10" s="314">
        <v>0</v>
      </c>
      <c r="M10" s="314" t="s">
        <v>65</v>
      </c>
      <c r="N10" s="314">
        <v>0</v>
      </c>
      <c r="O10" s="314">
        <f>SUM(R10,V10,Z10,AM10,AR10,AU10)</f>
        <v>151.93200000000002</v>
      </c>
      <c r="P10" s="314">
        <f>SUM(S10,W10,AA10,AC10,AN10,AV10)</f>
        <v>115.74889999999999</v>
      </c>
      <c r="Q10" s="314">
        <f>SUM(T10,X10,AB10,AO10)</f>
        <v>86.1</v>
      </c>
      <c r="R10" s="314">
        <f>30*2.43</f>
        <v>72.900000000000006</v>
      </c>
      <c r="S10" s="314">
        <f>30*1.66</f>
        <v>49.8</v>
      </c>
      <c r="T10" s="314">
        <f>30*1.33</f>
        <v>39.900000000000006</v>
      </c>
      <c r="U10" s="314">
        <f>30*0</f>
        <v>0</v>
      </c>
      <c r="V10" s="314">
        <f>30*2.32</f>
        <v>69.599999999999994</v>
      </c>
      <c r="W10" s="314">
        <f>30*1.66</f>
        <v>49.8</v>
      </c>
      <c r="X10" s="314">
        <f>30*1.44</f>
        <v>43.199999999999996</v>
      </c>
      <c r="Y10" s="314">
        <v>0</v>
      </c>
      <c r="Z10" s="314">
        <f>30*0.056</f>
        <v>1.68</v>
      </c>
      <c r="AA10" s="314">
        <f>30*0.028</f>
        <v>0.84</v>
      </c>
      <c r="AB10" s="314">
        <f>30*0.011</f>
        <v>0.32999999999999996</v>
      </c>
      <c r="AC10" s="314">
        <f>30*0.39</f>
        <v>11.700000000000001</v>
      </c>
      <c r="AD10" s="314">
        <f>30*0</f>
        <v>0</v>
      </c>
      <c r="AE10" s="314">
        <v>0</v>
      </c>
      <c r="AF10" s="314">
        <v>0</v>
      </c>
      <c r="AG10" s="314">
        <v>1</v>
      </c>
      <c r="AH10" s="314">
        <v>1.6</v>
      </c>
      <c r="AI10" s="314">
        <v>0</v>
      </c>
      <c r="AJ10" s="314">
        <v>0</v>
      </c>
      <c r="AK10" s="314">
        <v>0</v>
      </c>
      <c r="AL10" s="314">
        <v>0</v>
      </c>
      <c r="AM10" s="314">
        <f>30*0.23</f>
        <v>6.9</v>
      </c>
      <c r="AN10" s="314">
        <f>30*0.12</f>
        <v>3.5999999999999996</v>
      </c>
      <c r="AO10" s="314">
        <f>30*0.089</f>
        <v>2.67</v>
      </c>
      <c r="AP10" s="314">
        <v>0</v>
      </c>
      <c r="AQ10" s="314">
        <v>0</v>
      </c>
      <c r="AR10" s="314">
        <f>30*0.028</f>
        <v>0.84</v>
      </c>
      <c r="AS10" s="314">
        <v>1</v>
      </c>
      <c r="AT10" s="316"/>
      <c r="AU10" s="314">
        <v>1.2E-2</v>
      </c>
      <c r="AV10" s="314">
        <v>8.8999999999999999E-3</v>
      </c>
      <c r="AW10" s="314" t="s">
        <v>65</v>
      </c>
      <c r="AX10" s="314">
        <v>0</v>
      </c>
      <c r="AY10" s="314" t="s">
        <v>65</v>
      </c>
      <c r="AZ10" s="314">
        <v>0</v>
      </c>
      <c r="BA10" s="314" t="s">
        <v>65</v>
      </c>
      <c r="BB10" s="314" t="s">
        <v>65</v>
      </c>
      <c r="BC10" s="314" t="s">
        <v>67</v>
      </c>
      <c r="BD10" s="317">
        <v>1</v>
      </c>
      <c r="BE10" s="317">
        <v>15617.8</v>
      </c>
      <c r="BF10" s="317">
        <v>1.6</v>
      </c>
      <c r="BG10" s="317" t="s">
        <v>72</v>
      </c>
      <c r="BH10" s="317">
        <v>800</v>
      </c>
      <c r="BI10" s="317">
        <v>0</v>
      </c>
      <c r="BJ10" s="317" t="s">
        <v>65</v>
      </c>
      <c r="BK10" s="317">
        <v>0</v>
      </c>
      <c r="BL10" s="317" t="s">
        <v>65</v>
      </c>
      <c r="BM10" s="317" t="s">
        <v>67</v>
      </c>
      <c r="BN10" s="317" t="s">
        <v>67</v>
      </c>
      <c r="BO10" s="317" t="s">
        <v>65</v>
      </c>
      <c r="BP10" s="317" t="s">
        <v>65</v>
      </c>
      <c r="BQ10" s="318">
        <v>0</v>
      </c>
      <c r="BR10" s="318">
        <v>0</v>
      </c>
    </row>
    <row r="13" spans="1:70" x14ac:dyDescent="0.25">
      <c r="N13" s="249" t="s">
        <v>163</v>
      </c>
      <c r="O13" s="249">
        <v>144</v>
      </c>
      <c r="P13" s="249">
        <v>135</v>
      </c>
      <c r="Q13" s="249">
        <v>123</v>
      </c>
    </row>
    <row r="14" spans="1:70" x14ac:dyDescent="0.25">
      <c r="N14" s="249" t="s">
        <v>162</v>
      </c>
      <c r="O14" s="249">
        <v>135</v>
      </c>
      <c r="P14" s="249">
        <v>114</v>
      </c>
      <c r="Q14" s="249">
        <v>105</v>
      </c>
    </row>
    <row r="15" spans="1:70" x14ac:dyDescent="0.25">
      <c r="AI15" s="300"/>
    </row>
  </sheetData>
  <mergeCells count="21">
    <mergeCell ref="BM1:BN1"/>
    <mergeCell ref="BO1:BP1"/>
    <mergeCell ref="BQ2:BR2"/>
    <mergeCell ref="AC1:AD1"/>
    <mergeCell ref="AE1:AL1"/>
    <mergeCell ref="AM1:AQ1"/>
    <mergeCell ref="AR1:AT1"/>
    <mergeCell ref="AU1:BC1"/>
    <mergeCell ref="BD1:BL1"/>
    <mergeCell ref="Z1:AB1"/>
    <mergeCell ref="A1:A3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4"/>
  <sheetViews>
    <sheetView topLeftCell="L6" workbookViewId="0">
      <selection activeCell="L8" sqref="A8:XFD8"/>
    </sheetView>
  </sheetViews>
  <sheetFormatPr defaultRowHeight="15" x14ac:dyDescent="0.25"/>
  <cols>
    <col min="2" max="2" width="23.42578125" customWidth="1"/>
  </cols>
  <sheetData>
    <row r="1" spans="1:70" ht="15.75" x14ac:dyDescent="0.25">
      <c r="A1" s="1265" t="s">
        <v>0</v>
      </c>
      <c r="B1" s="1266" t="s">
        <v>1</v>
      </c>
      <c r="C1" s="1207" t="s">
        <v>2</v>
      </c>
      <c r="D1" s="1207"/>
      <c r="E1" s="1207"/>
      <c r="F1" s="1207" t="s">
        <v>3</v>
      </c>
      <c r="G1" s="1207"/>
      <c r="H1" s="1207"/>
      <c r="I1" s="1207" t="s">
        <v>4</v>
      </c>
      <c r="J1" s="1207"/>
      <c r="K1" s="1207"/>
      <c r="L1" s="1207" t="s">
        <v>5</v>
      </c>
      <c r="M1" s="1207" t="s">
        <v>6</v>
      </c>
      <c r="N1" s="1207" t="s">
        <v>7</v>
      </c>
      <c r="O1" s="1213" t="s">
        <v>8</v>
      </c>
      <c r="P1" s="1213"/>
      <c r="Q1" s="1213"/>
      <c r="R1" s="1214" t="s">
        <v>9</v>
      </c>
      <c r="S1" s="1214"/>
      <c r="T1" s="1214"/>
      <c r="U1" s="1214"/>
      <c r="V1" s="1215" t="s">
        <v>10</v>
      </c>
      <c r="W1" s="1215"/>
      <c r="X1" s="1215"/>
      <c r="Y1" s="1215"/>
      <c r="Z1" s="1206" t="s">
        <v>11</v>
      </c>
      <c r="AA1" s="1206"/>
      <c r="AB1" s="1206"/>
      <c r="AC1" s="1210" t="s">
        <v>12</v>
      </c>
      <c r="AD1" s="1210"/>
      <c r="AE1" s="1277" t="s">
        <v>13</v>
      </c>
      <c r="AF1" s="1277"/>
      <c r="AG1" s="1277"/>
      <c r="AH1" s="1277"/>
      <c r="AI1" s="1277"/>
      <c r="AJ1" s="1277"/>
      <c r="AK1" s="1277"/>
      <c r="AL1" s="1277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212" t="s">
        <v>14</v>
      </c>
      <c r="BE1" s="1212"/>
      <c r="BF1" s="1212"/>
      <c r="BG1" s="1212"/>
      <c r="BH1" s="1212"/>
      <c r="BI1" s="1212"/>
      <c r="BJ1" s="1212"/>
      <c r="BK1" s="1212"/>
      <c r="BL1" s="1212"/>
      <c r="BM1" s="1208" t="s">
        <v>15</v>
      </c>
      <c r="BN1" s="1208"/>
      <c r="BO1" s="1209" t="s">
        <v>16</v>
      </c>
      <c r="BP1" s="1209"/>
      <c r="BQ1" s="309"/>
      <c r="BR1" s="309"/>
    </row>
    <row r="2" spans="1:70" ht="225" x14ac:dyDescent="0.25">
      <c r="A2" s="1265"/>
      <c r="B2" s="1266"/>
      <c r="C2" s="1207"/>
      <c r="D2" s="1207"/>
      <c r="E2" s="1207"/>
      <c r="F2" s="1207"/>
      <c r="G2" s="1207"/>
      <c r="H2" s="1207"/>
      <c r="I2" s="1207"/>
      <c r="J2" s="1207"/>
      <c r="K2" s="1207"/>
      <c r="L2" s="1207"/>
      <c r="M2" s="1207"/>
      <c r="N2" s="1207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302" t="s">
        <v>23</v>
      </c>
      <c r="V2" s="42" t="s">
        <v>24</v>
      </c>
      <c r="W2" s="217" t="s">
        <v>25</v>
      </c>
      <c r="X2" s="218" t="s">
        <v>26</v>
      </c>
      <c r="Y2" s="303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305" t="s">
        <v>105</v>
      </c>
      <c r="AQ2" s="305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306" t="s">
        <v>14</v>
      </c>
      <c r="BE2" s="306" t="s">
        <v>39</v>
      </c>
      <c r="BF2" s="306" t="s">
        <v>40</v>
      </c>
      <c r="BG2" s="306" t="s">
        <v>41</v>
      </c>
      <c r="BH2" s="306" t="s">
        <v>42</v>
      </c>
      <c r="BI2" s="306" t="s">
        <v>43</v>
      </c>
      <c r="BJ2" s="306" t="s">
        <v>44</v>
      </c>
      <c r="BK2" s="306" t="s">
        <v>45</v>
      </c>
      <c r="BL2" s="306" t="s">
        <v>46</v>
      </c>
      <c r="BM2" s="304" t="s">
        <v>47</v>
      </c>
      <c r="BN2" s="304" t="s">
        <v>48</v>
      </c>
      <c r="BO2" s="305" t="s">
        <v>49</v>
      </c>
      <c r="BP2" s="305" t="s">
        <v>50</v>
      </c>
      <c r="BQ2" s="1208" t="s">
        <v>130</v>
      </c>
      <c r="BR2" s="1276"/>
    </row>
    <row r="3" spans="1:70" ht="75" x14ac:dyDescent="0.25">
      <c r="A3" s="1265"/>
      <c r="B3" s="1266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29" t="s">
        <v>59</v>
      </c>
      <c r="BF3" s="29" t="s">
        <v>60</v>
      </c>
      <c r="BG3" s="29" t="s">
        <v>61</v>
      </c>
      <c r="BH3" s="107" t="s">
        <v>62</v>
      </c>
      <c r="BI3" s="29" t="s">
        <v>57</v>
      </c>
      <c r="BJ3" s="107" t="s">
        <v>127</v>
      </c>
      <c r="BK3" s="29" t="s">
        <v>62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304" t="s">
        <v>131</v>
      </c>
      <c r="BR3" s="304" t="s">
        <v>132</v>
      </c>
    </row>
    <row r="4" spans="1:70" ht="15.75" x14ac:dyDescent="0.25">
      <c r="A4" s="307"/>
      <c r="B4" s="308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48"/>
      <c r="P4" s="217"/>
      <c r="Q4" s="218"/>
      <c r="R4" s="42"/>
      <c r="S4" s="217"/>
      <c r="T4" s="218"/>
      <c r="U4" s="107"/>
      <c r="V4" s="42"/>
      <c r="W4" s="217"/>
      <c r="X4" s="218"/>
      <c r="Y4" s="107"/>
      <c r="Z4" s="42"/>
      <c r="AA4" s="217"/>
      <c r="AB4" s="218"/>
      <c r="AC4" s="217"/>
      <c r="AD4" s="218"/>
      <c r="AE4" s="29"/>
      <c r="AF4" s="107"/>
      <c r="AG4" s="29"/>
      <c r="AH4" s="107"/>
      <c r="AI4" s="29"/>
      <c r="AJ4" s="107"/>
      <c r="AK4" s="29"/>
      <c r="AL4" s="107"/>
      <c r="AM4" s="42"/>
      <c r="AN4" s="217"/>
      <c r="AO4" s="218"/>
      <c r="AP4" s="29"/>
      <c r="AQ4" s="107"/>
      <c r="AR4" s="42"/>
      <c r="AS4" s="29"/>
      <c r="AT4" s="107"/>
      <c r="AU4" s="42"/>
      <c r="AV4" s="217"/>
      <c r="AW4" s="107"/>
      <c r="AX4" s="107"/>
      <c r="AY4" s="107"/>
      <c r="AZ4" s="107"/>
      <c r="BA4" s="107"/>
      <c r="BB4" s="107"/>
      <c r="BC4" s="107"/>
      <c r="BD4" s="29"/>
      <c r="BE4" s="29"/>
      <c r="BF4" s="29"/>
      <c r="BG4" s="29"/>
      <c r="BH4" s="107"/>
      <c r="BI4" s="29"/>
      <c r="BJ4" s="107"/>
      <c r="BK4" s="29"/>
      <c r="BL4" s="107"/>
      <c r="BM4" s="107"/>
      <c r="BN4" s="107"/>
      <c r="BO4" s="107"/>
      <c r="BP4" s="107"/>
      <c r="BQ4" s="107" t="s">
        <v>54</v>
      </c>
      <c r="BR4" s="107" t="s">
        <v>54</v>
      </c>
    </row>
    <row r="5" spans="1:70" ht="16.5" thickBot="1" x14ac:dyDescent="0.3">
      <c r="A5" s="320"/>
      <c r="B5" s="321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322"/>
      <c r="P5" s="202"/>
      <c r="Q5" s="208"/>
      <c r="R5" s="196">
        <v>2150</v>
      </c>
      <c r="S5" s="202">
        <v>1550</v>
      </c>
      <c r="T5" s="208">
        <v>1350</v>
      </c>
      <c r="U5" s="142"/>
      <c r="V5" s="196">
        <v>1950</v>
      </c>
      <c r="W5" s="202">
        <v>1350</v>
      </c>
      <c r="X5" s="208">
        <v>1100</v>
      </c>
      <c r="Y5" s="142"/>
      <c r="Z5" s="196">
        <v>150</v>
      </c>
      <c r="AA5" s="202">
        <v>85</v>
      </c>
      <c r="AB5" s="208">
        <v>45</v>
      </c>
      <c r="AC5" s="202">
        <v>1200</v>
      </c>
      <c r="AD5" s="208">
        <v>850</v>
      </c>
      <c r="AE5" s="143"/>
      <c r="AF5" s="142"/>
      <c r="AG5" s="143"/>
      <c r="AH5" s="142"/>
      <c r="AI5" s="143"/>
      <c r="AJ5" s="142"/>
      <c r="AK5" s="143"/>
      <c r="AL5" s="142"/>
      <c r="AM5" s="196">
        <v>600</v>
      </c>
      <c r="AN5" s="202">
        <v>300</v>
      </c>
      <c r="AO5" s="208">
        <v>280</v>
      </c>
      <c r="AP5" s="143"/>
      <c r="AQ5" s="142"/>
      <c r="AR5" s="196">
        <v>80</v>
      </c>
      <c r="AS5" s="143"/>
      <c r="AT5" s="142"/>
      <c r="AU5" s="196">
        <v>16</v>
      </c>
      <c r="AV5" s="202">
        <v>10</v>
      </c>
      <c r="AW5" s="142"/>
      <c r="AX5" s="142"/>
      <c r="AY5" s="142"/>
      <c r="AZ5" s="142"/>
      <c r="BA5" s="142"/>
      <c r="BB5" s="142"/>
      <c r="BC5" s="142"/>
      <c r="BD5" s="143"/>
      <c r="BE5" s="143"/>
      <c r="BF5" s="143"/>
      <c r="BG5" s="143"/>
      <c r="BH5" s="142"/>
      <c r="BI5" s="143"/>
      <c r="BJ5" s="142"/>
      <c r="BK5" s="143"/>
      <c r="BL5" s="142"/>
      <c r="BM5" s="142"/>
      <c r="BN5" s="142"/>
      <c r="BO5" s="142"/>
      <c r="BP5" s="142"/>
      <c r="BQ5" s="142"/>
      <c r="BR5" s="142"/>
    </row>
    <row r="6" spans="1:70" ht="30.75" customHeight="1" thickBot="1" x14ac:dyDescent="0.3">
      <c r="A6" s="71">
        <v>60</v>
      </c>
      <c r="B6" s="13" t="s">
        <v>161</v>
      </c>
      <c r="C6" s="242">
        <v>5</v>
      </c>
      <c r="D6" s="242">
        <v>5</v>
      </c>
      <c r="E6" s="126">
        <v>10</v>
      </c>
      <c r="F6" s="127">
        <v>10</v>
      </c>
      <c r="G6" s="127">
        <v>10</v>
      </c>
      <c r="H6" s="126">
        <v>10</v>
      </c>
      <c r="I6" s="127">
        <v>0</v>
      </c>
      <c r="J6" s="127">
        <v>0</v>
      </c>
      <c r="K6" s="126">
        <v>0</v>
      </c>
      <c r="L6" s="127">
        <v>0</v>
      </c>
      <c r="M6" s="127" t="s">
        <v>65</v>
      </c>
      <c r="N6" s="127">
        <v>0</v>
      </c>
      <c r="O6" s="244">
        <f>SUM(R6,V6,Z6,AM6,AR6,AU6)</f>
        <v>5.4669999999999996</v>
      </c>
      <c r="P6" s="244">
        <f>SUM(S6,W6,AA6,AC6,AN6,AV6)</f>
        <v>4.9670000000000005</v>
      </c>
      <c r="Q6" s="244">
        <f>SUM(T6,X6,AB6,AD6,AO6)</f>
        <v>4.0999999999999996</v>
      </c>
      <c r="R6" s="129">
        <v>2.37</v>
      </c>
      <c r="S6" s="129">
        <v>1.71</v>
      </c>
      <c r="T6" s="129">
        <v>1.48</v>
      </c>
      <c r="U6" s="129">
        <v>0</v>
      </c>
      <c r="V6" s="130">
        <v>2.15</v>
      </c>
      <c r="W6" s="130">
        <v>1.49</v>
      </c>
      <c r="X6" s="130">
        <v>1.27</v>
      </c>
      <c r="Y6" s="130">
        <v>0</v>
      </c>
      <c r="Z6" s="131">
        <v>0.17</v>
      </c>
      <c r="AA6" s="131">
        <v>9.4E-2</v>
      </c>
      <c r="AB6" s="131">
        <v>0.05</v>
      </c>
      <c r="AC6" s="132">
        <v>1.33</v>
      </c>
      <c r="AD6" s="132">
        <v>0.99</v>
      </c>
      <c r="AE6" s="126">
        <v>0</v>
      </c>
      <c r="AF6" s="126">
        <v>0</v>
      </c>
      <c r="AG6" s="126">
        <v>2</v>
      </c>
      <c r="AH6" s="126">
        <v>6</v>
      </c>
      <c r="AI6" s="126">
        <v>0</v>
      </c>
      <c r="AJ6" s="126">
        <v>0</v>
      </c>
      <c r="AK6" s="126">
        <v>0</v>
      </c>
      <c r="AL6" s="126">
        <v>0</v>
      </c>
      <c r="AM6" s="133">
        <v>0.67</v>
      </c>
      <c r="AN6" s="133">
        <v>0.33</v>
      </c>
      <c r="AO6" s="133">
        <v>0.31</v>
      </c>
      <c r="AP6" s="133">
        <v>0</v>
      </c>
      <c r="AQ6" s="133">
        <v>0</v>
      </c>
      <c r="AR6" s="134">
        <v>8.8999999999999996E-2</v>
      </c>
      <c r="AS6" s="134">
        <v>3</v>
      </c>
      <c r="AT6" s="135"/>
      <c r="AU6" s="247">
        <v>1.7999999999999999E-2</v>
      </c>
      <c r="AV6" s="134">
        <v>1.2999999999999999E-2</v>
      </c>
      <c r="AW6" s="134" t="s">
        <v>65</v>
      </c>
      <c r="AX6" s="134">
        <v>0</v>
      </c>
      <c r="AY6" s="134" t="s">
        <v>65</v>
      </c>
      <c r="AZ6" s="134">
        <v>0</v>
      </c>
      <c r="BA6" s="134" t="s">
        <v>65</v>
      </c>
      <c r="BB6" s="134" t="s">
        <v>65</v>
      </c>
      <c r="BC6" s="134" t="s">
        <v>65</v>
      </c>
      <c r="BD6" s="137">
        <v>1</v>
      </c>
      <c r="BE6" s="137">
        <v>1350</v>
      </c>
      <c r="BF6" s="137">
        <v>1.5</v>
      </c>
      <c r="BG6" s="137" t="s">
        <v>72</v>
      </c>
      <c r="BH6" s="137">
        <v>1260</v>
      </c>
      <c r="BI6" s="137">
        <v>0</v>
      </c>
      <c r="BJ6" s="137" t="s">
        <v>65</v>
      </c>
      <c r="BK6" s="137">
        <v>0</v>
      </c>
      <c r="BL6" s="137" t="s">
        <v>65</v>
      </c>
      <c r="BM6" s="138" t="s">
        <v>67</v>
      </c>
      <c r="BN6" s="138" t="s">
        <v>67</v>
      </c>
      <c r="BO6" s="139" t="s">
        <v>67</v>
      </c>
      <c r="BP6" s="139" t="s">
        <v>67</v>
      </c>
      <c r="BQ6" s="246">
        <v>0</v>
      </c>
      <c r="BR6" s="246">
        <v>0</v>
      </c>
    </row>
    <row r="7" spans="1:70" s="207" customFormat="1" ht="30.75" customHeight="1" thickBot="1" x14ac:dyDescent="0.3">
      <c r="A7" s="323"/>
      <c r="B7" s="324"/>
      <c r="C7" s="325"/>
      <c r="D7" s="325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>
        <v>1800</v>
      </c>
      <c r="S7" s="326">
        <v>1300</v>
      </c>
      <c r="T7" s="326">
        <v>1150</v>
      </c>
      <c r="U7" s="326"/>
      <c r="V7" s="326">
        <v>1500</v>
      </c>
      <c r="W7" s="326">
        <v>1100</v>
      </c>
      <c r="X7" s="326">
        <v>850</v>
      </c>
      <c r="Y7" s="326"/>
      <c r="Z7" s="326">
        <v>100</v>
      </c>
      <c r="AA7" s="326">
        <v>50</v>
      </c>
      <c r="AB7" s="326">
        <v>18</v>
      </c>
      <c r="AC7" s="326">
        <v>1000</v>
      </c>
      <c r="AD7" s="326">
        <v>800</v>
      </c>
      <c r="AE7" s="326"/>
      <c r="AF7" s="326"/>
      <c r="AG7" s="326"/>
      <c r="AH7" s="326"/>
      <c r="AI7" s="326"/>
      <c r="AJ7" s="326"/>
      <c r="AK7" s="326"/>
      <c r="AL7" s="326"/>
      <c r="AM7" s="326">
        <v>500</v>
      </c>
      <c r="AN7" s="326">
        <v>300</v>
      </c>
      <c r="AO7" s="326">
        <v>250</v>
      </c>
      <c r="AP7" s="326"/>
      <c r="AQ7" s="326"/>
      <c r="AR7" s="326">
        <v>50</v>
      </c>
      <c r="AS7" s="326"/>
      <c r="AT7" s="327"/>
      <c r="AU7" s="326">
        <v>18</v>
      </c>
      <c r="AV7" s="326">
        <v>10</v>
      </c>
      <c r="AW7" s="326"/>
      <c r="AX7" s="326"/>
      <c r="AY7" s="326"/>
      <c r="AZ7" s="326"/>
      <c r="BA7" s="326"/>
      <c r="BB7" s="326"/>
      <c r="BC7" s="326"/>
      <c r="BD7" s="328"/>
      <c r="BE7" s="328"/>
      <c r="BF7" s="328"/>
      <c r="BG7" s="328"/>
      <c r="BH7" s="328"/>
      <c r="BI7" s="328"/>
      <c r="BJ7" s="328"/>
      <c r="BK7" s="328"/>
      <c r="BL7" s="328"/>
      <c r="BM7" s="328"/>
      <c r="BN7" s="328"/>
      <c r="BO7" s="328"/>
      <c r="BP7" s="328"/>
      <c r="BQ7" s="329"/>
      <c r="BR7" s="329"/>
    </row>
    <row r="8" spans="1:70" ht="35.25" customHeight="1" thickBot="1" x14ac:dyDescent="0.3">
      <c r="A8" s="71">
        <v>50</v>
      </c>
      <c r="B8" s="13" t="s">
        <v>121</v>
      </c>
      <c r="C8" s="242">
        <v>4</v>
      </c>
      <c r="D8" s="243">
        <v>4</v>
      </c>
      <c r="E8" s="126">
        <v>8</v>
      </c>
      <c r="F8" s="127">
        <v>8</v>
      </c>
      <c r="G8" s="127">
        <v>8</v>
      </c>
      <c r="H8" s="126">
        <v>8</v>
      </c>
      <c r="I8" s="127">
        <v>0</v>
      </c>
      <c r="J8" s="127">
        <v>0</v>
      </c>
      <c r="K8" s="126">
        <v>0</v>
      </c>
      <c r="L8" s="127">
        <v>0</v>
      </c>
      <c r="M8" s="127" t="s">
        <v>65</v>
      </c>
      <c r="N8" s="127">
        <v>0</v>
      </c>
      <c r="O8" s="244">
        <f>SUM(R8,V8,Z8,AM8,AR8,AU8)</f>
        <v>4.9999999999999991</v>
      </c>
      <c r="P8" s="244">
        <f>SUM(S8,W8,AA8,AC8,AN8,AV8)</f>
        <v>4.1669999999999998</v>
      </c>
      <c r="Q8" s="244">
        <f>SUM(T8,X8,AB8,AD8,AO8)</f>
        <v>3.4000000000000004</v>
      </c>
      <c r="R8" s="129">
        <v>1.98</v>
      </c>
      <c r="S8" s="129">
        <v>1.44</v>
      </c>
      <c r="T8" s="129">
        <v>1.27</v>
      </c>
      <c r="U8" s="129">
        <v>0</v>
      </c>
      <c r="V8" s="130">
        <v>1.66</v>
      </c>
      <c r="W8" s="130">
        <v>1.22</v>
      </c>
      <c r="X8" s="130">
        <v>0.94</v>
      </c>
      <c r="Y8" s="130">
        <v>0</v>
      </c>
      <c r="Z8" s="131">
        <v>0.11</v>
      </c>
      <c r="AA8" s="131">
        <v>5.7000000000000002E-2</v>
      </c>
      <c r="AB8" s="131">
        <v>0.02</v>
      </c>
      <c r="AC8" s="132">
        <v>1.1100000000000001</v>
      </c>
      <c r="AD8" s="132">
        <v>0.89</v>
      </c>
      <c r="AE8" s="126">
        <v>0</v>
      </c>
      <c r="AF8" s="126">
        <v>0</v>
      </c>
      <c r="AG8" s="126">
        <v>1</v>
      </c>
      <c r="AH8" s="126">
        <v>1.6</v>
      </c>
      <c r="AI8" s="126">
        <v>0</v>
      </c>
      <c r="AJ8" s="126">
        <v>0</v>
      </c>
      <c r="AK8" s="126">
        <v>0</v>
      </c>
      <c r="AL8" s="126">
        <v>0</v>
      </c>
      <c r="AM8" s="133">
        <v>0.56000000000000005</v>
      </c>
      <c r="AN8" s="133">
        <v>0.33</v>
      </c>
      <c r="AO8" s="133">
        <v>0.28000000000000003</v>
      </c>
      <c r="AP8" s="133">
        <v>0</v>
      </c>
      <c r="AQ8" s="133">
        <v>0</v>
      </c>
      <c r="AR8" s="134">
        <v>0.67</v>
      </c>
      <c r="AS8" s="134">
        <v>1</v>
      </c>
      <c r="AT8" s="135"/>
      <c r="AU8" s="134">
        <v>0.02</v>
      </c>
      <c r="AV8" s="134">
        <v>0.01</v>
      </c>
      <c r="AW8" s="134" t="s">
        <v>65</v>
      </c>
      <c r="AX8" s="134">
        <v>0</v>
      </c>
      <c r="AY8" s="134" t="s">
        <v>65</v>
      </c>
      <c r="AZ8" s="134">
        <v>0</v>
      </c>
      <c r="BA8" s="134" t="s">
        <v>65</v>
      </c>
      <c r="BB8" s="134" t="s">
        <v>65</v>
      </c>
      <c r="BC8" s="134" t="s">
        <v>67</v>
      </c>
      <c r="BD8" s="137">
        <v>1</v>
      </c>
      <c r="BE8" s="137">
        <v>15617.8</v>
      </c>
      <c r="BF8" s="245">
        <v>1.6</v>
      </c>
      <c r="BG8" s="137" t="s">
        <v>72</v>
      </c>
      <c r="BH8" s="137">
        <v>800</v>
      </c>
      <c r="BI8" s="137">
        <v>0</v>
      </c>
      <c r="BJ8" s="137" t="s">
        <v>65</v>
      </c>
      <c r="BK8" s="137">
        <v>0</v>
      </c>
      <c r="BL8" s="137" t="s">
        <v>65</v>
      </c>
      <c r="BM8" s="138" t="s">
        <v>67</v>
      </c>
      <c r="BN8" s="138" t="s">
        <v>67</v>
      </c>
      <c r="BO8" s="139" t="s">
        <v>65</v>
      </c>
      <c r="BP8" s="139" t="s">
        <v>65</v>
      </c>
      <c r="BQ8" s="246">
        <v>0</v>
      </c>
      <c r="BR8" s="246">
        <v>0</v>
      </c>
    </row>
    <row r="10" spans="1:70" ht="15.75" thickBot="1" x14ac:dyDescent="0.3"/>
    <row r="11" spans="1:70" ht="30.75" customHeight="1" thickBot="1" x14ac:dyDescent="0.3">
      <c r="A11" s="71">
        <v>60</v>
      </c>
      <c r="B11" s="13" t="s">
        <v>161</v>
      </c>
      <c r="C11" s="242">
        <v>5</v>
      </c>
      <c r="D11" s="242">
        <v>5</v>
      </c>
      <c r="E11" s="126">
        <v>10</v>
      </c>
      <c r="F11" s="127">
        <v>10</v>
      </c>
      <c r="G11" s="127">
        <v>10</v>
      </c>
      <c r="H11" s="126">
        <v>10</v>
      </c>
      <c r="I11" s="127">
        <v>0</v>
      </c>
      <c r="J11" s="127">
        <v>0</v>
      </c>
      <c r="K11" s="126">
        <v>0</v>
      </c>
      <c r="L11" s="127">
        <v>0</v>
      </c>
      <c r="M11" s="127" t="s">
        <v>65</v>
      </c>
      <c r="N11" s="127">
        <v>0</v>
      </c>
      <c r="O11" s="244">
        <f>SUM(R11,V11,Z11,AM11,AR11,AU11)</f>
        <v>164.01</v>
      </c>
      <c r="P11" s="244">
        <f>SUM(S11,W11,AA11,AC11,AN11,AV11)</f>
        <v>149.01</v>
      </c>
      <c r="Q11" s="244">
        <f>SUM(T11,X11,AB11,AD11,AO11)</f>
        <v>123</v>
      </c>
      <c r="R11" s="129">
        <f>30*R6</f>
        <v>71.100000000000009</v>
      </c>
      <c r="S11" s="129">
        <f>30*S6</f>
        <v>51.3</v>
      </c>
      <c r="T11" s="129">
        <f>30*T6</f>
        <v>44.4</v>
      </c>
      <c r="U11" s="129">
        <f>30*0</f>
        <v>0</v>
      </c>
      <c r="V11" s="130">
        <f>30*V6</f>
        <v>64.5</v>
      </c>
      <c r="W11" s="130">
        <f>30*W6</f>
        <v>44.7</v>
      </c>
      <c r="X11" s="130">
        <f>30*X6</f>
        <v>38.1</v>
      </c>
      <c r="Y11" s="130">
        <f>30*0</f>
        <v>0</v>
      </c>
      <c r="Z11" s="131">
        <f>30*Z6</f>
        <v>5.1000000000000005</v>
      </c>
      <c r="AA11" s="131">
        <f>30*AA6</f>
        <v>2.82</v>
      </c>
      <c r="AB11" s="131">
        <f>30*AB6</f>
        <v>1.5</v>
      </c>
      <c r="AC11" s="132">
        <f>30*AC6</f>
        <v>39.900000000000006</v>
      </c>
      <c r="AD11" s="132">
        <f>30*AD6</f>
        <v>29.7</v>
      </c>
      <c r="AE11" s="126">
        <v>0</v>
      </c>
      <c r="AF11" s="126">
        <v>0</v>
      </c>
      <c r="AG11" s="126">
        <v>2</v>
      </c>
      <c r="AH11" s="126">
        <v>6</v>
      </c>
      <c r="AI11" s="126">
        <v>0</v>
      </c>
      <c r="AJ11" s="126">
        <v>0</v>
      </c>
      <c r="AK11" s="126">
        <v>0</v>
      </c>
      <c r="AL11" s="126">
        <v>0</v>
      </c>
      <c r="AM11" s="133">
        <f>30*AM6</f>
        <v>20.100000000000001</v>
      </c>
      <c r="AN11" s="133">
        <f>30*AN6</f>
        <v>9.9</v>
      </c>
      <c r="AO11" s="133">
        <f>30*AO6</f>
        <v>9.3000000000000007</v>
      </c>
      <c r="AP11" s="133">
        <f>30*0</f>
        <v>0</v>
      </c>
      <c r="AQ11" s="133">
        <f>30*0</f>
        <v>0</v>
      </c>
      <c r="AR11" s="134">
        <f>30*AR6</f>
        <v>2.67</v>
      </c>
      <c r="AS11" s="134">
        <v>3</v>
      </c>
      <c r="AT11" s="135"/>
      <c r="AU11" s="247">
        <f>30*AU6</f>
        <v>0.53999999999999992</v>
      </c>
      <c r="AV11" s="134">
        <f>30*AV6</f>
        <v>0.38999999999999996</v>
      </c>
      <c r="AW11" s="134" t="s">
        <v>65</v>
      </c>
      <c r="AX11" s="134">
        <v>0</v>
      </c>
      <c r="AY11" s="134" t="s">
        <v>65</v>
      </c>
      <c r="AZ11" s="134">
        <v>0</v>
      </c>
      <c r="BA11" s="134" t="s">
        <v>65</v>
      </c>
      <c r="BB11" s="134" t="s">
        <v>65</v>
      </c>
      <c r="BC11" s="134" t="s">
        <v>65</v>
      </c>
      <c r="BD11" s="137">
        <v>1</v>
      </c>
      <c r="BE11" s="137">
        <v>1350</v>
      </c>
      <c r="BF11" s="137">
        <v>1.5</v>
      </c>
      <c r="BG11" s="137" t="s">
        <v>72</v>
      </c>
      <c r="BH11" s="137">
        <v>1260</v>
      </c>
      <c r="BI11" s="137">
        <v>0</v>
      </c>
      <c r="BJ11" s="137" t="s">
        <v>65</v>
      </c>
      <c r="BK11" s="137">
        <v>0</v>
      </c>
      <c r="BL11" s="137" t="s">
        <v>65</v>
      </c>
      <c r="BM11" s="138" t="s">
        <v>67</v>
      </c>
      <c r="BN11" s="138" t="s">
        <v>67</v>
      </c>
      <c r="BO11" s="139" t="s">
        <v>67</v>
      </c>
      <c r="BP11" s="139" t="s">
        <v>67</v>
      </c>
      <c r="BQ11" s="246">
        <v>0</v>
      </c>
      <c r="BR11" s="246">
        <v>0</v>
      </c>
    </row>
    <row r="12" spans="1:70" ht="35.25" customHeight="1" thickBot="1" x14ac:dyDescent="0.3">
      <c r="A12" s="71">
        <v>50</v>
      </c>
      <c r="B12" s="13" t="s">
        <v>121</v>
      </c>
      <c r="C12" s="242">
        <v>4</v>
      </c>
      <c r="D12" s="243">
        <v>4</v>
      </c>
      <c r="E12" s="126">
        <v>8</v>
      </c>
      <c r="F12" s="127">
        <v>8</v>
      </c>
      <c r="G12" s="127">
        <v>8</v>
      </c>
      <c r="H12" s="126">
        <v>8</v>
      </c>
      <c r="I12" s="127">
        <v>0</v>
      </c>
      <c r="J12" s="127">
        <v>0</v>
      </c>
      <c r="K12" s="126">
        <v>0</v>
      </c>
      <c r="L12" s="127">
        <v>0</v>
      </c>
      <c r="M12" s="127" t="s">
        <v>65</v>
      </c>
      <c r="N12" s="127">
        <v>0</v>
      </c>
      <c r="O12" s="244">
        <f>SUM(R12,V12,Z12,AM12,AR12,AU12)</f>
        <v>149.99999999999997</v>
      </c>
      <c r="P12" s="244">
        <f>SUM(S12,W12,AA12,AC12,AN12,AV12)</f>
        <v>125.01</v>
      </c>
      <c r="Q12" s="244">
        <f>SUM(T12,X12,AB12,AD12,AO12)</f>
        <v>102</v>
      </c>
      <c r="R12" s="129">
        <f>30*R8</f>
        <v>59.4</v>
      </c>
      <c r="S12" s="129">
        <f>30*S8</f>
        <v>43.199999999999996</v>
      </c>
      <c r="T12" s="129">
        <f>30*T8</f>
        <v>38.1</v>
      </c>
      <c r="U12" s="129">
        <f>30*0</f>
        <v>0</v>
      </c>
      <c r="V12" s="130">
        <f>30*V8</f>
        <v>49.8</v>
      </c>
      <c r="W12" s="130">
        <f>30*W8</f>
        <v>36.6</v>
      </c>
      <c r="X12" s="130">
        <f>30*X8</f>
        <v>28.2</v>
      </c>
      <c r="Y12" s="130">
        <v>0</v>
      </c>
      <c r="Z12" s="131">
        <f>30*Z8</f>
        <v>3.3</v>
      </c>
      <c r="AA12" s="131">
        <f>30*AA8</f>
        <v>1.71</v>
      </c>
      <c r="AB12" s="131">
        <f>30*AB8</f>
        <v>0.6</v>
      </c>
      <c r="AC12" s="132">
        <f>30*AC8</f>
        <v>33.300000000000004</v>
      </c>
      <c r="AD12" s="132">
        <f>30*AD8</f>
        <v>26.7</v>
      </c>
      <c r="AE12" s="126">
        <v>0</v>
      </c>
      <c r="AF12" s="126">
        <v>0</v>
      </c>
      <c r="AG12" s="126">
        <v>1</v>
      </c>
      <c r="AH12" s="126">
        <v>1.6</v>
      </c>
      <c r="AI12" s="126">
        <v>0</v>
      </c>
      <c r="AJ12" s="126">
        <v>0</v>
      </c>
      <c r="AK12" s="126">
        <v>0</v>
      </c>
      <c r="AL12" s="126">
        <v>0</v>
      </c>
      <c r="AM12" s="133">
        <f>30*AM8</f>
        <v>16.8</v>
      </c>
      <c r="AN12" s="133">
        <f>30*AN8</f>
        <v>9.9</v>
      </c>
      <c r="AO12" s="133">
        <f>30*AO8</f>
        <v>8.4</v>
      </c>
      <c r="AP12" s="133">
        <v>0</v>
      </c>
      <c r="AQ12" s="133">
        <v>0</v>
      </c>
      <c r="AR12" s="134">
        <f>30*AR8</f>
        <v>20.100000000000001</v>
      </c>
      <c r="AS12" s="134">
        <v>1</v>
      </c>
      <c r="AT12" s="135"/>
      <c r="AU12" s="134">
        <f>30*AU8</f>
        <v>0.6</v>
      </c>
      <c r="AV12" s="134">
        <f>30*AV8</f>
        <v>0.3</v>
      </c>
      <c r="AW12" s="134" t="s">
        <v>65</v>
      </c>
      <c r="AX12" s="134">
        <v>0</v>
      </c>
      <c r="AY12" s="134" t="s">
        <v>65</v>
      </c>
      <c r="AZ12" s="134">
        <v>0</v>
      </c>
      <c r="BA12" s="134" t="s">
        <v>65</v>
      </c>
      <c r="BB12" s="134" t="s">
        <v>65</v>
      </c>
      <c r="BC12" s="134" t="s">
        <v>67</v>
      </c>
      <c r="BD12" s="137">
        <v>1</v>
      </c>
      <c r="BE12" s="137">
        <v>15617.8</v>
      </c>
      <c r="BF12" s="245">
        <v>1.6</v>
      </c>
      <c r="BG12" s="137" t="s">
        <v>72</v>
      </c>
      <c r="BH12" s="137">
        <v>800</v>
      </c>
      <c r="BI12" s="137">
        <v>0</v>
      </c>
      <c r="BJ12" s="137" t="s">
        <v>65</v>
      </c>
      <c r="BK12" s="137">
        <v>0</v>
      </c>
      <c r="BL12" s="137" t="s">
        <v>65</v>
      </c>
      <c r="BM12" s="138" t="s">
        <v>67</v>
      </c>
      <c r="BN12" s="138" t="s">
        <v>67</v>
      </c>
      <c r="BO12" s="139" t="s">
        <v>65</v>
      </c>
      <c r="BP12" s="139" t="s">
        <v>65</v>
      </c>
      <c r="BQ12" s="246">
        <v>0</v>
      </c>
      <c r="BR12" s="246">
        <v>0</v>
      </c>
    </row>
    <row r="13" spans="1:70" x14ac:dyDescent="0.25">
      <c r="O13">
        <v>150</v>
      </c>
      <c r="P13">
        <v>125</v>
      </c>
      <c r="Q13">
        <v>102</v>
      </c>
    </row>
    <row r="17" spans="14:35" x14ac:dyDescent="0.25">
      <c r="N17" s="249" t="s">
        <v>163</v>
      </c>
      <c r="O17" s="249">
        <v>164</v>
      </c>
      <c r="P17" s="250">
        <v>149</v>
      </c>
      <c r="Q17" s="251">
        <v>123</v>
      </c>
      <c r="T17" s="310"/>
    </row>
    <row r="18" spans="14:35" x14ac:dyDescent="0.25">
      <c r="N18" s="249" t="s">
        <v>162</v>
      </c>
      <c r="O18" s="249">
        <v>150</v>
      </c>
      <c r="P18" s="250">
        <v>125</v>
      </c>
      <c r="Q18" s="251">
        <v>102</v>
      </c>
      <c r="T18" s="310"/>
      <c r="W18" t="s">
        <v>165</v>
      </c>
      <c r="X18" t="s">
        <v>166</v>
      </c>
      <c r="AB18">
        <v>120.1</v>
      </c>
    </row>
    <row r="19" spans="14:35" x14ac:dyDescent="0.25">
      <c r="W19">
        <v>33.299999999999997</v>
      </c>
      <c r="X19">
        <v>30.7</v>
      </c>
      <c r="AB19">
        <v>125</v>
      </c>
      <c r="AI19" s="309"/>
    </row>
    <row r="20" spans="14:35" x14ac:dyDescent="0.25">
      <c r="W20">
        <v>43.2</v>
      </c>
      <c r="X20">
        <v>38.1</v>
      </c>
      <c r="AB20">
        <f>AB19-AB18</f>
        <v>4.9000000000000057</v>
      </c>
    </row>
    <row r="21" spans="14:35" x14ac:dyDescent="0.25">
      <c r="W21">
        <v>36.6</v>
      </c>
      <c r="X21">
        <v>28.2</v>
      </c>
    </row>
    <row r="22" spans="14:35" x14ac:dyDescent="0.25">
      <c r="W22">
        <v>7</v>
      </c>
      <c r="X22">
        <v>5</v>
      </c>
    </row>
    <row r="23" spans="14:35" x14ac:dyDescent="0.25">
      <c r="W23">
        <v>4.9000000000000004</v>
      </c>
    </row>
    <row r="24" spans="14:35" x14ac:dyDescent="0.25">
      <c r="W24">
        <f>SUM(W19,W20,W21,W22,W23)</f>
        <v>125</v>
      </c>
      <c r="X24">
        <f>SUM(X19,X20,X21,X22,X23)</f>
        <v>102</v>
      </c>
    </row>
  </sheetData>
  <mergeCells count="21">
    <mergeCell ref="BM1:BN1"/>
    <mergeCell ref="BO1:BP1"/>
    <mergeCell ref="BQ2:BR2"/>
    <mergeCell ref="AC1:AD1"/>
    <mergeCell ref="AE1:AL1"/>
    <mergeCell ref="AM1:AQ1"/>
    <mergeCell ref="AR1:AT1"/>
    <mergeCell ref="AU1:BC1"/>
    <mergeCell ref="BD1:BL1"/>
    <mergeCell ref="Z1:AB1"/>
    <mergeCell ref="A1:A3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4"/>
  <sheetViews>
    <sheetView topLeftCell="L10" workbookViewId="0">
      <selection activeCell="Q19" sqref="A1:XFD1048576"/>
    </sheetView>
  </sheetViews>
  <sheetFormatPr defaultRowHeight="15" x14ac:dyDescent="0.25"/>
  <cols>
    <col min="2" max="2" width="23.42578125" customWidth="1"/>
  </cols>
  <sheetData>
    <row r="1" spans="1:74" ht="75" customHeight="1" x14ac:dyDescent="0.25">
      <c r="A1" s="1265" t="s">
        <v>0</v>
      </c>
      <c r="B1" s="1266" t="s">
        <v>1</v>
      </c>
      <c r="C1" s="1207" t="s">
        <v>2</v>
      </c>
      <c r="D1" s="1207"/>
      <c r="E1" s="1207"/>
      <c r="F1" s="1207" t="s">
        <v>3</v>
      </c>
      <c r="G1" s="1207"/>
      <c r="H1" s="1207"/>
      <c r="I1" s="1207" t="s">
        <v>4</v>
      </c>
      <c r="J1" s="1207"/>
      <c r="K1" s="1207"/>
      <c r="L1" s="1207" t="s">
        <v>5</v>
      </c>
      <c r="M1" s="1207" t="s">
        <v>6</v>
      </c>
      <c r="N1" s="1207" t="s">
        <v>7</v>
      </c>
      <c r="O1" s="1213" t="s">
        <v>8</v>
      </c>
      <c r="P1" s="1213"/>
      <c r="Q1" s="1213"/>
      <c r="R1" s="1214" t="s">
        <v>9</v>
      </c>
      <c r="S1" s="1214"/>
      <c r="T1" s="1214"/>
      <c r="U1" s="1214"/>
      <c r="V1" s="1215" t="s">
        <v>10</v>
      </c>
      <c r="W1" s="1215"/>
      <c r="X1" s="1215"/>
      <c r="Y1" s="1215"/>
      <c r="Z1" s="1206" t="s">
        <v>11</v>
      </c>
      <c r="AA1" s="1206"/>
      <c r="AB1" s="1206"/>
      <c r="AC1" s="1210" t="s">
        <v>12</v>
      </c>
      <c r="AD1" s="1210"/>
      <c r="AE1" s="1277" t="s">
        <v>13</v>
      </c>
      <c r="AF1" s="1277"/>
      <c r="AG1" s="1277"/>
      <c r="AH1" s="1277"/>
      <c r="AI1" s="1277"/>
      <c r="AJ1" s="1277"/>
      <c r="AK1" s="1277"/>
      <c r="AL1" s="1277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212" t="s">
        <v>14</v>
      </c>
      <c r="BE1" s="1212"/>
      <c r="BF1" s="1212"/>
      <c r="BG1" s="1212"/>
      <c r="BH1" s="1212"/>
      <c r="BI1" s="1212"/>
      <c r="BJ1" s="1212"/>
      <c r="BK1" s="1212"/>
      <c r="BL1" s="1212"/>
      <c r="BM1" s="1212"/>
      <c r="BN1" s="1208" t="s">
        <v>15</v>
      </c>
      <c r="BO1" s="1208"/>
      <c r="BP1" s="1209" t="s">
        <v>16</v>
      </c>
      <c r="BQ1" s="1209"/>
      <c r="BR1" s="1305" t="s">
        <v>130</v>
      </c>
      <c r="BS1" s="1306"/>
      <c r="BT1" s="1323" t="s">
        <v>171</v>
      </c>
      <c r="BU1" s="1324"/>
    </row>
    <row r="2" spans="1:74" ht="225" x14ac:dyDescent="0.25">
      <c r="A2" s="1265"/>
      <c r="B2" s="1266"/>
      <c r="C2" s="1207"/>
      <c r="D2" s="1207"/>
      <c r="E2" s="1207"/>
      <c r="F2" s="1207"/>
      <c r="G2" s="1207"/>
      <c r="H2" s="1207"/>
      <c r="I2" s="1207"/>
      <c r="J2" s="1207"/>
      <c r="K2" s="1207"/>
      <c r="L2" s="1207"/>
      <c r="M2" s="1207"/>
      <c r="N2" s="1207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334" t="s">
        <v>23</v>
      </c>
      <c r="V2" s="42" t="s">
        <v>24</v>
      </c>
      <c r="W2" s="217" t="s">
        <v>25</v>
      </c>
      <c r="X2" s="218" t="s">
        <v>26</v>
      </c>
      <c r="Y2" s="335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332" t="s">
        <v>105</v>
      </c>
      <c r="AQ2" s="332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333" t="s">
        <v>14</v>
      </c>
      <c r="BE2" s="333" t="s">
        <v>167</v>
      </c>
      <c r="BF2" s="333" t="s">
        <v>39</v>
      </c>
      <c r="BG2" s="333" t="s">
        <v>40</v>
      </c>
      <c r="BH2" s="333" t="s">
        <v>41</v>
      </c>
      <c r="BI2" s="333" t="s">
        <v>42</v>
      </c>
      <c r="BJ2" s="333" t="s">
        <v>43</v>
      </c>
      <c r="BK2" s="333" t="s">
        <v>44</v>
      </c>
      <c r="BL2" s="333" t="s">
        <v>45</v>
      </c>
      <c r="BM2" s="333" t="s">
        <v>46</v>
      </c>
      <c r="BN2" s="331" t="s">
        <v>47</v>
      </c>
      <c r="BO2" s="331" t="s">
        <v>48</v>
      </c>
      <c r="BP2" s="332" t="s">
        <v>49</v>
      </c>
      <c r="BQ2" s="332" t="s">
        <v>50</v>
      </c>
      <c r="BR2" s="331" t="s">
        <v>131</v>
      </c>
      <c r="BS2" s="331" t="s">
        <v>132</v>
      </c>
      <c r="BT2" s="359" t="s">
        <v>172</v>
      </c>
      <c r="BU2" s="359" t="s">
        <v>173</v>
      </c>
    </row>
    <row r="3" spans="1:74" ht="75" x14ac:dyDescent="0.25">
      <c r="A3" s="1265"/>
      <c r="B3" s="1266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29" t="s">
        <v>62</v>
      </c>
      <c r="BM3" s="107" t="s">
        <v>127</v>
      </c>
      <c r="BN3" s="107" t="s">
        <v>120</v>
      </c>
      <c r="BO3" s="107" t="s">
        <v>120</v>
      </c>
      <c r="BP3" s="107" t="s">
        <v>120</v>
      </c>
      <c r="BQ3" s="107" t="s">
        <v>120</v>
      </c>
      <c r="BR3" s="107" t="s">
        <v>54</v>
      </c>
      <c r="BS3" s="107" t="s">
        <v>54</v>
      </c>
      <c r="BT3" s="360" t="s">
        <v>120</v>
      </c>
      <c r="BU3" s="360" t="s">
        <v>174</v>
      </c>
    </row>
    <row r="4" spans="1:74" ht="15.75" x14ac:dyDescent="0.25">
      <c r="A4" s="336">
        <v>1</v>
      </c>
      <c r="B4" s="337">
        <v>2</v>
      </c>
      <c r="C4" s="29">
        <v>3</v>
      </c>
      <c r="D4" s="336">
        <v>4</v>
      </c>
      <c r="E4" s="337">
        <v>5</v>
      </c>
      <c r="F4" s="29">
        <v>6</v>
      </c>
      <c r="G4" s="336">
        <v>7</v>
      </c>
      <c r="H4" s="337">
        <v>8</v>
      </c>
      <c r="I4" s="29">
        <v>9</v>
      </c>
      <c r="J4" s="336">
        <v>10</v>
      </c>
      <c r="K4" s="337">
        <v>11</v>
      </c>
      <c r="L4" s="29">
        <v>12</v>
      </c>
      <c r="M4" s="336">
        <v>13</v>
      </c>
      <c r="N4" s="337">
        <v>14</v>
      </c>
      <c r="O4" s="29">
        <v>15</v>
      </c>
      <c r="P4" s="336">
        <v>16</v>
      </c>
      <c r="Q4" s="337">
        <v>17</v>
      </c>
      <c r="R4" s="29">
        <v>18</v>
      </c>
      <c r="S4" s="336">
        <v>19</v>
      </c>
      <c r="T4" s="337">
        <v>20</v>
      </c>
      <c r="U4" s="29">
        <v>21</v>
      </c>
      <c r="V4" s="336">
        <v>22</v>
      </c>
      <c r="W4" s="337">
        <v>23</v>
      </c>
      <c r="X4" s="29">
        <v>24</v>
      </c>
      <c r="Y4" s="336">
        <v>25</v>
      </c>
      <c r="Z4" s="337">
        <v>26</v>
      </c>
      <c r="AA4" s="29">
        <v>27</v>
      </c>
      <c r="AB4" s="336">
        <v>28</v>
      </c>
      <c r="AC4" s="337">
        <v>29</v>
      </c>
      <c r="AD4" s="29">
        <v>30</v>
      </c>
      <c r="AE4" s="336">
        <v>31</v>
      </c>
      <c r="AF4" s="337">
        <v>32</v>
      </c>
      <c r="AG4" s="29">
        <v>33</v>
      </c>
      <c r="AH4" s="336">
        <v>34</v>
      </c>
      <c r="AI4" s="337">
        <v>35</v>
      </c>
      <c r="AJ4" s="29">
        <v>36</v>
      </c>
      <c r="AK4" s="336">
        <v>37</v>
      </c>
      <c r="AL4" s="337">
        <v>38</v>
      </c>
      <c r="AM4" s="29">
        <v>39</v>
      </c>
      <c r="AN4" s="336">
        <v>40</v>
      </c>
      <c r="AO4" s="337">
        <v>41</v>
      </c>
      <c r="AP4" s="29">
        <v>42</v>
      </c>
      <c r="AQ4" s="336">
        <v>43</v>
      </c>
      <c r="AR4" s="337">
        <v>44</v>
      </c>
      <c r="AS4" s="29">
        <v>45</v>
      </c>
      <c r="AT4" s="336">
        <v>46</v>
      </c>
      <c r="AU4" s="337">
        <v>47</v>
      </c>
      <c r="AV4" s="29">
        <v>48</v>
      </c>
      <c r="AW4" s="336">
        <v>49</v>
      </c>
      <c r="AX4" s="337">
        <v>50</v>
      </c>
      <c r="AY4" s="29">
        <v>51</v>
      </c>
      <c r="AZ4" s="336">
        <v>52</v>
      </c>
      <c r="BA4" s="337">
        <v>53</v>
      </c>
      <c r="BB4" s="29">
        <v>54</v>
      </c>
      <c r="BC4" s="336">
        <v>55</v>
      </c>
      <c r="BD4" s="337">
        <v>56</v>
      </c>
      <c r="BE4" s="29">
        <v>57</v>
      </c>
      <c r="BF4" s="336">
        <v>58</v>
      </c>
      <c r="BG4" s="337">
        <v>59</v>
      </c>
      <c r="BH4" s="29">
        <v>60</v>
      </c>
      <c r="BI4" s="336">
        <v>61</v>
      </c>
      <c r="BJ4" s="337">
        <v>62</v>
      </c>
      <c r="BK4" s="29">
        <v>63</v>
      </c>
      <c r="BL4" s="336">
        <v>64</v>
      </c>
      <c r="BM4" s="337">
        <v>65</v>
      </c>
      <c r="BN4" s="29">
        <v>66</v>
      </c>
      <c r="BO4" s="336">
        <v>67</v>
      </c>
      <c r="BP4" s="337">
        <v>68</v>
      </c>
      <c r="BQ4" s="29">
        <v>69</v>
      </c>
      <c r="BR4" s="336">
        <v>70</v>
      </c>
      <c r="BS4" s="337">
        <v>71</v>
      </c>
      <c r="BT4" s="29">
        <v>72</v>
      </c>
      <c r="BU4" s="336">
        <v>73</v>
      </c>
    </row>
    <row r="5" spans="1:74" ht="16.5" thickBot="1" x14ac:dyDescent="0.3">
      <c r="A5" s="338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5014</v>
      </c>
      <c r="P5" s="338">
        <v>4555</v>
      </c>
      <c r="Q5" s="338">
        <v>3654</v>
      </c>
      <c r="R5" s="338">
        <v>2100</v>
      </c>
      <c r="S5" s="338">
        <v>1500</v>
      </c>
      <c r="T5" s="338">
        <v>1200</v>
      </c>
      <c r="U5" s="338"/>
      <c r="V5" s="338">
        <v>1600</v>
      </c>
      <c r="W5" s="338">
        <v>1000</v>
      </c>
      <c r="X5" s="338">
        <v>680</v>
      </c>
      <c r="Y5" s="338"/>
      <c r="Z5" s="338">
        <v>117</v>
      </c>
      <c r="AA5" s="338">
        <v>60</v>
      </c>
      <c r="AB5" s="338">
        <v>24</v>
      </c>
      <c r="AC5" s="338">
        <v>1200</v>
      </c>
      <c r="AD5" s="338">
        <v>860</v>
      </c>
      <c r="AE5" s="339"/>
      <c r="AF5" s="338"/>
      <c r="AG5" s="339"/>
      <c r="AH5" s="338"/>
      <c r="AI5" s="339"/>
      <c r="AJ5" s="338"/>
      <c r="AK5" s="339"/>
      <c r="AL5" s="338"/>
      <c r="AM5" s="338">
        <v>600</v>
      </c>
      <c r="AN5" s="338">
        <v>300</v>
      </c>
      <c r="AO5" s="338">
        <v>281</v>
      </c>
      <c r="AP5" s="339"/>
      <c r="AQ5" s="338"/>
      <c r="AR5" s="338">
        <v>43</v>
      </c>
      <c r="AS5" s="339"/>
      <c r="AT5" s="338"/>
      <c r="AU5" s="338">
        <v>13</v>
      </c>
      <c r="AV5" s="338">
        <v>4</v>
      </c>
      <c r="AW5" s="338"/>
      <c r="AX5" s="338"/>
      <c r="AY5" s="338"/>
      <c r="AZ5" s="338"/>
      <c r="BA5" s="338"/>
      <c r="BB5" s="338"/>
      <c r="BC5" s="338"/>
      <c r="BD5" s="339"/>
      <c r="BE5" s="339"/>
      <c r="BF5" s="339"/>
      <c r="BG5" s="339"/>
      <c r="BH5" s="339"/>
      <c r="BI5" s="338"/>
      <c r="BJ5" s="339"/>
      <c r="BK5" s="338"/>
      <c r="BL5" s="339"/>
      <c r="BM5" s="338"/>
      <c r="BN5" s="338"/>
      <c r="BO5" s="338"/>
      <c r="BP5" s="338"/>
      <c r="BQ5" s="338"/>
      <c r="BR5" s="338"/>
      <c r="BS5" s="338"/>
      <c r="BT5" s="188"/>
      <c r="BU5" s="188"/>
    </row>
    <row r="6" spans="1:74" ht="30.75" customHeight="1" thickBot="1" x14ac:dyDescent="0.3">
      <c r="A6" s="50">
        <v>60</v>
      </c>
      <c r="B6" s="330" t="s">
        <v>161</v>
      </c>
      <c r="C6" s="341">
        <v>5</v>
      </c>
      <c r="D6" s="341">
        <v>5</v>
      </c>
      <c r="E6" s="342">
        <v>10</v>
      </c>
      <c r="F6" s="343">
        <v>10</v>
      </c>
      <c r="G6" s="343">
        <v>10</v>
      </c>
      <c r="H6" s="342">
        <v>10</v>
      </c>
      <c r="I6" s="343">
        <v>0</v>
      </c>
      <c r="J6" s="343">
        <v>0</v>
      </c>
      <c r="K6" s="342">
        <v>0</v>
      </c>
      <c r="L6" s="343">
        <v>0</v>
      </c>
      <c r="M6" s="343" t="s">
        <v>65</v>
      </c>
      <c r="N6" s="343">
        <v>0</v>
      </c>
      <c r="O6" s="344">
        <f>SUM(R6,V6,Z6,AM6,AR6,AU6)</f>
        <v>4.9333999999999998</v>
      </c>
      <c r="P6" s="344">
        <f>SUM(S6,W6,AA6,AC6,AN6,AV6)</f>
        <v>4.4999999999999991</v>
      </c>
      <c r="Q6" s="344">
        <f>SUM(T6,X6,AB6,AD6,AO6)</f>
        <v>3.6669999999999998</v>
      </c>
      <c r="R6" s="345">
        <v>2.3199999999999998</v>
      </c>
      <c r="S6" s="345">
        <v>1.65</v>
      </c>
      <c r="T6" s="345">
        <v>1.45</v>
      </c>
      <c r="U6" s="345">
        <v>0</v>
      </c>
      <c r="V6" s="346">
        <v>1.76</v>
      </c>
      <c r="W6" s="346">
        <v>1.1100000000000001</v>
      </c>
      <c r="X6" s="346">
        <v>0.85</v>
      </c>
      <c r="Y6" s="346">
        <v>0</v>
      </c>
      <c r="Z6" s="347">
        <v>0.13</v>
      </c>
      <c r="AA6" s="347">
        <v>6.6000000000000003E-2</v>
      </c>
      <c r="AB6" s="347">
        <v>3.6999999999999998E-2</v>
      </c>
      <c r="AC6" s="348">
        <v>1.33</v>
      </c>
      <c r="AD6" s="348">
        <v>0.98</v>
      </c>
      <c r="AE6" s="342">
        <v>0</v>
      </c>
      <c r="AF6" s="342">
        <v>0</v>
      </c>
      <c r="AG6" s="342">
        <v>2</v>
      </c>
      <c r="AH6" s="342">
        <v>6</v>
      </c>
      <c r="AI6" s="342">
        <v>0</v>
      </c>
      <c r="AJ6" s="342">
        <v>0</v>
      </c>
      <c r="AK6" s="342">
        <v>0</v>
      </c>
      <c r="AL6" s="342">
        <v>0</v>
      </c>
      <c r="AM6" s="349">
        <v>0.66</v>
      </c>
      <c r="AN6" s="349">
        <v>0.34</v>
      </c>
      <c r="AO6" s="349">
        <v>0.35</v>
      </c>
      <c r="AP6" s="349">
        <v>0</v>
      </c>
      <c r="AQ6" s="349">
        <v>0</v>
      </c>
      <c r="AR6" s="350">
        <v>4.8399999999999999E-2</v>
      </c>
      <c r="AS6" s="350">
        <v>3</v>
      </c>
      <c r="AT6" s="361"/>
      <c r="AU6" s="176">
        <v>1.4999999999999999E-2</v>
      </c>
      <c r="AV6" s="350">
        <v>4.0000000000000001E-3</v>
      </c>
      <c r="AW6" s="350" t="s">
        <v>65</v>
      </c>
      <c r="AX6" s="350">
        <v>0</v>
      </c>
      <c r="AY6" s="350" t="s">
        <v>65</v>
      </c>
      <c r="AZ6" s="350">
        <v>0</v>
      </c>
      <c r="BA6" s="350" t="s">
        <v>65</v>
      </c>
      <c r="BB6" s="350" t="s">
        <v>65</v>
      </c>
      <c r="BC6" s="350" t="s">
        <v>65</v>
      </c>
      <c r="BD6" s="362">
        <v>1</v>
      </c>
      <c r="BE6" s="372" t="s">
        <v>169</v>
      </c>
      <c r="BF6" s="362">
        <v>1350</v>
      </c>
      <c r="BG6" s="362">
        <v>1.5</v>
      </c>
      <c r="BH6" s="373" t="s">
        <v>66</v>
      </c>
      <c r="BI6" s="362">
        <v>1260</v>
      </c>
      <c r="BJ6" s="362">
        <v>0</v>
      </c>
      <c r="BK6" s="362" t="s">
        <v>65</v>
      </c>
      <c r="BL6" s="362">
        <v>0</v>
      </c>
      <c r="BM6" s="362" t="s">
        <v>65</v>
      </c>
      <c r="BN6" s="363" t="s">
        <v>67</v>
      </c>
      <c r="BO6" s="363" t="s">
        <v>67</v>
      </c>
      <c r="BP6" s="364" t="s">
        <v>67</v>
      </c>
      <c r="BQ6" s="364" t="s">
        <v>67</v>
      </c>
      <c r="BR6" s="66">
        <v>0</v>
      </c>
      <c r="BS6" s="66">
        <v>0</v>
      </c>
      <c r="BT6" s="369" t="s">
        <v>67</v>
      </c>
      <c r="BU6" s="369" t="s">
        <v>175</v>
      </c>
      <c r="BV6" s="357"/>
    </row>
    <row r="7" spans="1:74" s="340" customFormat="1" ht="17.25" customHeight="1" thickBot="1" x14ac:dyDescent="0.3">
      <c r="A7" s="180"/>
      <c r="B7" s="351"/>
      <c r="C7" s="352"/>
      <c r="D7" s="352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>
        <v>4027</v>
      </c>
      <c r="P7" s="353">
        <v>3821</v>
      </c>
      <c r="Q7" s="353">
        <v>3003</v>
      </c>
      <c r="R7" s="353">
        <v>1900</v>
      </c>
      <c r="S7" s="353">
        <v>1100</v>
      </c>
      <c r="T7" s="353">
        <v>800</v>
      </c>
      <c r="U7" s="353"/>
      <c r="V7" s="353">
        <v>1510</v>
      </c>
      <c r="W7" s="353">
        <v>950</v>
      </c>
      <c r="X7" s="353">
        <v>840</v>
      </c>
      <c r="Y7" s="353"/>
      <c r="Z7" s="353">
        <v>110</v>
      </c>
      <c r="AA7" s="353">
        <v>60</v>
      </c>
      <c r="AB7" s="353">
        <v>10</v>
      </c>
      <c r="AC7" s="353">
        <v>1010</v>
      </c>
      <c r="AD7" s="353">
        <v>790</v>
      </c>
      <c r="AE7" s="353"/>
      <c r="AF7" s="353"/>
      <c r="AG7" s="353"/>
      <c r="AH7" s="353"/>
      <c r="AI7" s="353"/>
      <c r="AJ7" s="353"/>
      <c r="AK7" s="353"/>
      <c r="AL7" s="353"/>
      <c r="AM7" s="353">
        <v>520</v>
      </c>
      <c r="AN7" s="353">
        <v>310</v>
      </c>
      <c r="AO7" s="353">
        <v>240</v>
      </c>
      <c r="AP7" s="353"/>
      <c r="AQ7" s="353"/>
      <c r="AR7" s="353">
        <v>60</v>
      </c>
      <c r="AS7" s="353"/>
      <c r="AT7" s="365"/>
      <c r="AU7" s="353">
        <v>30</v>
      </c>
      <c r="AV7" s="353">
        <v>20</v>
      </c>
      <c r="AW7" s="353"/>
      <c r="AX7" s="353"/>
      <c r="AY7" s="353"/>
      <c r="AZ7" s="353"/>
      <c r="BA7" s="353"/>
      <c r="BB7" s="353"/>
      <c r="BC7" s="353"/>
      <c r="BD7" s="366"/>
      <c r="BE7" s="366"/>
      <c r="BF7" s="366"/>
      <c r="BG7" s="366"/>
      <c r="BH7" s="366"/>
      <c r="BI7" s="366"/>
      <c r="BJ7" s="366"/>
      <c r="BK7" s="366"/>
      <c r="BL7" s="366"/>
      <c r="BM7" s="366"/>
      <c r="BN7" s="366"/>
      <c r="BO7" s="366"/>
      <c r="BP7" s="366"/>
      <c r="BQ7" s="366"/>
      <c r="BR7" s="367"/>
      <c r="BS7" s="367"/>
      <c r="BT7" s="188"/>
      <c r="BU7" s="188"/>
    </row>
    <row r="8" spans="1:74" ht="35.25" customHeight="1" thickBot="1" x14ac:dyDescent="0.3">
      <c r="A8" s="50">
        <v>50</v>
      </c>
      <c r="B8" s="330" t="s">
        <v>121</v>
      </c>
      <c r="C8" s="341">
        <v>4</v>
      </c>
      <c r="D8" s="354">
        <v>4</v>
      </c>
      <c r="E8" s="342">
        <v>8</v>
      </c>
      <c r="F8" s="343">
        <v>4</v>
      </c>
      <c r="G8" s="343">
        <v>4</v>
      </c>
      <c r="H8" s="342">
        <v>8</v>
      </c>
      <c r="I8" s="343">
        <v>0</v>
      </c>
      <c r="J8" s="343">
        <v>0</v>
      </c>
      <c r="K8" s="342">
        <v>0</v>
      </c>
      <c r="L8" s="343">
        <v>0</v>
      </c>
      <c r="M8" s="343" t="s">
        <v>65</v>
      </c>
      <c r="N8" s="343">
        <v>0</v>
      </c>
      <c r="O8" s="344">
        <f>SUM(R8,V8,Z8,AM8,AR8,AU8)</f>
        <v>4.5000000000000009</v>
      </c>
      <c r="P8" s="344">
        <f>SUM(S8,W8,AA8,AC8,AN8,AV8)</f>
        <v>3.7670000000000003</v>
      </c>
      <c r="Q8" s="344">
        <f>SUM(T8,X8,AB8,AD8,AO8)</f>
        <v>3.0670000000000002</v>
      </c>
      <c r="R8" s="345">
        <v>2.04</v>
      </c>
      <c r="S8" s="345">
        <v>1.21</v>
      </c>
      <c r="T8" s="345">
        <v>0.88</v>
      </c>
      <c r="U8" s="345">
        <v>0</v>
      </c>
      <c r="V8" s="346">
        <v>1.67</v>
      </c>
      <c r="W8" s="346">
        <v>1.04</v>
      </c>
      <c r="X8" s="346">
        <v>0.99</v>
      </c>
      <c r="Y8" s="346">
        <v>0</v>
      </c>
      <c r="Z8" s="347">
        <v>0.12</v>
      </c>
      <c r="AA8" s="347">
        <v>0.05</v>
      </c>
      <c r="AB8" s="347">
        <v>3.6999999999999998E-2</v>
      </c>
      <c r="AC8" s="348">
        <v>1.1100000000000001</v>
      </c>
      <c r="AD8" s="348">
        <v>0.88</v>
      </c>
      <c r="AE8" s="342">
        <v>0</v>
      </c>
      <c r="AF8" s="342">
        <v>0</v>
      </c>
      <c r="AG8" s="342">
        <v>1</v>
      </c>
      <c r="AH8" s="342">
        <v>1.6</v>
      </c>
      <c r="AI8" s="342">
        <v>0</v>
      </c>
      <c r="AJ8" s="342">
        <v>0</v>
      </c>
      <c r="AK8" s="342">
        <v>0</v>
      </c>
      <c r="AL8" s="342">
        <v>0</v>
      </c>
      <c r="AM8" s="349">
        <v>0.56999999999999995</v>
      </c>
      <c r="AN8" s="349">
        <v>0.33</v>
      </c>
      <c r="AO8" s="349">
        <v>0.28000000000000003</v>
      </c>
      <c r="AP8" s="349">
        <v>0</v>
      </c>
      <c r="AQ8" s="349">
        <v>0</v>
      </c>
      <c r="AR8" s="350">
        <v>6.7000000000000004E-2</v>
      </c>
      <c r="AS8" s="350">
        <v>1</v>
      </c>
      <c r="AT8" s="361"/>
      <c r="AU8" s="350">
        <v>3.3000000000000002E-2</v>
      </c>
      <c r="AV8" s="350">
        <v>2.7E-2</v>
      </c>
      <c r="AW8" s="350" t="s">
        <v>65</v>
      </c>
      <c r="AX8" s="350">
        <v>0</v>
      </c>
      <c r="AY8" s="350" t="s">
        <v>65</v>
      </c>
      <c r="AZ8" s="350">
        <v>0</v>
      </c>
      <c r="BA8" s="350" t="s">
        <v>65</v>
      </c>
      <c r="BB8" s="350" t="s">
        <v>65</v>
      </c>
      <c r="BC8" s="350" t="s">
        <v>67</v>
      </c>
      <c r="BD8" s="362">
        <v>1</v>
      </c>
      <c r="BE8" s="372" t="s">
        <v>170</v>
      </c>
      <c r="BF8" s="362">
        <v>15617.8</v>
      </c>
      <c r="BG8" s="368">
        <v>1.6</v>
      </c>
      <c r="BH8" s="362" t="s">
        <v>72</v>
      </c>
      <c r="BI8" s="362">
        <v>800</v>
      </c>
      <c r="BJ8" s="362">
        <v>0</v>
      </c>
      <c r="BK8" s="362" t="s">
        <v>65</v>
      </c>
      <c r="BL8" s="362">
        <v>0</v>
      </c>
      <c r="BM8" s="362" t="s">
        <v>65</v>
      </c>
      <c r="BN8" s="363" t="s">
        <v>67</v>
      </c>
      <c r="BO8" s="363" t="s">
        <v>67</v>
      </c>
      <c r="BP8" s="364" t="s">
        <v>65</v>
      </c>
      <c r="BQ8" s="364" t="s">
        <v>65</v>
      </c>
      <c r="BR8" s="66">
        <v>0</v>
      </c>
      <c r="BS8" s="66">
        <v>0</v>
      </c>
      <c r="BT8" s="370" t="s">
        <v>122</v>
      </c>
      <c r="BU8" s="371">
        <v>0</v>
      </c>
    </row>
    <row r="9" spans="1:74" ht="87" customHeight="1" x14ac:dyDescent="0.25">
      <c r="O9" s="114">
        <v>148</v>
      </c>
      <c r="P9" s="114">
        <v>135</v>
      </c>
      <c r="Q9" s="114">
        <v>110</v>
      </c>
    </row>
    <row r="10" spans="1:74" ht="16.5" thickBot="1" x14ac:dyDescent="0.3">
      <c r="A10" s="356"/>
      <c r="B10" s="189"/>
      <c r="C10" s="339"/>
      <c r="D10" s="339"/>
      <c r="E10" s="339"/>
      <c r="F10" s="339"/>
      <c r="G10" s="339"/>
      <c r="H10" s="339"/>
      <c r="I10" s="339"/>
      <c r="J10" s="339"/>
      <c r="K10" s="339"/>
      <c r="L10" s="339"/>
      <c r="M10" s="339"/>
      <c r="N10" s="339"/>
      <c r="O10" s="339">
        <v>5014</v>
      </c>
      <c r="P10" s="356">
        <v>4555</v>
      </c>
      <c r="Q10" s="356">
        <v>3654</v>
      </c>
      <c r="R10" s="356">
        <v>2160</v>
      </c>
      <c r="S10" s="356">
        <v>1560</v>
      </c>
      <c r="T10" s="356">
        <v>1330</v>
      </c>
      <c r="U10" s="356"/>
      <c r="V10" s="356">
        <v>1960</v>
      </c>
      <c r="W10" s="356">
        <v>1360</v>
      </c>
      <c r="X10" s="356">
        <v>1140</v>
      </c>
      <c r="Y10" s="356"/>
      <c r="Z10" s="356">
        <v>165</v>
      </c>
      <c r="AA10" s="356">
        <v>95</v>
      </c>
      <c r="AB10" s="356">
        <v>35</v>
      </c>
      <c r="AC10" s="356">
        <v>1216</v>
      </c>
      <c r="AD10" s="356">
        <v>880</v>
      </c>
      <c r="AE10" s="339"/>
      <c r="AF10" s="356"/>
      <c r="AG10" s="339"/>
      <c r="AH10" s="356"/>
      <c r="AI10" s="339"/>
      <c r="AJ10" s="356"/>
      <c r="AK10" s="339"/>
      <c r="AL10" s="356"/>
      <c r="AM10" s="356">
        <v>620</v>
      </c>
      <c r="AN10" s="356">
        <v>310</v>
      </c>
      <c r="AO10" s="356">
        <v>270</v>
      </c>
      <c r="AP10" s="339"/>
      <c r="AQ10" s="356"/>
      <c r="AR10" s="356">
        <v>90</v>
      </c>
      <c r="AS10" s="339"/>
      <c r="AT10" s="356"/>
      <c r="AU10" s="356">
        <v>26</v>
      </c>
      <c r="AV10" s="356">
        <v>20</v>
      </c>
      <c r="AW10" s="356"/>
      <c r="AX10" s="356"/>
      <c r="AY10" s="356"/>
      <c r="AZ10" s="356"/>
      <c r="BA10" s="356"/>
      <c r="BB10" s="356"/>
      <c r="BC10" s="356"/>
      <c r="BD10" s="339"/>
      <c r="BE10" s="339"/>
      <c r="BF10" s="339"/>
      <c r="BG10" s="339"/>
      <c r="BH10" s="339"/>
      <c r="BI10" s="356"/>
      <c r="BJ10" s="339"/>
      <c r="BK10" s="356"/>
      <c r="BL10" s="339"/>
      <c r="BM10" s="356"/>
      <c r="BN10" s="356"/>
      <c r="BO10" s="356"/>
      <c r="BP10" s="356"/>
      <c r="BQ10" s="356"/>
      <c r="BR10" s="356"/>
      <c r="BS10" s="356"/>
      <c r="BT10" s="188"/>
      <c r="BU10" s="188"/>
    </row>
    <row r="11" spans="1:74" ht="30.75" customHeight="1" thickBot="1" x14ac:dyDescent="0.3">
      <c r="A11" s="50">
        <v>60</v>
      </c>
      <c r="B11" s="355" t="s">
        <v>161</v>
      </c>
      <c r="C11" s="341">
        <v>5</v>
      </c>
      <c r="D11" s="341">
        <v>5</v>
      </c>
      <c r="E11" s="342">
        <v>10</v>
      </c>
      <c r="F11" s="343">
        <v>10</v>
      </c>
      <c r="G11" s="343">
        <v>10</v>
      </c>
      <c r="H11" s="342">
        <v>10</v>
      </c>
      <c r="I11" s="343">
        <v>0</v>
      </c>
      <c r="J11" s="343">
        <v>0</v>
      </c>
      <c r="K11" s="342">
        <v>0</v>
      </c>
      <c r="L11" s="343">
        <v>0</v>
      </c>
      <c r="M11" s="343" t="s">
        <v>65</v>
      </c>
      <c r="N11" s="343">
        <v>0</v>
      </c>
      <c r="O11" s="344">
        <f>SUM(R11,V11,Z11,AM11,AR11,AU11)</f>
        <v>148.00199999999998</v>
      </c>
      <c r="P11" s="344">
        <f>SUM(S11,W11,AA11,AC11,AN11,AV11)</f>
        <v>135.00000000000003</v>
      </c>
      <c r="Q11" s="344">
        <f>SUM(T11,X11,AB11,AD11,AO11)</f>
        <v>110.00999999999999</v>
      </c>
      <c r="R11" s="345">
        <f>30*R6</f>
        <v>69.599999999999994</v>
      </c>
      <c r="S11" s="345">
        <f>30*S6</f>
        <v>49.5</v>
      </c>
      <c r="T11" s="345">
        <f>30*T6</f>
        <v>43.5</v>
      </c>
      <c r="U11" s="345">
        <v>0</v>
      </c>
      <c r="V11" s="346">
        <f>30*V6</f>
        <v>52.8</v>
      </c>
      <c r="W11" s="346">
        <f>30*W6</f>
        <v>33.300000000000004</v>
      </c>
      <c r="X11" s="346">
        <f>30*X6</f>
        <v>25.5</v>
      </c>
      <c r="Y11" s="346">
        <v>0</v>
      </c>
      <c r="Z11" s="347">
        <f>30*Z6</f>
        <v>3.9000000000000004</v>
      </c>
      <c r="AA11" s="347">
        <f>30*AA6</f>
        <v>1.98</v>
      </c>
      <c r="AB11" s="347">
        <f>30*AB6</f>
        <v>1.1099999999999999</v>
      </c>
      <c r="AC11" s="348">
        <f>30*AC6</f>
        <v>39.900000000000006</v>
      </c>
      <c r="AD11" s="348">
        <f>30*AD6</f>
        <v>29.4</v>
      </c>
      <c r="AE11" s="342">
        <v>0</v>
      </c>
      <c r="AF11" s="342">
        <v>0</v>
      </c>
      <c r="AG11" s="342">
        <v>2</v>
      </c>
      <c r="AH11" s="342">
        <v>6</v>
      </c>
      <c r="AI11" s="342">
        <v>0</v>
      </c>
      <c r="AJ11" s="342">
        <v>0</v>
      </c>
      <c r="AK11" s="342">
        <v>0</v>
      </c>
      <c r="AL11" s="342">
        <v>0</v>
      </c>
      <c r="AM11" s="349">
        <f>30*AM6</f>
        <v>19.8</v>
      </c>
      <c r="AN11" s="349">
        <f>30*AN6</f>
        <v>10.200000000000001</v>
      </c>
      <c r="AO11" s="349">
        <f>30*AO6</f>
        <v>10.5</v>
      </c>
      <c r="AP11" s="349">
        <v>0</v>
      </c>
      <c r="AQ11" s="349">
        <v>0</v>
      </c>
      <c r="AR11" s="350">
        <f>30*AR6</f>
        <v>1.452</v>
      </c>
      <c r="AS11" s="350">
        <v>3</v>
      </c>
      <c r="AT11" s="361"/>
      <c r="AU11" s="176">
        <f>30*AU6</f>
        <v>0.44999999999999996</v>
      </c>
      <c r="AV11" s="350">
        <f>30*AV6</f>
        <v>0.12</v>
      </c>
      <c r="AW11" s="350" t="s">
        <v>65</v>
      </c>
      <c r="AX11" s="350">
        <v>0</v>
      </c>
      <c r="AY11" s="350" t="s">
        <v>65</v>
      </c>
      <c r="AZ11" s="350">
        <v>0</v>
      </c>
      <c r="BA11" s="350" t="s">
        <v>65</v>
      </c>
      <c r="BB11" s="350" t="s">
        <v>65</v>
      </c>
      <c r="BC11" s="350" t="s">
        <v>65</v>
      </c>
      <c r="BD11" s="362">
        <v>1</v>
      </c>
      <c r="BE11" s="372" t="s">
        <v>169</v>
      </c>
      <c r="BF11" s="362">
        <v>1350</v>
      </c>
      <c r="BG11" s="362">
        <v>1.5</v>
      </c>
      <c r="BH11" s="373" t="s">
        <v>66</v>
      </c>
      <c r="BI11" s="362">
        <v>1260</v>
      </c>
      <c r="BJ11" s="362">
        <v>0</v>
      </c>
      <c r="BK11" s="362" t="s">
        <v>65</v>
      </c>
      <c r="BL11" s="362">
        <v>0</v>
      </c>
      <c r="BM11" s="362" t="s">
        <v>65</v>
      </c>
      <c r="BN11" s="363" t="s">
        <v>67</v>
      </c>
      <c r="BO11" s="363" t="s">
        <v>67</v>
      </c>
      <c r="BP11" s="364" t="s">
        <v>67</v>
      </c>
      <c r="BQ11" s="364" t="s">
        <v>67</v>
      </c>
      <c r="BR11" s="66">
        <v>0</v>
      </c>
      <c r="BS11" s="66">
        <v>0</v>
      </c>
      <c r="BT11" s="369" t="s">
        <v>67</v>
      </c>
      <c r="BU11" s="369" t="s">
        <v>175</v>
      </c>
      <c r="BV11" s="357"/>
    </row>
    <row r="12" spans="1:74" s="340" customFormat="1" ht="17.25" customHeight="1" thickBot="1" x14ac:dyDescent="0.3">
      <c r="A12" s="180"/>
      <c r="B12" s="351"/>
      <c r="C12" s="352"/>
      <c r="D12" s="352"/>
      <c r="E12" s="353"/>
      <c r="F12" s="353"/>
      <c r="G12" s="353"/>
      <c r="H12" s="353"/>
      <c r="I12" s="353"/>
      <c r="J12" s="353"/>
      <c r="K12" s="353"/>
      <c r="L12" s="353"/>
      <c r="M12" s="353"/>
      <c r="N12" s="353"/>
      <c r="O12" s="353">
        <v>4027</v>
      </c>
      <c r="P12" s="353">
        <v>3821</v>
      </c>
      <c r="Q12" s="353">
        <v>3003</v>
      </c>
      <c r="R12" s="353">
        <v>1810</v>
      </c>
      <c r="S12" s="353">
        <v>1316</v>
      </c>
      <c r="T12" s="353">
        <v>1140</v>
      </c>
      <c r="U12" s="353"/>
      <c r="V12" s="353">
        <v>1510</v>
      </c>
      <c r="W12" s="353">
        <v>1110</v>
      </c>
      <c r="X12" s="353">
        <v>840</v>
      </c>
      <c r="Y12" s="353"/>
      <c r="Z12" s="353">
        <v>110</v>
      </c>
      <c r="AA12" s="353">
        <v>60</v>
      </c>
      <c r="AB12" s="353">
        <v>10</v>
      </c>
      <c r="AC12" s="353">
        <v>1010</v>
      </c>
      <c r="AD12" s="353">
        <v>790</v>
      </c>
      <c r="AE12" s="353"/>
      <c r="AF12" s="353"/>
      <c r="AG12" s="353"/>
      <c r="AH12" s="353"/>
      <c r="AI12" s="353"/>
      <c r="AJ12" s="353"/>
      <c r="AK12" s="353"/>
      <c r="AL12" s="353"/>
      <c r="AM12" s="353">
        <v>520</v>
      </c>
      <c r="AN12" s="353">
        <v>310</v>
      </c>
      <c r="AO12" s="353">
        <v>240</v>
      </c>
      <c r="AP12" s="353"/>
      <c r="AQ12" s="353"/>
      <c r="AR12" s="353">
        <v>60</v>
      </c>
      <c r="AS12" s="353"/>
      <c r="AT12" s="365"/>
      <c r="AU12" s="353">
        <v>30</v>
      </c>
      <c r="AV12" s="353">
        <v>20</v>
      </c>
      <c r="AW12" s="353"/>
      <c r="AX12" s="353"/>
      <c r="AY12" s="353"/>
      <c r="AZ12" s="353"/>
      <c r="BA12" s="353"/>
      <c r="BB12" s="353"/>
      <c r="BC12" s="353"/>
      <c r="BD12" s="366"/>
      <c r="BE12" s="366"/>
      <c r="BF12" s="366"/>
      <c r="BG12" s="366"/>
      <c r="BH12" s="366"/>
      <c r="BI12" s="366"/>
      <c r="BJ12" s="366"/>
      <c r="BK12" s="366"/>
      <c r="BL12" s="366"/>
      <c r="BM12" s="366"/>
      <c r="BN12" s="366"/>
      <c r="BO12" s="366"/>
      <c r="BP12" s="366"/>
      <c r="BQ12" s="366"/>
      <c r="BR12" s="367"/>
      <c r="BS12" s="367"/>
      <c r="BT12" s="188"/>
      <c r="BU12" s="188"/>
    </row>
    <row r="13" spans="1:74" ht="35.25" customHeight="1" thickBot="1" x14ac:dyDescent="0.3">
      <c r="A13" s="50">
        <v>50</v>
      </c>
      <c r="B13" s="355" t="s">
        <v>121</v>
      </c>
      <c r="C13" s="341">
        <v>4</v>
      </c>
      <c r="D13" s="354">
        <v>4</v>
      </c>
      <c r="E13" s="342">
        <v>8</v>
      </c>
      <c r="F13" s="343">
        <v>4</v>
      </c>
      <c r="G13" s="343">
        <v>4</v>
      </c>
      <c r="H13" s="342">
        <v>8</v>
      </c>
      <c r="I13" s="343">
        <v>0</v>
      </c>
      <c r="J13" s="343">
        <v>0</v>
      </c>
      <c r="K13" s="342">
        <v>0</v>
      </c>
      <c r="L13" s="343">
        <v>0</v>
      </c>
      <c r="M13" s="343" t="s">
        <v>65</v>
      </c>
      <c r="N13" s="343">
        <v>0</v>
      </c>
      <c r="O13" s="344">
        <f>SUM(R13,V13,Z13,AM13,AR13,AU13)</f>
        <v>135</v>
      </c>
      <c r="P13" s="344">
        <f>SUM(S13,W13,AA13,AC13,AN13,AV13)</f>
        <v>113.01000000000002</v>
      </c>
      <c r="Q13" s="344">
        <f>SUM(T13,X13,AB13,AD13,AO13)</f>
        <v>92.009999999999991</v>
      </c>
      <c r="R13" s="345">
        <f>30*R8</f>
        <v>61.2</v>
      </c>
      <c r="S13" s="345">
        <f>30*S8</f>
        <v>36.299999999999997</v>
      </c>
      <c r="T13" s="345">
        <f>30*T8</f>
        <v>26.4</v>
      </c>
      <c r="U13" s="345">
        <v>0</v>
      </c>
      <c r="V13" s="346">
        <f>30*V8</f>
        <v>50.099999999999994</v>
      </c>
      <c r="W13" s="346">
        <f>30*W8</f>
        <v>31.200000000000003</v>
      </c>
      <c r="X13" s="346">
        <f>30*X8</f>
        <v>29.7</v>
      </c>
      <c r="Y13" s="346">
        <v>0</v>
      </c>
      <c r="Z13" s="347">
        <f>30*Z8</f>
        <v>3.5999999999999996</v>
      </c>
      <c r="AA13" s="347">
        <f>30*AA8</f>
        <v>1.5</v>
      </c>
      <c r="AB13" s="347">
        <f>30*AB8</f>
        <v>1.1099999999999999</v>
      </c>
      <c r="AC13" s="348">
        <f>30*AC8</f>
        <v>33.300000000000004</v>
      </c>
      <c r="AD13" s="348">
        <f>30*AD8</f>
        <v>26.4</v>
      </c>
      <c r="AE13" s="342">
        <v>0</v>
      </c>
      <c r="AF13" s="342">
        <v>0</v>
      </c>
      <c r="AG13" s="342">
        <v>1</v>
      </c>
      <c r="AH13" s="342">
        <v>1.6</v>
      </c>
      <c r="AI13" s="342">
        <v>0</v>
      </c>
      <c r="AJ13" s="342">
        <v>0</v>
      </c>
      <c r="AK13" s="342">
        <v>0</v>
      </c>
      <c r="AL13" s="342">
        <v>0</v>
      </c>
      <c r="AM13" s="349">
        <f>30*AM8</f>
        <v>17.099999999999998</v>
      </c>
      <c r="AN13" s="349">
        <f>30*AN8</f>
        <v>9.9</v>
      </c>
      <c r="AO13" s="349">
        <f>30*AO8</f>
        <v>8.4</v>
      </c>
      <c r="AP13" s="349">
        <v>0</v>
      </c>
      <c r="AQ13" s="349">
        <v>0</v>
      </c>
      <c r="AR13" s="350">
        <f>30*AR8</f>
        <v>2.0100000000000002</v>
      </c>
      <c r="AS13" s="350">
        <v>1</v>
      </c>
      <c r="AT13" s="361"/>
      <c r="AU13" s="350">
        <f>30*AU8</f>
        <v>0.99</v>
      </c>
      <c r="AV13" s="350">
        <f>30*AV8</f>
        <v>0.80999999999999994</v>
      </c>
      <c r="AW13" s="350" t="s">
        <v>65</v>
      </c>
      <c r="AX13" s="350">
        <v>0</v>
      </c>
      <c r="AY13" s="350" t="s">
        <v>65</v>
      </c>
      <c r="AZ13" s="350">
        <v>0</v>
      </c>
      <c r="BA13" s="350" t="s">
        <v>65</v>
      </c>
      <c r="BB13" s="350" t="s">
        <v>65</v>
      </c>
      <c r="BC13" s="350" t="s">
        <v>67</v>
      </c>
      <c r="BD13" s="362">
        <v>1</v>
      </c>
      <c r="BE13" s="372" t="s">
        <v>170</v>
      </c>
      <c r="BF13" s="362">
        <v>15617.8</v>
      </c>
      <c r="BG13" s="368">
        <v>1.6</v>
      </c>
      <c r="BH13" s="362" t="s">
        <v>72</v>
      </c>
      <c r="BI13" s="362">
        <v>800</v>
      </c>
      <c r="BJ13" s="362">
        <v>0</v>
      </c>
      <c r="BK13" s="362" t="s">
        <v>65</v>
      </c>
      <c r="BL13" s="362">
        <v>0</v>
      </c>
      <c r="BM13" s="362" t="s">
        <v>65</v>
      </c>
      <c r="BN13" s="363" t="s">
        <v>67</v>
      </c>
      <c r="BO13" s="363" t="s">
        <v>67</v>
      </c>
      <c r="BP13" s="364" t="s">
        <v>65</v>
      </c>
      <c r="BQ13" s="364" t="s">
        <v>65</v>
      </c>
      <c r="BR13" s="66">
        <v>0</v>
      </c>
      <c r="BS13" s="66">
        <v>0</v>
      </c>
      <c r="BT13" s="370" t="s">
        <v>122</v>
      </c>
      <c r="BU13" s="371">
        <v>0</v>
      </c>
    </row>
    <row r="14" spans="1:74" ht="27.75" customHeight="1" x14ac:dyDescent="0.25">
      <c r="O14" s="114">
        <v>135</v>
      </c>
      <c r="P14" s="114">
        <v>113</v>
      </c>
      <c r="Q14" s="114">
        <v>92</v>
      </c>
    </row>
    <row r="15" spans="1:74" ht="29.25" customHeight="1" x14ac:dyDescent="0.25"/>
    <row r="16" spans="1:74" x14ac:dyDescent="0.25">
      <c r="S16" s="1177" t="s">
        <v>64</v>
      </c>
      <c r="T16" s="1177"/>
      <c r="U16" s="114">
        <v>148</v>
      </c>
      <c r="V16" s="114">
        <v>135</v>
      </c>
      <c r="W16" s="114">
        <v>110</v>
      </c>
    </row>
    <row r="17" spans="1:74" x14ac:dyDescent="0.25">
      <c r="S17" s="1177" t="s">
        <v>121</v>
      </c>
      <c r="T17" s="1177"/>
      <c r="U17" s="114">
        <v>135</v>
      </c>
      <c r="V17" s="114">
        <v>113</v>
      </c>
      <c r="W17" s="114">
        <v>92</v>
      </c>
    </row>
    <row r="21" spans="1:74" ht="15.75" thickBot="1" x14ac:dyDescent="0.3"/>
    <row r="22" spans="1:74" ht="30.75" customHeight="1" thickBot="1" x14ac:dyDescent="0.3">
      <c r="A22" s="50">
        <v>60</v>
      </c>
      <c r="B22" s="355" t="s">
        <v>161</v>
      </c>
      <c r="C22" s="341">
        <v>5</v>
      </c>
      <c r="D22" s="341">
        <v>5</v>
      </c>
      <c r="E22" s="342">
        <v>10</v>
      </c>
      <c r="F22" s="343">
        <v>10</v>
      </c>
      <c r="G22" s="343">
        <v>10</v>
      </c>
      <c r="H22" s="342">
        <v>10</v>
      </c>
      <c r="I22" s="343">
        <v>0</v>
      </c>
      <c r="J22" s="343">
        <v>0</v>
      </c>
      <c r="K22" s="342">
        <v>0</v>
      </c>
      <c r="L22" s="343">
        <v>0</v>
      </c>
      <c r="M22" s="343" t="s">
        <v>65</v>
      </c>
      <c r="N22" s="343">
        <v>0</v>
      </c>
      <c r="O22" s="344">
        <f>SUM(R22,V22,Z22,AM22,AR22,AU22)</f>
        <v>5.5269999999999992</v>
      </c>
      <c r="P22" s="344">
        <f>SUM(S22,W22,AA22,AC22,AN22,AV22)</f>
        <v>5.0220000000000002</v>
      </c>
      <c r="Q22" s="344">
        <f>SUM(T22,X22,AB22,AD22,AO22)</f>
        <v>4.0279999999999996</v>
      </c>
      <c r="R22" s="345">
        <v>2.38</v>
      </c>
      <c r="S22" s="345">
        <v>1.72</v>
      </c>
      <c r="T22" s="345">
        <v>1.47</v>
      </c>
      <c r="U22" s="345">
        <v>0</v>
      </c>
      <c r="V22" s="346">
        <v>2.16</v>
      </c>
      <c r="W22" s="346">
        <v>1.5</v>
      </c>
      <c r="X22" s="346">
        <v>1.26</v>
      </c>
      <c r="Y22" s="346">
        <v>0</v>
      </c>
      <c r="Z22" s="347">
        <v>0.18</v>
      </c>
      <c r="AA22" s="347">
        <v>0.1</v>
      </c>
      <c r="AB22" s="347">
        <v>3.7999999999999999E-2</v>
      </c>
      <c r="AC22" s="348">
        <v>1.34</v>
      </c>
      <c r="AD22" s="348">
        <v>0.97</v>
      </c>
      <c r="AE22" s="342">
        <v>0</v>
      </c>
      <c r="AF22" s="342">
        <v>0</v>
      </c>
      <c r="AG22" s="342">
        <v>2</v>
      </c>
      <c r="AH22" s="342">
        <v>6</v>
      </c>
      <c r="AI22" s="342">
        <v>0</v>
      </c>
      <c r="AJ22" s="342">
        <v>0</v>
      </c>
      <c r="AK22" s="342">
        <v>0</v>
      </c>
      <c r="AL22" s="342">
        <v>0</v>
      </c>
      <c r="AM22" s="349">
        <v>0.68</v>
      </c>
      <c r="AN22" s="349">
        <v>0.34</v>
      </c>
      <c r="AO22" s="349">
        <v>0.28999999999999998</v>
      </c>
      <c r="AP22" s="349">
        <v>0</v>
      </c>
      <c r="AQ22" s="349">
        <v>0</v>
      </c>
      <c r="AR22" s="350">
        <v>9.9000000000000005E-2</v>
      </c>
      <c r="AS22" s="350">
        <v>3</v>
      </c>
      <c r="AT22" s="361"/>
      <c r="AU22" s="176">
        <v>2.8000000000000001E-2</v>
      </c>
      <c r="AV22" s="350">
        <v>2.1999999999999999E-2</v>
      </c>
      <c r="AW22" s="350" t="s">
        <v>65</v>
      </c>
      <c r="AX22" s="350">
        <v>0</v>
      </c>
      <c r="AY22" s="350" t="s">
        <v>65</v>
      </c>
      <c r="AZ22" s="350">
        <v>0</v>
      </c>
      <c r="BA22" s="350" t="s">
        <v>65</v>
      </c>
      <c r="BB22" s="350" t="s">
        <v>65</v>
      </c>
      <c r="BC22" s="350" t="s">
        <v>65</v>
      </c>
      <c r="BD22" s="362">
        <v>1</v>
      </c>
      <c r="BE22" s="372" t="s">
        <v>169</v>
      </c>
      <c r="BF22" s="362">
        <v>1350</v>
      </c>
      <c r="BG22" s="362">
        <v>1.5</v>
      </c>
      <c r="BH22" s="373" t="s">
        <v>66</v>
      </c>
      <c r="BI22" s="362">
        <v>1260</v>
      </c>
      <c r="BJ22" s="362">
        <v>0</v>
      </c>
      <c r="BK22" s="362" t="s">
        <v>65</v>
      </c>
      <c r="BL22" s="362">
        <v>0</v>
      </c>
      <c r="BM22" s="362" t="s">
        <v>65</v>
      </c>
      <c r="BN22" s="363" t="s">
        <v>67</v>
      </c>
      <c r="BO22" s="363" t="s">
        <v>67</v>
      </c>
      <c r="BP22" s="364" t="s">
        <v>67</v>
      </c>
      <c r="BQ22" s="364" t="s">
        <v>67</v>
      </c>
      <c r="BR22" s="66">
        <v>0</v>
      </c>
      <c r="BS22" s="66">
        <v>0</v>
      </c>
      <c r="BT22" s="369" t="s">
        <v>67</v>
      </c>
      <c r="BU22" s="369" t="s">
        <v>175</v>
      </c>
      <c r="BV22" s="357"/>
    </row>
    <row r="23" spans="1:74" s="340" customFormat="1" ht="17.25" customHeight="1" thickBot="1" x14ac:dyDescent="0.3">
      <c r="A23" s="180"/>
      <c r="B23" s="351"/>
      <c r="C23" s="352"/>
      <c r="D23" s="352"/>
      <c r="E23" s="353"/>
      <c r="F23" s="353"/>
      <c r="G23" s="353"/>
      <c r="H23" s="353"/>
      <c r="I23" s="353"/>
      <c r="J23" s="353"/>
      <c r="K23" s="353"/>
      <c r="L23" s="353"/>
      <c r="M23" s="353"/>
      <c r="N23" s="353"/>
      <c r="O23" s="353">
        <v>4027</v>
      </c>
      <c r="P23" s="353">
        <v>3821</v>
      </c>
      <c r="Q23" s="353">
        <v>3003</v>
      </c>
      <c r="R23" s="353">
        <v>1810</v>
      </c>
      <c r="S23" s="353">
        <v>1316</v>
      </c>
      <c r="T23" s="353">
        <v>1140</v>
      </c>
      <c r="U23" s="353"/>
      <c r="V23" s="353">
        <v>1510</v>
      </c>
      <c r="W23" s="353">
        <v>1110</v>
      </c>
      <c r="X23" s="353">
        <v>840</v>
      </c>
      <c r="Y23" s="353"/>
      <c r="Z23" s="353">
        <v>110</v>
      </c>
      <c r="AA23" s="353">
        <v>60</v>
      </c>
      <c r="AB23" s="353">
        <v>10</v>
      </c>
      <c r="AC23" s="353">
        <v>1010</v>
      </c>
      <c r="AD23" s="353">
        <v>790</v>
      </c>
      <c r="AE23" s="353"/>
      <c r="AF23" s="353"/>
      <c r="AG23" s="353"/>
      <c r="AH23" s="353"/>
      <c r="AI23" s="353"/>
      <c r="AJ23" s="353"/>
      <c r="AK23" s="353"/>
      <c r="AL23" s="353"/>
      <c r="AM23" s="353">
        <v>520</v>
      </c>
      <c r="AN23" s="353">
        <v>310</v>
      </c>
      <c r="AO23" s="353">
        <v>240</v>
      </c>
      <c r="AP23" s="353"/>
      <c r="AQ23" s="353"/>
      <c r="AR23" s="353">
        <v>60</v>
      </c>
      <c r="AS23" s="353"/>
      <c r="AT23" s="365"/>
      <c r="AU23" s="353">
        <v>30</v>
      </c>
      <c r="AV23" s="353">
        <v>20</v>
      </c>
      <c r="AW23" s="353"/>
      <c r="AX23" s="353"/>
      <c r="AY23" s="353"/>
      <c r="AZ23" s="353"/>
      <c r="BA23" s="353"/>
      <c r="BB23" s="353"/>
      <c r="BC23" s="353"/>
      <c r="BD23" s="366"/>
      <c r="BE23" s="366"/>
      <c r="BF23" s="366"/>
      <c r="BG23" s="366"/>
      <c r="BH23" s="366"/>
      <c r="BI23" s="366"/>
      <c r="BJ23" s="366"/>
      <c r="BK23" s="366"/>
      <c r="BL23" s="366"/>
      <c r="BM23" s="366"/>
      <c r="BN23" s="366"/>
      <c r="BO23" s="366"/>
      <c r="BP23" s="366"/>
      <c r="BQ23" s="366"/>
      <c r="BR23" s="367"/>
      <c r="BS23" s="367"/>
      <c r="BT23" s="188"/>
      <c r="BU23" s="188"/>
    </row>
    <row r="24" spans="1:74" ht="35.25" customHeight="1" thickBot="1" x14ac:dyDescent="0.3">
      <c r="A24" s="50">
        <v>50</v>
      </c>
      <c r="B24" s="355" t="s">
        <v>121</v>
      </c>
      <c r="C24" s="341">
        <v>4</v>
      </c>
      <c r="D24" s="354">
        <v>4</v>
      </c>
      <c r="E24" s="342">
        <v>8</v>
      </c>
      <c r="F24" s="343">
        <v>4</v>
      </c>
      <c r="G24" s="343">
        <v>4</v>
      </c>
      <c r="H24" s="342">
        <v>8</v>
      </c>
      <c r="I24" s="343">
        <v>0</v>
      </c>
      <c r="J24" s="343">
        <v>0</v>
      </c>
      <c r="K24" s="342">
        <v>0</v>
      </c>
      <c r="L24" s="343">
        <v>0</v>
      </c>
      <c r="M24" s="343" t="s">
        <v>65</v>
      </c>
      <c r="N24" s="343">
        <v>0</v>
      </c>
      <c r="O24" s="344">
        <f>SUM(R24,V24,Z24,AM24,AR24,AU24)</f>
        <v>4.4400000000000004</v>
      </c>
      <c r="P24" s="344">
        <f>SUM(S24,W24,AA24,AC24,AN24,AV24)</f>
        <v>4.2119999999999997</v>
      </c>
      <c r="Q24" s="344">
        <f>SUM(T24,X24,AB24,AD24,AO24)</f>
        <v>3.3109999999999999</v>
      </c>
      <c r="R24" s="345">
        <v>1.99</v>
      </c>
      <c r="S24" s="345">
        <v>1.45</v>
      </c>
      <c r="T24" s="345">
        <v>1.25</v>
      </c>
      <c r="U24" s="345">
        <v>0</v>
      </c>
      <c r="V24" s="346">
        <v>1.66</v>
      </c>
      <c r="W24" s="346">
        <v>1.22</v>
      </c>
      <c r="X24" s="346">
        <v>0.92</v>
      </c>
      <c r="Y24" s="346">
        <v>0</v>
      </c>
      <c r="Z24" s="347">
        <v>0.12</v>
      </c>
      <c r="AA24" s="347">
        <v>7.0000000000000007E-2</v>
      </c>
      <c r="AB24" s="347">
        <v>1.0999999999999999E-2</v>
      </c>
      <c r="AC24" s="348">
        <v>1.1100000000000001</v>
      </c>
      <c r="AD24" s="348">
        <v>0.87</v>
      </c>
      <c r="AE24" s="342">
        <v>0</v>
      </c>
      <c r="AF24" s="342">
        <v>0</v>
      </c>
      <c r="AG24" s="342">
        <v>1</v>
      </c>
      <c r="AH24" s="342">
        <v>1.6</v>
      </c>
      <c r="AI24" s="342">
        <v>0</v>
      </c>
      <c r="AJ24" s="342">
        <v>0</v>
      </c>
      <c r="AK24" s="342">
        <v>0</v>
      </c>
      <c r="AL24" s="342">
        <v>0</v>
      </c>
      <c r="AM24" s="349">
        <v>0.56999999999999995</v>
      </c>
      <c r="AN24" s="349">
        <v>0.34</v>
      </c>
      <c r="AO24" s="349">
        <v>0.26</v>
      </c>
      <c r="AP24" s="349">
        <v>0</v>
      </c>
      <c r="AQ24" s="349">
        <v>0</v>
      </c>
      <c r="AR24" s="350">
        <v>6.7000000000000004E-2</v>
      </c>
      <c r="AS24" s="350">
        <v>1</v>
      </c>
      <c r="AT24" s="361"/>
      <c r="AU24" s="350">
        <v>3.3000000000000002E-2</v>
      </c>
      <c r="AV24" s="350">
        <v>2.1999999999999999E-2</v>
      </c>
      <c r="AW24" s="350" t="s">
        <v>65</v>
      </c>
      <c r="AX24" s="350">
        <v>0</v>
      </c>
      <c r="AY24" s="350" t="s">
        <v>65</v>
      </c>
      <c r="AZ24" s="350">
        <v>0</v>
      </c>
      <c r="BA24" s="350" t="s">
        <v>65</v>
      </c>
      <c r="BB24" s="350" t="s">
        <v>65</v>
      </c>
      <c r="BC24" s="350" t="s">
        <v>67</v>
      </c>
      <c r="BD24" s="362">
        <v>1</v>
      </c>
      <c r="BE24" s="372" t="s">
        <v>170</v>
      </c>
      <c r="BF24" s="362">
        <v>15617.8</v>
      </c>
      <c r="BG24" s="368">
        <v>1.6</v>
      </c>
      <c r="BH24" s="362" t="s">
        <v>72</v>
      </c>
      <c r="BI24" s="362">
        <v>800</v>
      </c>
      <c r="BJ24" s="362">
        <v>0</v>
      </c>
      <c r="BK24" s="362" t="s">
        <v>65</v>
      </c>
      <c r="BL24" s="362">
        <v>0</v>
      </c>
      <c r="BM24" s="362" t="s">
        <v>65</v>
      </c>
      <c r="BN24" s="363" t="s">
        <v>67</v>
      </c>
      <c r="BO24" s="363" t="s">
        <v>67</v>
      </c>
      <c r="BP24" s="364" t="s">
        <v>65</v>
      </c>
      <c r="BQ24" s="364" t="s">
        <v>65</v>
      </c>
      <c r="BR24" s="66">
        <v>0</v>
      </c>
      <c r="BS24" s="66">
        <v>0</v>
      </c>
      <c r="BT24" s="370" t="s">
        <v>122</v>
      </c>
      <c r="BU24" s="371">
        <v>0</v>
      </c>
    </row>
  </sheetData>
  <mergeCells count="24">
    <mergeCell ref="BD1:BM1"/>
    <mergeCell ref="S17:T17"/>
    <mergeCell ref="S16:T16"/>
    <mergeCell ref="AC1:AD1"/>
    <mergeCell ref="AE1:AL1"/>
    <mergeCell ref="AM1:AQ1"/>
    <mergeCell ref="AR1:AT1"/>
    <mergeCell ref="AU1:BC1"/>
    <mergeCell ref="BR1:BS1"/>
    <mergeCell ref="BT1:BU1"/>
    <mergeCell ref="Z1:AB1"/>
    <mergeCell ref="A1:A3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  <mergeCell ref="BN1:BO1"/>
    <mergeCell ref="BP1:BQ1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7"/>
  <sheetViews>
    <sheetView topLeftCell="N4" workbookViewId="0">
      <selection activeCell="O9" sqref="O9"/>
    </sheetView>
  </sheetViews>
  <sheetFormatPr defaultRowHeight="15" x14ac:dyDescent="0.25"/>
  <cols>
    <col min="2" max="2" width="23.42578125" customWidth="1"/>
    <col min="16" max="20" width="11.5703125" bestFit="1" customWidth="1"/>
    <col min="23" max="24" width="9.5703125" bestFit="1" customWidth="1"/>
    <col min="28" max="28" width="9.5703125" bestFit="1" customWidth="1"/>
    <col min="29" max="30" width="11.5703125" bestFit="1" customWidth="1"/>
    <col min="40" max="40" width="9.5703125" bestFit="1" customWidth="1"/>
    <col min="41" max="41" width="10.5703125" bestFit="1" customWidth="1"/>
  </cols>
  <sheetData>
    <row r="1" spans="1:74" ht="75" customHeight="1" x14ac:dyDescent="0.25">
      <c r="A1" s="1265" t="s">
        <v>0</v>
      </c>
      <c r="B1" s="1266" t="s">
        <v>1</v>
      </c>
      <c r="C1" s="1207" t="s">
        <v>2</v>
      </c>
      <c r="D1" s="1207"/>
      <c r="E1" s="1207"/>
      <c r="F1" s="1207" t="s">
        <v>3</v>
      </c>
      <c r="G1" s="1207"/>
      <c r="H1" s="1207"/>
      <c r="I1" s="1207" t="s">
        <v>4</v>
      </c>
      <c r="J1" s="1207"/>
      <c r="K1" s="1207"/>
      <c r="L1" s="1207" t="s">
        <v>5</v>
      </c>
      <c r="M1" s="1207" t="s">
        <v>6</v>
      </c>
      <c r="N1" s="1207" t="s">
        <v>7</v>
      </c>
      <c r="O1" s="1213" t="s">
        <v>8</v>
      </c>
      <c r="P1" s="1213"/>
      <c r="Q1" s="1213"/>
      <c r="R1" s="1214" t="s">
        <v>9</v>
      </c>
      <c r="S1" s="1214"/>
      <c r="T1" s="1214"/>
      <c r="U1" s="1214"/>
      <c r="V1" s="1215" t="s">
        <v>10</v>
      </c>
      <c r="W1" s="1215"/>
      <c r="X1" s="1215"/>
      <c r="Y1" s="1215"/>
      <c r="Z1" s="1206" t="s">
        <v>11</v>
      </c>
      <c r="AA1" s="1206"/>
      <c r="AB1" s="1206"/>
      <c r="AC1" s="1210" t="s">
        <v>12</v>
      </c>
      <c r="AD1" s="1210"/>
      <c r="AE1" s="1277" t="s">
        <v>13</v>
      </c>
      <c r="AF1" s="1277"/>
      <c r="AG1" s="1277"/>
      <c r="AH1" s="1277"/>
      <c r="AI1" s="1277"/>
      <c r="AJ1" s="1277"/>
      <c r="AK1" s="1277"/>
      <c r="AL1" s="1277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212" t="s">
        <v>14</v>
      </c>
      <c r="BE1" s="1212"/>
      <c r="BF1" s="1212"/>
      <c r="BG1" s="1212"/>
      <c r="BH1" s="1212"/>
      <c r="BI1" s="1212"/>
      <c r="BJ1" s="1212"/>
      <c r="BK1" s="1212"/>
      <c r="BL1" s="1212"/>
      <c r="BM1" s="1212"/>
      <c r="BN1" s="1208" t="s">
        <v>15</v>
      </c>
      <c r="BO1" s="1208"/>
      <c r="BP1" s="1209" t="s">
        <v>16</v>
      </c>
      <c r="BQ1" s="1209"/>
      <c r="BR1" s="1305" t="s">
        <v>130</v>
      </c>
      <c r="BS1" s="1306"/>
      <c r="BT1" s="1323" t="s">
        <v>171</v>
      </c>
      <c r="BU1" s="1324"/>
    </row>
    <row r="2" spans="1:74" ht="225" x14ac:dyDescent="0.25">
      <c r="A2" s="1265"/>
      <c r="B2" s="1266"/>
      <c r="C2" s="1207"/>
      <c r="D2" s="1207"/>
      <c r="E2" s="1207"/>
      <c r="F2" s="1207"/>
      <c r="G2" s="1207"/>
      <c r="H2" s="1207"/>
      <c r="I2" s="1207"/>
      <c r="J2" s="1207"/>
      <c r="K2" s="1207"/>
      <c r="L2" s="1207"/>
      <c r="M2" s="1207"/>
      <c r="N2" s="1207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378" t="s">
        <v>23</v>
      </c>
      <c r="V2" s="42" t="s">
        <v>24</v>
      </c>
      <c r="W2" s="217" t="s">
        <v>25</v>
      </c>
      <c r="X2" s="218" t="s">
        <v>26</v>
      </c>
      <c r="Y2" s="379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376" t="s">
        <v>105</v>
      </c>
      <c r="AQ2" s="376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377" t="s">
        <v>14</v>
      </c>
      <c r="BE2" s="377" t="s">
        <v>167</v>
      </c>
      <c r="BF2" s="377" t="s">
        <v>39</v>
      </c>
      <c r="BG2" s="377" t="s">
        <v>40</v>
      </c>
      <c r="BH2" s="377" t="s">
        <v>41</v>
      </c>
      <c r="BI2" s="377" t="s">
        <v>42</v>
      </c>
      <c r="BJ2" s="377" t="s">
        <v>43</v>
      </c>
      <c r="BK2" s="377" t="s">
        <v>44</v>
      </c>
      <c r="BL2" s="377" t="s">
        <v>45</v>
      </c>
      <c r="BM2" s="377" t="s">
        <v>46</v>
      </c>
      <c r="BN2" s="375" t="s">
        <v>47</v>
      </c>
      <c r="BO2" s="375" t="s">
        <v>48</v>
      </c>
      <c r="BP2" s="376" t="s">
        <v>49</v>
      </c>
      <c r="BQ2" s="376" t="s">
        <v>50</v>
      </c>
      <c r="BR2" s="375" t="s">
        <v>131</v>
      </c>
      <c r="BS2" s="375" t="s">
        <v>132</v>
      </c>
      <c r="BT2" s="359" t="s">
        <v>172</v>
      </c>
      <c r="BU2" s="359" t="s">
        <v>173</v>
      </c>
    </row>
    <row r="3" spans="1:74" ht="75" x14ac:dyDescent="0.25">
      <c r="A3" s="1265"/>
      <c r="B3" s="1266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29" t="s">
        <v>62</v>
      </c>
      <c r="BM3" s="107" t="s">
        <v>127</v>
      </c>
      <c r="BN3" s="107" t="s">
        <v>120</v>
      </c>
      <c r="BO3" s="107" t="s">
        <v>120</v>
      </c>
      <c r="BP3" s="107" t="s">
        <v>120</v>
      </c>
      <c r="BQ3" s="107" t="s">
        <v>120</v>
      </c>
      <c r="BR3" s="107" t="s">
        <v>54</v>
      </c>
      <c r="BS3" s="107" t="s">
        <v>54</v>
      </c>
      <c r="BT3" s="360" t="s">
        <v>120</v>
      </c>
      <c r="BU3" s="360" t="s">
        <v>174</v>
      </c>
    </row>
    <row r="4" spans="1:74" ht="15.75" x14ac:dyDescent="0.25">
      <c r="A4" s="381">
        <v>1</v>
      </c>
      <c r="B4" s="382">
        <v>2</v>
      </c>
      <c r="C4" s="29">
        <v>3</v>
      </c>
      <c r="D4" s="381">
        <v>4</v>
      </c>
      <c r="E4" s="382">
        <v>5</v>
      </c>
      <c r="F4" s="29">
        <v>6</v>
      </c>
      <c r="G4" s="381">
        <v>7</v>
      </c>
      <c r="H4" s="382">
        <v>8</v>
      </c>
      <c r="I4" s="29">
        <v>9</v>
      </c>
      <c r="J4" s="381">
        <v>10</v>
      </c>
      <c r="K4" s="382">
        <v>11</v>
      </c>
      <c r="L4" s="29">
        <v>12</v>
      </c>
      <c r="M4" s="381">
        <v>13</v>
      </c>
      <c r="N4" s="382">
        <v>14</v>
      </c>
      <c r="O4" s="29">
        <v>15</v>
      </c>
      <c r="P4" s="381">
        <v>16</v>
      </c>
      <c r="Q4" s="382">
        <v>17</v>
      </c>
      <c r="R4" s="29">
        <v>18</v>
      </c>
      <c r="S4" s="381">
        <v>19</v>
      </c>
      <c r="T4" s="382">
        <v>20</v>
      </c>
      <c r="U4" s="29">
        <v>21</v>
      </c>
      <c r="V4" s="381">
        <v>22</v>
      </c>
      <c r="W4" s="382">
        <v>23</v>
      </c>
      <c r="X4" s="29">
        <v>24</v>
      </c>
      <c r="Y4" s="381">
        <v>25</v>
      </c>
      <c r="Z4" s="382">
        <v>26</v>
      </c>
      <c r="AA4" s="29">
        <v>27</v>
      </c>
      <c r="AB4" s="381">
        <v>28</v>
      </c>
      <c r="AC4" s="382">
        <v>29</v>
      </c>
      <c r="AD4" s="29">
        <v>30</v>
      </c>
      <c r="AE4" s="381">
        <v>31</v>
      </c>
      <c r="AF4" s="382">
        <v>32</v>
      </c>
      <c r="AG4" s="29">
        <v>33</v>
      </c>
      <c r="AH4" s="381">
        <v>34</v>
      </c>
      <c r="AI4" s="382">
        <v>35</v>
      </c>
      <c r="AJ4" s="29">
        <v>36</v>
      </c>
      <c r="AK4" s="381">
        <v>37</v>
      </c>
      <c r="AL4" s="382">
        <v>38</v>
      </c>
      <c r="AM4" s="29">
        <v>39</v>
      </c>
      <c r="AN4" s="381">
        <v>40</v>
      </c>
      <c r="AO4" s="382">
        <v>41</v>
      </c>
      <c r="AP4" s="29">
        <v>42</v>
      </c>
      <c r="AQ4" s="381">
        <v>43</v>
      </c>
      <c r="AR4" s="382">
        <v>44</v>
      </c>
      <c r="AS4" s="29">
        <v>45</v>
      </c>
      <c r="AT4" s="381">
        <v>46</v>
      </c>
      <c r="AU4" s="382">
        <v>47</v>
      </c>
      <c r="AV4" s="29">
        <v>48</v>
      </c>
      <c r="AW4" s="381">
        <v>49</v>
      </c>
      <c r="AX4" s="382">
        <v>50</v>
      </c>
      <c r="AY4" s="29">
        <v>51</v>
      </c>
      <c r="AZ4" s="381">
        <v>52</v>
      </c>
      <c r="BA4" s="382">
        <v>53</v>
      </c>
      <c r="BB4" s="29">
        <v>54</v>
      </c>
      <c r="BC4" s="381">
        <v>55</v>
      </c>
      <c r="BD4" s="382">
        <v>56</v>
      </c>
      <c r="BE4" s="29">
        <v>57</v>
      </c>
      <c r="BF4" s="381">
        <v>58</v>
      </c>
      <c r="BG4" s="382">
        <v>59</v>
      </c>
      <c r="BH4" s="29">
        <v>60</v>
      </c>
      <c r="BI4" s="381">
        <v>61</v>
      </c>
      <c r="BJ4" s="382">
        <v>62</v>
      </c>
      <c r="BK4" s="29">
        <v>63</v>
      </c>
      <c r="BL4" s="381">
        <v>64</v>
      </c>
      <c r="BM4" s="382">
        <v>65</v>
      </c>
      <c r="BN4" s="29">
        <v>66</v>
      </c>
      <c r="BO4" s="381">
        <v>67</v>
      </c>
      <c r="BP4" s="382">
        <v>68</v>
      </c>
      <c r="BQ4" s="29">
        <v>69</v>
      </c>
      <c r="BR4" s="381">
        <v>70</v>
      </c>
      <c r="BS4" s="382">
        <v>71</v>
      </c>
      <c r="BT4" s="29">
        <v>72</v>
      </c>
      <c r="BU4" s="381">
        <v>73</v>
      </c>
    </row>
    <row r="5" spans="1:74" ht="16.5" thickBot="1" x14ac:dyDescent="0.3">
      <c r="A5" s="380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5014</v>
      </c>
      <c r="P5" s="380">
        <v>4555</v>
      </c>
      <c r="Q5" s="380">
        <v>3654</v>
      </c>
      <c r="R5" s="380">
        <v>2400</v>
      </c>
      <c r="S5" s="380">
        <v>1680</v>
      </c>
      <c r="T5" s="380">
        <f>S9+T9</f>
        <v>1248</v>
      </c>
      <c r="U5" s="380"/>
      <c r="V5" s="380">
        <v>1700</v>
      </c>
      <c r="W5" s="380">
        <v>1190</v>
      </c>
      <c r="X5" s="380">
        <f>W9+X9</f>
        <v>884</v>
      </c>
      <c r="Y5" s="380"/>
      <c r="Z5" s="380">
        <v>115</v>
      </c>
      <c r="AA5" s="380">
        <v>80.5</v>
      </c>
      <c r="AB5" s="380">
        <f>AA9+AB9</f>
        <v>59.800000000000004</v>
      </c>
      <c r="AC5" s="380">
        <v>1200</v>
      </c>
      <c r="AD5" s="380">
        <v>1020</v>
      </c>
      <c r="AE5" s="339"/>
      <c r="AF5" s="380"/>
      <c r="AG5" s="339"/>
      <c r="AH5" s="380"/>
      <c r="AI5" s="339"/>
      <c r="AJ5" s="380"/>
      <c r="AK5" s="339"/>
      <c r="AL5" s="380"/>
      <c r="AM5" s="380">
        <v>700</v>
      </c>
      <c r="AN5" s="380">
        <v>335</v>
      </c>
      <c r="AO5" s="380">
        <f>AN9+AO9</f>
        <v>507.45000000000005</v>
      </c>
      <c r="AP5" s="339"/>
      <c r="AQ5" s="380"/>
      <c r="AR5" s="380">
        <v>44</v>
      </c>
      <c r="AS5" s="339"/>
      <c r="AT5" s="380"/>
      <c r="AU5" s="380">
        <v>14</v>
      </c>
      <c r="AV5" s="380">
        <v>9.8000000000000007</v>
      </c>
      <c r="AW5" s="380"/>
      <c r="AX5" s="380"/>
      <c r="AY5" s="380"/>
      <c r="AZ5" s="380"/>
      <c r="BA5" s="380"/>
      <c r="BB5" s="380"/>
      <c r="BC5" s="380"/>
      <c r="BD5" s="339"/>
      <c r="BE5" s="339"/>
      <c r="BF5" s="339"/>
      <c r="BG5" s="339"/>
      <c r="BH5" s="339"/>
      <c r="BI5" s="380"/>
      <c r="BJ5" s="339"/>
      <c r="BK5" s="380"/>
      <c r="BL5" s="339"/>
      <c r="BM5" s="380"/>
      <c r="BN5" s="380"/>
      <c r="BO5" s="380"/>
      <c r="BP5" s="380"/>
      <c r="BQ5" s="380"/>
      <c r="BR5" s="380"/>
      <c r="BS5" s="380"/>
      <c r="BT5" s="188"/>
      <c r="BU5" s="188"/>
    </row>
    <row r="6" spans="1:74" ht="30.75" customHeight="1" thickBot="1" x14ac:dyDescent="0.3">
      <c r="A6" s="50">
        <v>60</v>
      </c>
      <c r="B6" s="374" t="s">
        <v>161</v>
      </c>
      <c r="C6" s="341">
        <v>5</v>
      </c>
      <c r="D6" s="341">
        <v>5</v>
      </c>
      <c r="E6" s="342">
        <v>10</v>
      </c>
      <c r="F6" s="343">
        <v>10</v>
      </c>
      <c r="G6" s="343">
        <v>10</v>
      </c>
      <c r="H6" s="342">
        <v>10</v>
      </c>
      <c r="I6" s="343">
        <v>0</v>
      </c>
      <c r="J6" s="343">
        <v>0</v>
      </c>
      <c r="K6" s="342">
        <v>0</v>
      </c>
      <c r="L6" s="343">
        <v>0</v>
      </c>
      <c r="M6" s="343" t="s">
        <v>65</v>
      </c>
      <c r="N6" s="343">
        <v>0</v>
      </c>
      <c r="O6" s="344">
        <f>SUM(R6,V6,Z6,AM6,AR6,AU6)</f>
        <v>5.4669999999999996</v>
      </c>
      <c r="P6" s="344">
        <f>SUM(S6,W6,AA6,AC6,AN6,AV6)</f>
        <v>4.9670000000000005</v>
      </c>
      <c r="Q6" s="344">
        <f>SUM(T6,X6,AB6,AD6,AO6)</f>
        <v>4.0670000000000002</v>
      </c>
      <c r="R6" s="345">
        <v>2.64</v>
      </c>
      <c r="S6" s="345">
        <v>1.86</v>
      </c>
      <c r="T6" s="345">
        <v>1.37</v>
      </c>
      <c r="U6" s="345">
        <v>0</v>
      </c>
      <c r="V6" s="346">
        <v>1.88</v>
      </c>
      <c r="W6" s="346">
        <v>1.31</v>
      </c>
      <c r="X6" s="346">
        <v>0.97</v>
      </c>
      <c r="Y6" s="346">
        <v>0</v>
      </c>
      <c r="Z6" s="347">
        <v>0.12</v>
      </c>
      <c r="AA6" s="347">
        <v>8.7999999999999995E-2</v>
      </c>
      <c r="AB6" s="347">
        <v>6.7000000000000004E-2</v>
      </c>
      <c r="AC6" s="348">
        <v>1.33</v>
      </c>
      <c r="AD6" s="348">
        <v>1.1100000000000001</v>
      </c>
      <c r="AE6" s="342">
        <v>0</v>
      </c>
      <c r="AF6" s="342">
        <v>0</v>
      </c>
      <c r="AG6" s="342">
        <v>2</v>
      </c>
      <c r="AH6" s="342">
        <v>6</v>
      </c>
      <c r="AI6" s="342">
        <v>0</v>
      </c>
      <c r="AJ6" s="342">
        <v>0</v>
      </c>
      <c r="AK6" s="342">
        <v>0</v>
      </c>
      <c r="AL6" s="342">
        <v>0</v>
      </c>
      <c r="AM6" s="349">
        <v>0.77</v>
      </c>
      <c r="AN6" s="349">
        <v>0.37</v>
      </c>
      <c r="AO6" s="349">
        <v>0.55000000000000004</v>
      </c>
      <c r="AP6" s="349">
        <v>0</v>
      </c>
      <c r="AQ6" s="349">
        <v>0</v>
      </c>
      <c r="AR6" s="350">
        <v>4.2000000000000003E-2</v>
      </c>
      <c r="AS6" s="350">
        <v>3</v>
      </c>
      <c r="AT6" s="361"/>
      <c r="AU6" s="176">
        <v>1.4999999999999999E-2</v>
      </c>
      <c r="AV6" s="350">
        <v>8.9999999999999993E-3</v>
      </c>
      <c r="AW6" s="350" t="s">
        <v>65</v>
      </c>
      <c r="AX6" s="350">
        <v>0</v>
      </c>
      <c r="AY6" s="350" t="s">
        <v>65</v>
      </c>
      <c r="AZ6" s="350">
        <v>0</v>
      </c>
      <c r="BA6" s="350" t="s">
        <v>65</v>
      </c>
      <c r="BB6" s="350" t="s">
        <v>65</v>
      </c>
      <c r="BC6" s="350" t="s">
        <v>65</v>
      </c>
      <c r="BD6" s="362">
        <v>1</v>
      </c>
      <c r="BE6" s="372" t="s">
        <v>169</v>
      </c>
      <c r="BF6" s="362">
        <v>1350</v>
      </c>
      <c r="BG6" s="362">
        <v>1.5</v>
      </c>
      <c r="BH6" s="373" t="s">
        <v>66</v>
      </c>
      <c r="BI6" s="362">
        <v>1260</v>
      </c>
      <c r="BJ6" s="362">
        <v>0</v>
      </c>
      <c r="BK6" s="362" t="s">
        <v>65</v>
      </c>
      <c r="BL6" s="362">
        <v>0</v>
      </c>
      <c r="BM6" s="362" t="s">
        <v>65</v>
      </c>
      <c r="BN6" s="363" t="s">
        <v>67</v>
      </c>
      <c r="BO6" s="363" t="s">
        <v>67</v>
      </c>
      <c r="BP6" s="364" t="s">
        <v>67</v>
      </c>
      <c r="BQ6" s="364" t="s">
        <v>67</v>
      </c>
      <c r="BR6" s="66">
        <v>0</v>
      </c>
      <c r="BS6" s="66">
        <v>0</v>
      </c>
      <c r="BT6" s="369" t="s">
        <v>67</v>
      </c>
      <c r="BU6" s="369" t="s">
        <v>175</v>
      </c>
      <c r="BV6" s="357"/>
    </row>
    <row r="7" spans="1:74" s="340" customFormat="1" ht="17.25" customHeight="1" thickBot="1" x14ac:dyDescent="0.3">
      <c r="A7" s="180"/>
      <c r="B7" s="351"/>
      <c r="C7" s="352"/>
      <c r="D7" s="352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>
        <v>4027</v>
      </c>
      <c r="P7" s="353">
        <v>3821</v>
      </c>
      <c r="Q7" s="353">
        <v>3003</v>
      </c>
      <c r="R7" s="353">
        <v>2300</v>
      </c>
      <c r="S7" s="353">
        <f>R7/100*70</f>
        <v>1610</v>
      </c>
      <c r="T7" s="353">
        <f>S7/100*60+R7/100*10</f>
        <v>1196</v>
      </c>
      <c r="U7" s="353"/>
      <c r="V7" s="353">
        <v>1600</v>
      </c>
      <c r="W7" s="353">
        <f>V7/100*70</f>
        <v>1120</v>
      </c>
      <c r="X7" s="353">
        <f>W7/100*60+V7/100*10</f>
        <v>832</v>
      </c>
      <c r="Y7" s="353"/>
      <c r="Z7" s="353">
        <v>110</v>
      </c>
      <c r="AA7" s="353">
        <f>Z7/100*70</f>
        <v>77</v>
      </c>
      <c r="AB7" s="353">
        <f>AA7/100*60+Z7/100*10</f>
        <v>57.2</v>
      </c>
      <c r="AC7" s="353">
        <v>800</v>
      </c>
      <c r="AD7" s="353">
        <f>AC7/100*85</f>
        <v>680</v>
      </c>
      <c r="AE7" s="353"/>
      <c r="AF7" s="353"/>
      <c r="AG7" s="353"/>
      <c r="AH7" s="353"/>
      <c r="AI7" s="353"/>
      <c r="AJ7" s="353"/>
      <c r="AK7" s="353"/>
      <c r="AL7" s="353"/>
      <c r="AM7" s="353">
        <v>500</v>
      </c>
      <c r="AN7" s="353">
        <f>AM7/100*48</f>
        <v>240</v>
      </c>
      <c r="AO7" s="353">
        <f>AN7/100*47+AM7/100*50</f>
        <v>362.8</v>
      </c>
      <c r="AP7" s="353"/>
      <c r="AQ7" s="353"/>
      <c r="AR7" s="353">
        <v>25</v>
      </c>
      <c r="AS7" s="353"/>
      <c r="AT7" s="365"/>
      <c r="AU7" s="353">
        <v>10</v>
      </c>
      <c r="AV7" s="353">
        <v>5</v>
      </c>
      <c r="AW7" s="353"/>
      <c r="AX7" s="353"/>
      <c r="AY7" s="353"/>
      <c r="AZ7" s="353"/>
      <c r="BA7" s="353"/>
      <c r="BB7" s="353"/>
      <c r="BC7" s="353"/>
      <c r="BD7" s="366"/>
      <c r="BE7" s="366"/>
      <c r="BF7" s="366"/>
      <c r="BG7" s="366"/>
      <c r="BH7" s="366"/>
      <c r="BI7" s="366"/>
      <c r="BJ7" s="366"/>
      <c r="BK7" s="366"/>
      <c r="BL7" s="366"/>
      <c r="BM7" s="366"/>
      <c r="BN7" s="366"/>
      <c r="BO7" s="366"/>
      <c r="BP7" s="366"/>
      <c r="BQ7" s="366"/>
      <c r="BR7" s="367"/>
      <c r="BS7" s="367"/>
      <c r="BT7" s="188"/>
      <c r="BU7" s="188"/>
    </row>
    <row r="8" spans="1:74" ht="35.25" customHeight="1" thickBot="1" x14ac:dyDescent="0.3">
      <c r="A8" s="50">
        <v>50</v>
      </c>
      <c r="B8" s="374" t="s">
        <v>121</v>
      </c>
      <c r="C8" s="341">
        <v>4</v>
      </c>
      <c r="D8" s="354">
        <v>4</v>
      </c>
      <c r="E8" s="342">
        <v>8</v>
      </c>
      <c r="F8" s="343">
        <v>4</v>
      </c>
      <c r="G8" s="343">
        <v>4</v>
      </c>
      <c r="H8" s="342">
        <v>8</v>
      </c>
      <c r="I8" s="343">
        <v>0</v>
      </c>
      <c r="J8" s="343">
        <v>0</v>
      </c>
      <c r="K8" s="342">
        <v>0</v>
      </c>
      <c r="L8" s="343">
        <v>0</v>
      </c>
      <c r="M8" s="343" t="s">
        <v>65</v>
      </c>
      <c r="N8" s="343">
        <v>0</v>
      </c>
      <c r="O8" s="344">
        <f>SUM(R8,V8,Z8,AM8,AR8,AU8)</f>
        <v>5</v>
      </c>
      <c r="P8" s="344">
        <f>SUM(S8,W8,AA8,AC8,AN8,AV8)</f>
        <v>4.1677</v>
      </c>
      <c r="Q8" s="344">
        <f>SUM(T8,X8,AB8,AD8,AO8)</f>
        <v>3.3930000000000002</v>
      </c>
      <c r="R8" s="345">
        <v>2.5299999999999998</v>
      </c>
      <c r="S8" s="345">
        <v>1.69</v>
      </c>
      <c r="T8" s="345">
        <v>1.26</v>
      </c>
      <c r="U8" s="345">
        <v>0</v>
      </c>
      <c r="V8" s="346">
        <v>1.76</v>
      </c>
      <c r="W8" s="346">
        <v>1.23</v>
      </c>
      <c r="X8" s="346">
        <v>0.91</v>
      </c>
      <c r="Y8" s="346">
        <v>0</v>
      </c>
      <c r="Z8" s="347">
        <v>0.12</v>
      </c>
      <c r="AA8" s="347">
        <v>0.08</v>
      </c>
      <c r="AB8" s="347">
        <v>6.3E-2</v>
      </c>
      <c r="AC8" s="348">
        <v>0.89</v>
      </c>
      <c r="AD8" s="348">
        <v>0.75</v>
      </c>
      <c r="AE8" s="342">
        <v>0</v>
      </c>
      <c r="AF8" s="342">
        <v>0</v>
      </c>
      <c r="AG8" s="342">
        <v>1</v>
      </c>
      <c r="AH8" s="342">
        <v>1.6</v>
      </c>
      <c r="AI8" s="342">
        <v>0</v>
      </c>
      <c r="AJ8" s="342">
        <v>0</v>
      </c>
      <c r="AK8" s="342">
        <v>0</v>
      </c>
      <c r="AL8" s="342">
        <v>0</v>
      </c>
      <c r="AM8" s="349">
        <v>0.55000000000000004</v>
      </c>
      <c r="AN8" s="349">
        <v>0.27</v>
      </c>
      <c r="AO8" s="349">
        <v>0.41</v>
      </c>
      <c r="AP8" s="349">
        <v>0</v>
      </c>
      <c r="AQ8" s="349">
        <v>0</v>
      </c>
      <c r="AR8" s="350">
        <v>2.9000000000000001E-2</v>
      </c>
      <c r="AS8" s="350">
        <v>1</v>
      </c>
      <c r="AT8" s="361"/>
      <c r="AU8" s="350">
        <v>1.0999999999999999E-2</v>
      </c>
      <c r="AV8" s="350">
        <v>7.7000000000000002E-3</v>
      </c>
      <c r="AW8" s="350" t="s">
        <v>65</v>
      </c>
      <c r="AX8" s="350">
        <v>0</v>
      </c>
      <c r="AY8" s="350" t="s">
        <v>65</v>
      </c>
      <c r="AZ8" s="350">
        <v>0</v>
      </c>
      <c r="BA8" s="350" t="s">
        <v>65</v>
      </c>
      <c r="BB8" s="350" t="s">
        <v>65</v>
      </c>
      <c r="BC8" s="350" t="s">
        <v>67</v>
      </c>
      <c r="BD8" s="362">
        <v>1</v>
      </c>
      <c r="BE8" s="372" t="s">
        <v>170</v>
      </c>
      <c r="BF8" s="362">
        <v>15617.8</v>
      </c>
      <c r="BG8" s="368">
        <v>1.6</v>
      </c>
      <c r="BH8" s="362" t="s">
        <v>72</v>
      </c>
      <c r="BI8" s="362">
        <v>800</v>
      </c>
      <c r="BJ8" s="362">
        <v>0</v>
      </c>
      <c r="BK8" s="362" t="s">
        <v>65</v>
      </c>
      <c r="BL8" s="362">
        <v>0</v>
      </c>
      <c r="BM8" s="362" t="s">
        <v>65</v>
      </c>
      <c r="BN8" s="363" t="s">
        <v>67</v>
      </c>
      <c r="BO8" s="363" t="s">
        <v>67</v>
      </c>
      <c r="BP8" s="364" t="s">
        <v>65</v>
      </c>
      <c r="BQ8" s="364" t="s">
        <v>65</v>
      </c>
      <c r="BR8" s="66">
        <v>0</v>
      </c>
      <c r="BS8" s="66">
        <v>0</v>
      </c>
      <c r="BT8" s="370" t="s">
        <v>122</v>
      </c>
      <c r="BU8" s="371">
        <v>0</v>
      </c>
    </row>
    <row r="9" spans="1:74" ht="44.25" customHeight="1" x14ac:dyDescent="0.25">
      <c r="M9" s="1177" t="s">
        <v>64</v>
      </c>
      <c r="N9" s="1177"/>
      <c r="O9" s="114">
        <v>164</v>
      </c>
      <c r="P9" s="114">
        <v>149</v>
      </c>
      <c r="Q9" s="114">
        <v>122</v>
      </c>
      <c r="R9">
        <f>R5/100*70</f>
        <v>1680</v>
      </c>
      <c r="S9">
        <f>S5/100*60</f>
        <v>1008</v>
      </c>
      <c r="T9">
        <f>R5/100*10</f>
        <v>240</v>
      </c>
      <c r="V9">
        <f>V5/100*70</f>
        <v>1190</v>
      </c>
      <c r="W9">
        <f>W5/100*60</f>
        <v>714</v>
      </c>
      <c r="X9">
        <f>V5/100*10</f>
        <v>170</v>
      </c>
      <c r="Z9">
        <f>Z5/100*70</f>
        <v>80.5</v>
      </c>
      <c r="AA9">
        <f>AA5/100*60</f>
        <v>48.300000000000004</v>
      </c>
      <c r="AB9">
        <f>Z5/100*10</f>
        <v>11.5</v>
      </c>
      <c r="AC9">
        <f>AC5/100*85</f>
        <v>1020</v>
      </c>
      <c r="AM9">
        <f>AM5/100*48</f>
        <v>336</v>
      </c>
      <c r="AN9">
        <f>AN5/100*47</f>
        <v>157.45000000000002</v>
      </c>
      <c r="AO9">
        <f>AM5/100*50</f>
        <v>350</v>
      </c>
      <c r="AU9">
        <f>AU5/100*70</f>
        <v>9.8000000000000007</v>
      </c>
    </row>
    <row r="10" spans="1:74" ht="16.5" thickBot="1" x14ac:dyDescent="0.3">
      <c r="A10" s="380"/>
      <c r="B10" s="189"/>
      <c r="C10" s="339"/>
      <c r="D10" s="339"/>
      <c r="E10" s="339"/>
      <c r="F10" s="339"/>
      <c r="G10" s="339"/>
      <c r="H10" s="339"/>
      <c r="I10" s="339"/>
      <c r="J10" s="339"/>
      <c r="K10" s="339"/>
      <c r="L10" s="339"/>
      <c r="M10" s="339"/>
      <c r="N10" s="339"/>
      <c r="O10" s="339">
        <v>5014</v>
      </c>
      <c r="P10" s="380">
        <v>4555</v>
      </c>
      <c r="Q10" s="380">
        <v>3654</v>
      </c>
      <c r="R10" s="380">
        <v>2160</v>
      </c>
      <c r="S10" s="380">
        <v>1560</v>
      </c>
      <c r="T10" s="380">
        <v>1330</v>
      </c>
      <c r="U10" s="380"/>
      <c r="V10" s="380">
        <v>1960</v>
      </c>
      <c r="W10" s="380">
        <v>1360</v>
      </c>
      <c r="X10" s="380">
        <v>1140</v>
      </c>
      <c r="Y10" s="380"/>
      <c r="Z10" s="380">
        <v>165</v>
      </c>
      <c r="AA10" s="380">
        <v>95</v>
      </c>
      <c r="AB10" s="380">
        <v>35</v>
      </c>
      <c r="AC10" s="380">
        <v>1216</v>
      </c>
      <c r="AD10" s="380">
        <v>880</v>
      </c>
      <c r="AE10" s="339"/>
      <c r="AF10" s="380"/>
      <c r="AG10" s="339"/>
      <c r="AH10" s="380"/>
      <c r="AI10" s="339"/>
      <c r="AJ10" s="380"/>
      <c r="AK10" s="339"/>
      <c r="AL10" s="380"/>
      <c r="AM10" s="380">
        <v>620</v>
      </c>
      <c r="AN10" s="380">
        <v>310</v>
      </c>
      <c r="AO10" s="380">
        <v>270</v>
      </c>
      <c r="AP10" s="339"/>
      <c r="AQ10" s="380"/>
      <c r="AR10" s="380">
        <v>90</v>
      </c>
      <c r="AS10" s="339"/>
      <c r="AT10" s="380"/>
      <c r="AU10" s="380">
        <v>26</v>
      </c>
      <c r="AV10" s="380">
        <v>20</v>
      </c>
      <c r="AW10" s="380"/>
      <c r="AX10" s="380"/>
      <c r="AY10" s="380"/>
      <c r="AZ10" s="380"/>
      <c r="BA10" s="380"/>
      <c r="BB10" s="380"/>
      <c r="BC10" s="380"/>
      <c r="BD10" s="339"/>
      <c r="BE10" s="339"/>
      <c r="BF10" s="339"/>
      <c r="BG10" s="339"/>
      <c r="BH10" s="339"/>
      <c r="BI10" s="380"/>
      <c r="BJ10" s="339"/>
      <c r="BK10" s="380"/>
      <c r="BL10" s="339"/>
      <c r="BM10" s="380"/>
      <c r="BN10" s="380"/>
      <c r="BO10" s="380"/>
      <c r="BP10" s="380"/>
      <c r="BQ10" s="380"/>
      <c r="BR10" s="380"/>
      <c r="BS10" s="380"/>
      <c r="BT10" s="188"/>
      <c r="BU10" s="188"/>
    </row>
    <row r="11" spans="1:74" ht="30.75" customHeight="1" thickBot="1" x14ac:dyDescent="0.3">
      <c r="A11" s="50">
        <v>60</v>
      </c>
      <c r="B11" s="374" t="s">
        <v>161</v>
      </c>
      <c r="C11" s="341">
        <v>5</v>
      </c>
      <c r="D11" s="341">
        <v>5</v>
      </c>
      <c r="E11" s="342">
        <v>10</v>
      </c>
      <c r="F11" s="343">
        <v>10</v>
      </c>
      <c r="G11" s="343">
        <v>10</v>
      </c>
      <c r="H11" s="342">
        <v>10</v>
      </c>
      <c r="I11" s="343">
        <v>0</v>
      </c>
      <c r="J11" s="343">
        <v>0</v>
      </c>
      <c r="K11" s="342">
        <v>0</v>
      </c>
      <c r="L11" s="343">
        <v>0</v>
      </c>
      <c r="M11" s="343" t="s">
        <v>65</v>
      </c>
      <c r="N11" s="343">
        <v>0</v>
      </c>
      <c r="O11" s="394">
        <f>SUM(R11,V11,Z11,AM11,AR11,AU11)</f>
        <v>164.00999999999996</v>
      </c>
      <c r="P11" s="394">
        <f>SUM(S11,W11,AA11,AC11,AN11,AV11)</f>
        <v>149.01000000000002</v>
      </c>
      <c r="Q11" s="394">
        <f>SUM(T11,X11,AB11,AD11,AO11)</f>
        <v>122.01000000000002</v>
      </c>
      <c r="R11" s="345">
        <f>30*R6</f>
        <v>79.2</v>
      </c>
      <c r="S11" s="345">
        <f>30*S6</f>
        <v>55.800000000000004</v>
      </c>
      <c r="T11" s="345">
        <f>30*T6</f>
        <v>41.1</v>
      </c>
      <c r="U11" s="345">
        <v>0</v>
      </c>
      <c r="V11" s="346">
        <f>30*V6</f>
        <v>56.4</v>
      </c>
      <c r="W11" s="346">
        <f>30*W6</f>
        <v>39.300000000000004</v>
      </c>
      <c r="X11" s="346">
        <f>30*X6</f>
        <v>29.099999999999998</v>
      </c>
      <c r="Y11" s="346">
        <v>0</v>
      </c>
      <c r="Z11" s="347">
        <f>30*Z6</f>
        <v>3.5999999999999996</v>
      </c>
      <c r="AA11" s="347">
        <f>30*AA6</f>
        <v>2.6399999999999997</v>
      </c>
      <c r="AB11" s="347">
        <f>30*AB6</f>
        <v>2.0100000000000002</v>
      </c>
      <c r="AC11" s="348">
        <f>30*AC6</f>
        <v>39.900000000000006</v>
      </c>
      <c r="AD11" s="348">
        <f>30*AD6</f>
        <v>33.300000000000004</v>
      </c>
      <c r="AE11" s="342">
        <v>0</v>
      </c>
      <c r="AF11" s="342">
        <v>0</v>
      </c>
      <c r="AG11" s="342">
        <v>2</v>
      </c>
      <c r="AH11" s="342">
        <v>6</v>
      </c>
      <c r="AI11" s="342">
        <v>0</v>
      </c>
      <c r="AJ11" s="342">
        <v>0</v>
      </c>
      <c r="AK11" s="342">
        <v>0</v>
      </c>
      <c r="AL11" s="342">
        <v>0</v>
      </c>
      <c r="AM11" s="349">
        <f>30*AM6</f>
        <v>23.1</v>
      </c>
      <c r="AN11" s="349">
        <f>30*AN6</f>
        <v>11.1</v>
      </c>
      <c r="AO11" s="349">
        <f>30*AO6</f>
        <v>16.5</v>
      </c>
      <c r="AP11" s="349">
        <v>0</v>
      </c>
      <c r="AQ11" s="349">
        <v>0</v>
      </c>
      <c r="AR11" s="350">
        <f>30*AR6</f>
        <v>1.26</v>
      </c>
      <c r="AS11" s="350">
        <v>3</v>
      </c>
      <c r="AT11" s="361"/>
      <c r="AU11" s="176">
        <f>30*AU6</f>
        <v>0.44999999999999996</v>
      </c>
      <c r="AV11" s="350">
        <f>30*AV6</f>
        <v>0.26999999999999996</v>
      </c>
      <c r="AW11" s="350" t="s">
        <v>65</v>
      </c>
      <c r="AX11" s="350">
        <v>0</v>
      </c>
      <c r="AY11" s="350" t="s">
        <v>65</v>
      </c>
      <c r="AZ11" s="350">
        <v>0</v>
      </c>
      <c r="BA11" s="350" t="s">
        <v>65</v>
      </c>
      <c r="BB11" s="350" t="s">
        <v>65</v>
      </c>
      <c r="BC11" s="350" t="s">
        <v>65</v>
      </c>
      <c r="BD11" s="362">
        <v>1</v>
      </c>
      <c r="BE11" s="372" t="s">
        <v>169</v>
      </c>
      <c r="BF11" s="362">
        <v>1350</v>
      </c>
      <c r="BG11" s="362">
        <v>1.5</v>
      </c>
      <c r="BH11" s="373" t="s">
        <v>66</v>
      </c>
      <c r="BI11" s="362">
        <v>1260</v>
      </c>
      <c r="BJ11" s="362">
        <v>0</v>
      </c>
      <c r="BK11" s="362" t="s">
        <v>65</v>
      </c>
      <c r="BL11" s="362">
        <v>0</v>
      </c>
      <c r="BM11" s="362" t="s">
        <v>65</v>
      </c>
      <c r="BN11" s="363" t="s">
        <v>67</v>
      </c>
      <c r="BO11" s="363" t="s">
        <v>67</v>
      </c>
      <c r="BP11" s="364" t="s">
        <v>67</v>
      </c>
      <c r="BQ11" s="364" t="s">
        <v>67</v>
      </c>
      <c r="BR11" s="66">
        <v>0</v>
      </c>
      <c r="BS11" s="66">
        <v>0</v>
      </c>
      <c r="BT11" s="369" t="s">
        <v>67</v>
      </c>
      <c r="BU11" s="369" t="s">
        <v>175</v>
      </c>
      <c r="BV11" s="357"/>
    </row>
    <row r="12" spans="1:74" s="340" customFormat="1" ht="17.25" customHeight="1" thickBot="1" x14ac:dyDescent="0.3">
      <c r="A12" s="180"/>
      <c r="B12" s="351"/>
      <c r="C12" s="352"/>
      <c r="D12" s="352"/>
      <c r="E12" s="353"/>
      <c r="F12" s="353"/>
      <c r="G12" s="353"/>
      <c r="H12" s="353"/>
      <c r="I12" s="353"/>
      <c r="J12" s="353"/>
      <c r="K12" s="353"/>
      <c r="L12" s="353"/>
      <c r="M12" s="353"/>
      <c r="N12" s="353"/>
      <c r="O12" s="393">
        <v>4535.92</v>
      </c>
      <c r="P12" s="395">
        <v>3779</v>
      </c>
      <c r="Q12" s="396">
        <v>3003</v>
      </c>
      <c r="R12" s="353">
        <v>1810</v>
      </c>
      <c r="S12" s="353">
        <v>1316</v>
      </c>
      <c r="T12" s="353">
        <v>1140</v>
      </c>
      <c r="U12" s="353"/>
      <c r="V12" s="353">
        <v>1510</v>
      </c>
      <c r="W12" s="353">
        <v>1110</v>
      </c>
      <c r="X12" s="353">
        <v>840</v>
      </c>
      <c r="Y12" s="353"/>
      <c r="Z12" s="353">
        <v>110</v>
      </c>
      <c r="AA12" s="353">
        <v>60</v>
      </c>
      <c r="AB12" s="353">
        <v>10</v>
      </c>
      <c r="AC12" s="353">
        <v>1010</v>
      </c>
      <c r="AD12" s="353">
        <v>790</v>
      </c>
      <c r="AE12" s="353"/>
      <c r="AF12" s="353"/>
      <c r="AG12" s="353"/>
      <c r="AH12" s="353"/>
      <c r="AI12" s="353"/>
      <c r="AJ12" s="353"/>
      <c r="AK12" s="353"/>
      <c r="AL12" s="353"/>
      <c r="AM12" s="353">
        <v>520</v>
      </c>
      <c r="AN12" s="353">
        <v>310</v>
      </c>
      <c r="AO12" s="353">
        <v>240</v>
      </c>
      <c r="AP12" s="353"/>
      <c r="AQ12" s="353"/>
      <c r="AR12" s="353">
        <v>60</v>
      </c>
      <c r="AS12" s="353"/>
      <c r="AT12" s="365"/>
      <c r="AU12" s="353">
        <v>30</v>
      </c>
      <c r="AV12" s="353">
        <v>20</v>
      </c>
      <c r="AW12" s="353"/>
      <c r="AX12" s="353"/>
      <c r="AY12" s="353"/>
      <c r="AZ12" s="353"/>
      <c r="BA12" s="353"/>
      <c r="BB12" s="353"/>
      <c r="BC12" s="353"/>
      <c r="BD12" s="366"/>
      <c r="BE12" s="366"/>
      <c r="BF12" s="366"/>
      <c r="BG12" s="366"/>
      <c r="BH12" s="366"/>
      <c r="BI12" s="366"/>
      <c r="BJ12" s="366"/>
      <c r="BK12" s="366"/>
      <c r="BL12" s="366"/>
      <c r="BM12" s="366"/>
      <c r="BN12" s="366"/>
      <c r="BO12" s="366"/>
      <c r="BP12" s="366"/>
      <c r="BQ12" s="366"/>
      <c r="BR12" s="367"/>
      <c r="BS12" s="367"/>
      <c r="BT12" s="188"/>
      <c r="BU12" s="188"/>
    </row>
    <row r="13" spans="1:74" ht="35.25" customHeight="1" thickBot="1" x14ac:dyDescent="0.3">
      <c r="A13" s="50">
        <v>50</v>
      </c>
      <c r="B13" s="374" t="s">
        <v>121</v>
      </c>
      <c r="C13" s="341">
        <v>4</v>
      </c>
      <c r="D13" s="354">
        <v>4</v>
      </c>
      <c r="E13" s="342">
        <v>8</v>
      </c>
      <c r="F13" s="343">
        <v>4</v>
      </c>
      <c r="G13" s="343">
        <v>4</v>
      </c>
      <c r="H13" s="342">
        <v>8</v>
      </c>
      <c r="I13" s="343">
        <v>0</v>
      </c>
      <c r="J13" s="343">
        <v>0</v>
      </c>
      <c r="K13" s="342">
        <v>0</v>
      </c>
      <c r="L13" s="343">
        <v>0</v>
      </c>
      <c r="M13" s="343" t="s">
        <v>65</v>
      </c>
      <c r="N13" s="343">
        <v>0</v>
      </c>
      <c r="O13" s="394">
        <f>SUM(R13,V13,Z13,AM13,AR13,AU13)</f>
        <v>150</v>
      </c>
      <c r="P13" s="394">
        <f>SUM(S13,W13,AA13,AC13,AN13,AV13)</f>
        <v>125.03100000000001</v>
      </c>
      <c r="Q13" s="394">
        <f>SUM(T13,X13,AB13,AD13,AO13)</f>
        <v>101.78999999999999</v>
      </c>
      <c r="R13" s="345">
        <f>30*R8</f>
        <v>75.899999999999991</v>
      </c>
      <c r="S13" s="345">
        <f>30*S8</f>
        <v>50.699999999999996</v>
      </c>
      <c r="T13" s="345">
        <f>30*T8</f>
        <v>37.799999999999997</v>
      </c>
      <c r="U13" s="345">
        <v>0</v>
      </c>
      <c r="V13" s="346">
        <f>30*V8</f>
        <v>52.8</v>
      </c>
      <c r="W13" s="346">
        <f>30*W8</f>
        <v>36.9</v>
      </c>
      <c r="X13" s="346">
        <f>30*X8</f>
        <v>27.3</v>
      </c>
      <c r="Y13" s="346">
        <v>0</v>
      </c>
      <c r="Z13" s="347">
        <f>30*Z8</f>
        <v>3.5999999999999996</v>
      </c>
      <c r="AA13" s="347">
        <f>30*AA8</f>
        <v>2.4</v>
      </c>
      <c r="AB13" s="347">
        <f>30*AB8</f>
        <v>1.8900000000000001</v>
      </c>
      <c r="AC13" s="348">
        <f>30*AC8</f>
        <v>26.7</v>
      </c>
      <c r="AD13" s="348">
        <f>30*AD8</f>
        <v>22.5</v>
      </c>
      <c r="AE13" s="342">
        <v>0</v>
      </c>
      <c r="AF13" s="342">
        <v>0</v>
      </c>
      <c r="AG13" s="342">
        <v>1</v>
      </c>
      <c r="AH13" s="342">
        <v>1.6</v>
      </c>
      <c r="AI13" s="342">
        <v>0</v>
      </c>
      <c r="AJ13" s="342">
        <v>0</v>
      </c>
      <c r="AK13" s="342">
        <v>0</v>
      </c>
      <c r="AL13" s="342">
        <v>0</v>
      </c>
      <c r="AM13" s="349">
        <f>30*AM8</f>
        <v>16.5</v>
      </c>
      <c r="AN13" s="349">
        <f>30*AN8</f>
        <v>8.1000000000000014</v>
      </c>
      <c r="AO13" s="349">
        <f>30*AO8</f>
        <v>12.299999999999999</v>
      </c>
      <c r="AP13" s="349">
        <v>0</v>
      </c>
      <c r="AQ13" s="349">
        <v>0</v>
      </c>
      <c r="AR13" s="350">
        <f>30*AR8</f>
        <v>0.87</v>
      </c>
      <c r="AS13" s="350">
        <v>1</v>
      </c>
      <c r="AT13" s="361"/>
      <c r="AU13" s="350">
        <f>30*AU8</f>
        <v>0.32999999999999996</v>
      </c>
      <c r="AV13" s="350">
        <f>30*AV8</f>
        <v>0.23100000000000001</v>
      </c>
      <c r="AW13" s="350" t="s">
        <v>65</v>
      </c>
      <c r="AX13" s="350">
        <v>0</v>
      </c>
      <c r="AY13" s="350" t="s">
        <v>65</v>
      </c>
      <c r="AZ13" s="350">
        <v>0</v>
      </c>
      <c r="BA13" s="350" t="s">
        <v>65</v>
      </c>
      <c r="BB13" s="350" t="s">
        <v>65</v>
      </c>
      <c r="BC13" s="350" t="s">
        <v>67</v>
      </c>
      <c r="BD13" s="362">
        <v>1</v>
      </c>
      <c r="BE13" s="372" t="s">
        <v>170</v>
      </c>
      <c r="BF13" s="362">
        <v>15617.8</v>
      </c>
      <c r="BG13" s="368">
        <v>1.6</v>
      </c>
      <c r="BH13" s="362" t="s">
        <v>72</v>
      </c>
      <c r="BI13" s="362">
        <v>800</v>
      </c>
      <c r="BJ13" s="362">
        <v>0</v>
      </c>
      <c r="BK13" s="362" t="s">
        <v>65</v>
      </c>
      <c r="BL13" s="362">
        <v>0</v>
      </c>
      <c r="BM13" s="362" t="s">
        <v>65</v>
      </c>
      <c r="BN13" s="363" t="s">
        <v>67</v>
      </c>
      <c r="BO13" s="363" t="s">
        <v>67</v>
      </c>
      <c r="BP13" s="364" t="s">
        <v>65</v>
      </c>
      <c r="BQ13" s="364" t="s">
        <v>65</v>
      </c>
      <c r="BR13" s="66">
        <v>0</v>
      </c>
      <c r="BS13" s="66">
        <v>0</v>
      </c>
      <c r="BT13" s="370" t="s">
        <v>122</v>
      </c>
      <c r="BU13" s="371">
        <v>0</v>
      </c>
    </row>
    <row r="14" spans="1:74" ht="27.75" customHeight="1" x14ac:dyDescent="0.25">
      <c r="M14" s="1177" t="s">
        <v>121</v>
      </c>
      <c r="N14" s="1177"/>
      <c r="O14" s="114">
        <v>150</v>
      </c>
      <c r="P14" s="114">
        <v>125</v>
      </c>
      <c r="Q14" s="114">
        <v>102</v>
      </c>
    </row>
    <row r="15" spans="1:74" ht="29.25" customHeight="1" x14ac:dyDescent="0.25">
      <c r="I15">
        <v>113398</v>
      </c>
    </row>
    <row r="16" spans="1:74" x14ac:dyDescent="0.25">
      <c r="I16">
        <f>I15/30</f>
        <v>3779.9333333333334</v>
      </c>
    </row>
    <row r="17" spans="1:74" x14ac:dyDescent="0.25">
      <c r="X17" s="393"/>
    </row>
    <row r="19" spans="1:74" ht="15.75" thickBot="1" x14ac:dyDescent="0.3"/>
    <row r="20" spans="1:74" ht="30.75" customHeight="1" thickBot="1" x14ac:dyDescent="0.3">
      <c r="A20" s="50">
        <v>60</v>
      </c>
      <c r="B20" s="374" t="s">
        <v>161</v>
      </c>
      <c r="C20" s="341">
        <v>5</v>
      </c>
      <c r="D20" s="341">
        <v>5</v>
      </c>
      <c r="E20" s="342">
        <v>10</v>
      </c>
      <c r="F20" s="343">
        <v>10</v>
      </c>
      <c r="G20" s="343">
        <v>10</v>
      </c>
      <c r="H20" s="342">
        <v>10</v>
      </c>
      <c r="I20" s="343">
        <v>0</v>
      </c>
      <c r="J20" s="343">
        <v>0</v>
      </c>
      <c r="K20" s="342">
        <v>0</v>
      </c>
      <c r="L20" s="343">
        <v>0</v>
      </c>
      <c r="M20" s="343" t="s">
        <v>65</v>
      </c>
      <c r="N20" s="343">
        <v>0</v>
      </c>
      <c r="O20" s="344">
        <f>SUM(R20,V20,Z20,AM20,AR20,AU20)</f>
        <v>5.5269999999999992</v>
      </c>
      <c r="P20" s="344">
        <f>SUM(S20,W20,AA20,AC20,AN20,AV20)</f>
        <v>5.0220000000000002</v>
      </c>
      <c r="Q20" s="344">
        <f>SUM(T20,X20,AB20,AD20,AO20)</f>
        <v>4.0279999999999996</v>
      </c>
      <c r="R20" s="345">
        <v>2.38</v>
      </c>
      <c r="S20" s="345">
        <v>1.72</v>
      </c>
      <c r="T20" s="345">
        <v>1.47</v>
      </c>
      <c r="U20" s="345">
        <v>0</v>
      </c>
      <c r="V20" s="346">
        <v>2.16</v>
      </c>
      <c r="W20" s="346">
        <v>1.5</v>
      </c>
      <c r="X20" s="346">
        <v>1.26</v>
      </c>
      <c r="Y20" s="346">
        <v>0</v>
      </c>
      <c r="Z20" s="347">
        <v>0.18</v>
      </c>
      <c r="AA20" s="347">
        <v>0.1</v>
      </c>
      <c r="AB20" s="347">
        <v>3.7999999999999999E-2</v>
      </c>
      <c r="AC20" s="348">
        <v>1.34</v>
      </c>
      <c r="AD20" s="348">
        <v>0.97</v>
      </c>
      <c r="AE20" s="342">
        <v>0</v>
      </c>
      <c r="AF20" s="342">
        <v>0</v>
      </c>
      <c r="AG20" s="342">
        <v>2</v>
      </c>
      <c r="AH20" s="342">
        <v>6</v>
      </c>
      <c r="AI20" s="342">
        <v>0</v>
      </c>
      <c r="AJ20" s="342">
        <v>0</v>
      </c>
      <c r="AK20" s="342">
        <v>0</v>
      </c>
      <c r="AL20" s="342">
        <v>0</v>
      </c>
      <c r="AM20" s="349">
        <v>0.68</v>
      </c>
      <c r="AN20" s="349">
        <v>0.34</v>
      </c>
      <c r="AO20" s="349">
        <v>0.28999999999999998</v>
      </c>
      <c r="AP20" s="349">
        <v>0</v>
      </c>
      <c r="AQ20" s="349">
        <v>0</v>
      </c>
      <c r="AR20" s="350">
        <v>9.9000000000000005E-2</v>
      </c>
      <c r="AS20" s="350">
        <v>3</v>
      </c>
      <c r="AT20" s="361"/>
      <c r="AU20" s="176">
        <v>2.8000000000000001E-2</v>
      </c>
      <c r="AV20" s="350">
        <v>2.1999999999999999E-2</v>
      </c>
      <c r="AW20" s="350" t="s">
        <v>65</v>
      </c>
      <c r="AX20" s="350">
        <v>0</v>
      </c>
      <c r="AY20" s="350" t="s">
        <v>65</v>
      </c>
      <c r="AZ20" s="350">
        <v>0</v>
      </c>
      <c r="BA20" s="350" t="s">
        <v>65</v>
      </c>
      <c r="BB20" s="350" t="s">
        <v>65</v>
      </c>
      <c r="BC20" s="350" t="s">
        <v>65</v>
      </c>
      <c r="BD20" s="362">
        <v>1</v>
      </c>
      <c r="BE20" s="372" t="s">
        <v>169</v>
      </c>
      <c r="BF20" s="362">
        <v>1350</v>
      </c>
      <c r="BG20" s="362">
        <v>1.5</v>
      </c>
      <c r="BH20" s="373" t="s">
        <v>66</v>
      </c>
      <c r="BI20" s="362">
        <v>1260</v>
      </c>
      <c r="BJ20" s="362">
        <v>0</v>
      </c>
      <c r="BK20" s="362" t="s">
        <v>65</v>
      </c>
      <c r="BL20" s="362">
        <v>0</v>
      </c>
      <c r="BM20" s="362" t="s">
        <v>65</v>
      </c>
      <c r="BN20" s="363" t="s">
        <v>67</v>
      </c>
      <c r="BO20" s="363" t="s">
        <v>67</v>
      </c>
      <c r="BP20" s="364" t="s">
        <v>67</v>
      </c>
      <c r="BQ20" s="364" t="s">
        <v>67</v>
      </c>
      <c r="BR20" s="66">
        <v>0</v>
      </c>
      <c r="BS20" s="66">
        <v>0</v>
      </c>
      <c r="BT20" s="369" t="s">
        <v>67</v>
      </c>
      <c r="BU20" s="369" t="s">
        <v>175</v>
      </c>
      <c r="BV20" s="357"/>
    </row>
    <row r="21" spans="1:74" s="340" customFormat="1" ht="17.25" customHeight="1" thickBot="1" x14ac:dyDescent="0.3">
      <c r="A21" s="180"/>
      <c r="B21" s="351"/>
      <c r="C21" s="352"/>
      <c r="D21" s="352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>
        <v>4027</v>
      </c>
      <c r="P21" s="353">
        <v>3821</v>
      </c>
      <c r="Q21" s="353">
        <v>3003</v>
      </c>
      <c r="R21" s="353">
        <v>1810</v>
      </c>
      <c r="S21" s="353">
        <v>1316</v>
      </c>
      <c r="T21" s="353">
        <v>1140</v>
      </c>
      <c r="U21" s="353"/>
      <c r="V21" s="353">
        <v>1510</v>
      </c>
      <c r="W21" s="353">
        <v>1110</v>
      </c>
      <c r="X21" s="353">
        <v>840</v>
      </c>
      <c r="Y21" s="353"/>
      <c r="Z21" s="353">
        <v>110</v>
      </c>
      <c r="AA21" s="353">
        <v>60</v>
      </c>
      <c r="AB21" s="353">
        <v>10</v>
      </c>
      <c r="AC21" s="353">
        <v>1010</v>
      </c>
      <c r="AD21" s="353">
        <v>790</v>
      </c>
      <c r="AE21" s="353"/>
      <c r="AF21" s="353"/>
      <c r="AG21" s="353"/>
      <c r="AH21" s="353"/>
      <c r="AI21" s="353"/>
      <c r="AJ21" s="353"/>
      <c r="AK21" s="353"/>
      <c r="AL21" s="353"/>
      <c r="AM21" s="353">
        <v>520</v>
      </c>
      <c r="AN21" s="353">
        <v>310</v>
      </c>
      <c r="AO21" s="353">
        <v>240</v>
      </c>
      <c r="AP21" s="353"/>
      <c r="AQ21" s="353"/>
      <c r="AR21" s="353">
        <v>60</v>
      </c>
      <c r="AS21" s="353"/>
      <c r="AT21" s="365"/>
      <c r="AU21" s="353">
        <v>30</v>
      </c>
      <c r="AV21" s="353">
        <v>20</v>
      </c>
      <c r="AW21" s="353"/>
      <c r="AX21" s="353"/>
      <c r="AY21" s="353"/>
      <c r="AZ21" s="353"/>
      <c r="BA21" s="353"/>
      <c r="BB21" s="353"/>
      <c r="BC21" s="353"/>
      <c r="BD21" s="366"/>
      <c r="BE21" s="366"/>
      <c r="BF21" s="366"/>
      <c r="BG21" s="366"/>
      <c r="BH21" s="366"/>
      <c r="BI21" s="366"/>
      <c r="BJ21" s="366"/>
      <c r="BK21" s="366"/>
      <c r="BL21" s="366"/>
      <c r="BM21" s="366"/>
      <c r="BN21" s="366"/>
      <c r="BO21" s="366"/>
      <c r="BP21" s="366"/>
      <c r="BQ21" s="366"/>
      <c r="BR21" s="367"/>
      <c r="BS21" s="367"/>
      <c r="BT21" s="188"/>
      <c r="BU21" s="188"/>
    </row>
    <row r="22" spans="1:74" ht="35.25" customHeight="1" thickBot="1" x14ac:dyDescent="0.3">
      <c r="A22" s="50">
        <v>50</v>
      </c>
      <c r="B22" s="374" t="s">
        <v>121</v>
      </c>
      <c r="C22" s="341">
        <v>4</v>
      </c>
      <c r="D22" s="354">
        <v>4</v>
      </c>
      <c r="E22" s="342">
        <v>8</v>
      </c>
      <c r="F22" s="343">
        <v>4</v>
      </c>
      <c r="G22" s="343">
        <v>4</v>
      </c>
      <c r="H22" s="342">
        <v>8</v>
      </c>
      <c r="I22" s="343">
        <v>0</v>
      </c>
      <c r="J22" s="343">
        <v>0</v>
      </c>
      <c r="K22" s="342">
        <v>0</v>
      </c>
      <c r="L22" s="343">
        <v>0</v>
      </c>
      <c r="M22" s="343" t="s">
        <v>65</v>
      </c>
      <c r="N22" s="343">
        <v>0</v>
      </c>
      <c r="O22" s="344">
        <f>SUM(R22,V22,Z22,AM22,AR22,AU22)</f>
        <v>4.4400000000000004</v>
      </c>
      <c r="P22" s="344">
        <f>SUM(S22,W22,AA22,AC22,AN22,AV22)</f>
        <v>4.2119999999999997</v>
      </c>
      <c r="Q22" s="344">
        <f>SUM(T22,X22,AB22,AD22,AO22)</f>
        <v>3.3109999999999999</v>
      </c>
      <c r="R22" s="345">
        <v>1.99</v>
      </c>
      <c r="S22" s="345">
        <v>1.45</v>
      </c>
      <c r="T22" s="345">
        <v>1.25</v>
      </c>
      <c r="U22" s="345">
        <v>0</v>
      </c>
      <c r="V22" s="346">
        <v>1.66</v>
      </c>
      <c r="W22" s="346">
        <v>1.22</v>
      </c>
      <c r="X22" s="346">
        <v>0.92</v>
      </c>
      <c r="Y22" s="346">
        <v>0</v>
      </c>
      <c r="Z22" s="347">
        <v>0.12</v>
      </c>
      <c r="AA22" s="347">
        <v>7.0000000000000007E-2</v>
      </c>
      <c r="AB22" s="347">
        <v>1.0999999999999999E-2</v>
      </c>
      <c r="AC22" s="348">
        <v>1.1100000000000001</v>
      </c>
      <c r="AD22" s="348">
        <v>0.87</v>
      </c>
      <c r="AE22" s="342">
        <v>0</v>
      </c>
      <c r="AF22" s="342">
        <v>0</v>
      </c>
      <c r="AG22" s="342">
        <v>1</v>
      </c>
      <c r="AH22" s="342">
        <v>1.6</v>
      </c>
      <c r="AI22" s="342">
        <v>0</v>
      </c>
      <c r="AJ22" s="342">
        <v>0</v>
      </c>
      <c r="AK22" s="342">
        <v>0</v>
      </c>
      <c r="AL22" s="342">
        <v>0</v>
      </c>
      <c r="AM22" s="349">
        <v>0.56999999999999995</v>
      </c>
      <c r="AN22" s="349">
        <v>0.34</v>
      </c>
      <c r="AO22" s="349">
        <v>0.26</v>
      </c>
      <c r="AP22" s="349">
        <v>0</v>
      </c>
      <c r="AQ22" s="349">
        <v>0</v>
      </c>
      <c r="AR22" s="350">
        <v>6.7000000000000004E-2</v>
      </c>
      <c r="AS22" s="350">
        <v>1</v>
      </c>
      <c r="AT22" s="361"/>
      <c r="AU22" s="350">
        <v>3.3000000000000002E-2</v>
      </c>
      <c r="AV22" s="350">
        <v>2.1999999999999999E-2</v>
      </c>
      <c r="AW22" s="350" t="s">
        <v>65</v>
      </c>
      <c r="AX22" s="350">
        <v>0</v>
      </c>
      <c r="AY22" s="350" t="s">
        <v>65</v>
      </c>
      <c r="AZ22" s="350">
        <v>0</v>
      </c>
      <c r="BA22" s="350" t="s">
        <v>65</v>
      </c>
      <c r="BB22" s="350" t="s">
        <v>65</v>
      </c>
      <c r="BC22" s="350" t="s">
        <v>67</v>
      </c>
      <c r="BD22" s="362">
        <v>1</v>
      </c>
      <c r="BE22" s="372" t="s">
        <v>170</v>
      </c>
      <c r="BF22" s="362">
        <v>15617.8</v>
      </c>
      <c r="BG22" s="368">
        <v>1.6</v>
      </c>
      <c r="BH22" s="362" t="s">
        <v>72</v>
      </c>
      <c r="BI22" s="362">
        <v>800</v>
      </c>
      <c r="BJ22" s="362">
        <v>0</v>
      </c>
      <c r="BK22" s="362" t="s">
        <v>65</v>
      </c>
      <c r="BL22" s="362">
        <v>0</v>
      </c>
      <c r="BM22" s="362" t="s">
        <v>65</v>
      </c>
      <c r="BN22" s="363" t="s">
        <v>67</v>
      </c>
      <c r="BO22" s="363" t="s">
        <v>67</v>
      </c>
      <c r="BP22" s="364" t="s">
        <v>65</v>
      </c>
      <c r="BQ22" s="364" t="s">
        <v>65</v>
      </c>
      <c r="BR22" s="66">
        <v>0</v>
      </c>
      <c r="BS22" s="66">
        <v>0</v>
      </c>
      <c r="BT22" s="370" t="s">
        <v>122</v>
      </c>
      <c r="BU22" s="371">
        <v>0</v>
      </c>
    </row>
    <row r="26" spans="1:74" x14ac:dyDescent="0.25">
      <c r="S26" s="195"/>
    </row>
    <row r="29" spans="1:74" x14ac:dyDescent="0.25">
      <c r="K29" t="s">
        <v>162</v>
      </c>
      <c r="L29">
        <v>4535.92</v>
      </c>
    </row>
    <row r="30" spans="1:74" x14ac:dyDescent="0.25">
      <c r="J30" s="1325" t="s">
        <v>9</v>
      </c>
      <c r="K30" s="1325"/>
      <c r="L30" s="114">
        <v>45</v>
      </c>
    </row>
    <row r="31" spans="1:74" x14ac:dyDescent="0.25">
      <c r="J31" s="1325" t="s">
        <v>10</v>
      </c>
      <c r="K31" s="1325"/>
      <c r="L31" s="114">
        <v>35</v>
      </c>
    </row>
    <row r="32" spans="1:74" x14ac:dyDescent="0.25">
      <c r="J32" s="1325" t="s">
        <v>11</v>
      </c>
      <c r="K32" s="1325"/>
      <c r="L32" s="114">
        <v>3</v>
      </c>
    </row>
    <row r="33" spans="10:12" x14ac:dyDescent="0.25">
      <c r="J33" s="1325" t="s">
        <v>12</v>
      </c>
      <c r="K33" s="1325"/>
      <c r="L33" s="114">
        <v>5</v>
      </c>
    </row>
    <row r="34" spans="10:12" x14ac:dyDescent="0.25">
      <c r="J34" s="1325" t="s">
        <v>99</v>
      </c>
      <c r="K34" s="1325"/>
      <c r="L34" s="114">
        <v>10</v>
      </c>
    </row>
    <row r="35" spans="10:12" x14ac:dyDescent="0.25">
      <c r="J35" s="1325" t="s">
        <v>100</v>
      </c>
      <c r="K35" s="1325"/>
      <c r="L35" s="114">
        <v>1</v>
      </c>
    </row>
    <row r="36" spans="10:12" x14ac:dyDescent="0.25">
      <c r="J36" s="1325" t="s">
        <v>101</v>
      </c>
      <c r="K36" s="1325"/>
      <c r="L36" s="114">
        <v>1</v>
      </c>
    </row>
    <row r="37" spans="10:12" x14ac:dyDescent="0.25">
      <c r="L37" s="98">
        <f>SUM(L30:L36)</f>
        <v>100</v>
      </c>
    </row>
  </sheetData>
  <mergeCells count="31">
    <mergeCell ref="J34:K34"/>
    <mergeCell ref="J35:K35"/>
    <mergeCell ref="J36:K36"/>
    <mergeCell ref="M9:N9"/>
    <mergeCell ref="M14:N14"/>
    <mergeCell ref="J30:K30"/>
    <mergeCell ref="J31:K31"/>
    <mergeCell ref="J32:K32"/>
    <mergeCell ref="J33:K33"/>
    <mergeCell ref="BN1:BO1"/>
    <mergeCell ref="BP1:BQ1"/>
    <mergeCell ref="BR1:BS1"/>
    <mergeCell ref="BT1:BU1"/>
    <mergeCell ref="AC1:AD1"/>
    <mergeCell ref="AE1:AL1"/>
    <mergeCell ref="AM1:AQ1"/>
    <mergeCell ref="AR1:AT1"/>
    <mergeCell ref="AU1:BC1"/>
    <mergeCell ref="BD1:BM1"/>
    <mergeCell ref="Z1:AB1"/>
    <mergeCell ref="A1:A3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0"/>
  <sheetViews>
    <sheetView topLeftCell="A5" workbookViewId="0">
      <selection activeCell="A5" sqref="A5"/>
    </sheetView>
  </sheetViews>
  <sheetFormatPr defaultRowHeight="15" x14ac:dyDescent="0.25"/>
  <cols>
    <col min="2" max="2" width="23.42578125" customWidth="1"/>
  </cols>
  <sheetData>
    <row r="1" spans="1:74" ht="75" customHeight="1" x14ac:dyDescent="0.25">
      <c r="A1" s="1265" t="s">
        <v>0</v>
      </c>
      <c r="B1" s="1266" t="s">
        <v>1</v>
      </c>
      <c r="C1" s="1207" t="s">
        <v>2</v>
      </c>
      <c r="D1" s="1207"/>
      <c r="E1" s="1207"/>
      <c r="F1" s="1207" t="s">
        <v>3</v>
      </c>
      <c r="G1" s="1207"/>
      <c r="H1" s="1207"/>
      <c r="I1" s="1207" t="s">
        <v>4</v>
      </c>
      <c r="J1" s="1207"/>
      <c r="K1" s="1207"/>
      <c r="L1" s="1207" t="s">
        <v>5</v>
      </c>
      <c r="M1" s="1207" t="s">
        <v>6</v>
      </c>
      <c r="N1" s="1207" t="s">
        <v>7</v>
      </c>
      <c r="O1" s="1213" t="s">
        <v>8</v>
      </c>
      <c r="P1" s="1213"/>
      <c r="Q1" s="1213"/>
      <c r="R1" s="1214" t="s">
        <v>9</v>
      </c>
      <c r="S1" s="1214"/>
      <c r="T1" s="1214"/>
      <c r="U1" s="1214"/>
      <c r="V1" s="1215" t="s">
        <v>10</v>
      </c>
      <c r="W1" s="1215"/>
      <c r="X1" s="1215"/>
      <c r="Y1" s="1215"/>
      <c r="Z1" s="1206" t="s">
        <v>11</v>
      </c>
      <c r="AA1" s="1206"/>
      <c r="AB1" s="1206"/>
      <c r="AC1" s="1210" t="s">
        <v>12</v>
      </c>
      <c r="AD1" s="1210"/>
      <c r="AE1" s="1277" t="s">
        <v>13</v>
      </c>
      <c r="AF1" s="1277"/>
      <c r="AG1" s="1277"/>
      <c r="AH1" s="1277"/>
      <c r="AI1" s="1277"/>
      <c r="AJ1" s="1277"/>
      <c r="AK1" s="1277"/>
      <c r="AL1" s="1277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212" t="s">
        <v>14</v>
      </c>
      <c r="BE1" s="1212"/>
      <c r="BF1" s="1212"/>
      <c r="BG1" s="1212"/>
      <c r="BH1" s="1212"/>
      <c r="BI1" s="1212"/>
      <c r="BJ1" s="1212"/>
      <c r="BK1" s="1212"/>
      <c r="BL1" s="1212"/>
      <c r="BM1" s="1212"/>
      <c r="BN1" s="1208" t="s">
        <v>15</v>
      </c>
      <c r="BO1" s="1208"/>
      <c r="BP1" s="1209" t="s">
        <v>16</v>
      </c>
      <c r="BQ1" s="1209"/>
      <c r="BR1" s="1305" t="s">
        <v>130</v>
      </c>
      <c r="BS1" s="1306"/>
      <c r="BT1" s="1323" t="s">
        <v>171</v>
      </c>
      <c r="BU1" s="1324"/>
    </row>
    <row r="2" spans="1:74" ht="225" x14ac:dyDescent="0.25">
      <c r="A2" s="1265"/>
      <c r="B2" s="1266"/>
      <c r="C2" s="1207"/>
      <c r="D2" s="1207"/>
      <c r="E2" s="1207"/>
      <c r="F2" s="1207"/>
      <c r="G2" s="1207"/>
      <c r="H2" s="1207"/>
      <c r="I2" s="1207"/>
      <c r="J2" s="1207"/>
      <c r="K2" s="1207"/>
      <c r="L2" s="1207"/>
      <c r="M2" s="1207"/>
      <c r="N2" s="1207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388" t="s">
        <v>23</v>
      </c>
      <c r="V2" s="42" t="s">
        <v>24</v>
      </c>
      <c r="W2" s="217" t="s">
        <v>25</v>
      </c>
      <c r="X2" s="218" t="s">
        <v>26</v>
      </c>
      <c r="Y2" s="389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386" t="s">
        <v>105</v>
      </c>
      <c r="AQ2" s="386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387" t="s">
        <v>14</v>
      </c>
      <c r="BE2" s="387" t="s">
        <v>167</v>
      </c>
      <c r="BF2" s="387" t="s">
        <v>39</v>
      </c>
      <c r="BG2" s="387" t="s">
        <v>40</v>
      </c>
      <c r="BH2" s="387" t="s">
        <v>41</v>
      </c>
      <c r="BI2" s="387" t="s">
        <v>42</v>
      </c>
      <c r="BJ2" s="387" t="s">
        <v>43</v>
      </c>
      <c r="BK2" s="387" t="s">
        <v>44</v>
      </c>
      <c r="BL2" s="387" t="s">
        <v>45</v>
      </c>
      <c r="BM2" s="387" t="s">
        <v>46</v>
      </c>
      <c r="BN2" s="385" t="s">
        <v>47</v>
      </c>
      <c r="BO2" s="385" t="s">
        <v>48</v>
      </c>
      <c r="BP2" s="386" t="s">
        <v>49</v>
      </c>
      <c r="BQ2" s="386" t="s">
        <v>50</v>
      </c>
      <c r="BR2" s="385" t="s">
        <v>131</v>
      </c>
      <c r="BS2" s="385" t="s">
        <v>132</v>
      </c>
      <c r="BT2" s="359" t="s">
        <v>172</v>
      </c>
      <c r="BU2" s="359" t="s">
        <v>173</v>
      </c>
    </row>
    <row r="3" spans="1:74" ht="75" x14ac:dyDescent="0.25">
      <c r="A3" s="1265"/>
      <c r="B3" s="1266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29" t="s">
        <v>62</v>
      </c>
      <c r="BM3" s="107" t="s">
        <v>127</v>
      </c>
      <c r="BN3" s="107" t="s">
        <v>120</v>
      </c>
      <c r="BO3" s="107" t="s">
        <v>120</v>
      </c>
      <c r="BP3" s="107" t="s">
        <v>120</v>
      </c>
      <c r="BQ3" s="107" t="s">
        <v>120</v>
      </c>
      <c r="BR3" s="107" t="s">
        <v>54</v>
      </c>
      <c r="BS3" s="107" t="s">
        <v>54</v>
      </c>
      <c r="BT3" s="360" t="s">
        <v>120</v>
      </c>
      <c r="BU3" s="360" t="s">
        <v>174</v>
      </c>
    </row>
    <row r="4" spans="1:74" ht="15.75" x14ac:dyDescent="0.25">
      <c r="A4" s="391">
        <v>1</v>
      </c>
      <c r="B4" s="392">
        <v>2</v>
      </c>
      <c r="C4" s="29">
        <v>3</v>
      </c>
      <c r="D4" s="391">
        <v>4</v>
      </c>
      <c r="E4" s="392">
        <v>5</v>
      </c>
      <c r="F4" s="29">
        <v>6</v>
      </c>
      <c r="G4" s="391">
        <v>7</v>
      </c>
      <c r="H4" s="392">
        <v>8</v>
      </c>
      <c r="I4" s="29">
        <v>9</v>
      </c>
      <c r="J4" s="391">
        <v>10</v>
      </c>
      <c r="K4" s="392">
        <v>11</v>
      </c>
      <c r="L4" s="29">
        <v>12</v>
      </c>
      <c r="M4" s="391">
        <v>13</v>
      </c>
      <c r="N4" s="392">
        <v>14</v>
      </c>
      <c r="O4" s="29">
        <v>15</v>
      </c>
      <c r="P4" s="391">
        <v>16</v>
      </c>
      <c r="Q4" s="392">
        <v>17</v>
      </c>
      <c r="R4" s="29">
        <v>18</v>
      </c>
      <c r="S4" s="391">
        <v>19</v>
      </c>
      <c r="T4" s="392">
        <v>20</v>
      </c>
      <c r="U4" s="29">
        <v>21</v>
      </c>
      <c r="V4" s="391">
        <v>22</v>
      </c>
      <c r="W4" s="392">
        <v>23</v>
      </c>
      <c r="X4" s="29">
        <v>24</v>
      </c>
      <c r="Y4" s="391">
        <v>25</v>
      </c>
      <c r="Z4" s="392">
        <v>26</v>
      </c>
      <c r="AA4" s="29">
        <v>27</v>
      </c>
      <c r="AB4" s="391">
        <v>28</v>
      </c>
      <c r="AC4" s="392">
        <v>29</v>
      </c>
      <c r="AD4" s="29">
        <v>30</v>
      </c>
      <c r="AE4" s="391">
        <v>31</v>
      </c>
      <c r="AF4" s="392">
        <v>32</v>
      </c>
      <c r="AG4" s="29">
        <v>33</v>
      </c>
      <c r="AH4" s="391">
        <v>34</v>
      </c>
      <c r="AI4" s="392">
        <v>35</v>
      </c>
      <c r="AJ4" s="29">
        <v>36</v>
      </c>
      <c r="AK4" s="391">
        <v>37</v>
      </c>
      <c r="AL4" s="392">
        <v>38</v>
      </c>
      <c r="AM4" s="29">
        <v>39</v>
      </c>
      <c r="AN4" s="391">
        <v>40</v>
      </c>
      <c r="AO4" s="392">
        <v>41</v>
      </c>
      <c r="AP4" s="29">
        <v>42</v>
      </c>
      <c r="AQ4" s="391">
        <v>43</v>
      </c>
      <c r="AR4" s="392">
        <v>44</v>
      </c>
      <c r="AS4" s="29">
        <v>45</v>
      </c>
      <c r="AT4" s="391">
        <v>46</v>
      </c>
      <c r="AU4" s="392">
        <v>47</v>
      </c>
      <c r="AV4" s="29">
        <v>48</v>
      </c>
      <c r="AW4" s="391">
        <v>49</v>
      </c>
      <c r="AX4" s="392">
        <v>50</v>
      </c>
      <c r="AY4" s="29">
        <v>51</v>
      </c>
      <c r="AZ4" s="391">
        <v>52</v>
      </c>
      <c r="BA4" s="392">
        <v>53</v>
      </c>
      <c r="BB4" s="29">
        <v>54</v>
      </c>
      <c r="BC4" s="391">
        <v>55</v>
      </c>
      <c r="BD4" s="392">
        <v>56</v>
      </c>
      <c r="BE4" s="29">
        <v>57</v>
      </c>
      <c r="BF4" s="391">
        <v>58</v>
      </c>
      <c r="BG4" s="392">
        <v>59</v>
      </c>
      <c r="BH4" s="29">
        <v>60</v>
      </c>
      <c r="BI4" s="391">
        <v>61</v>
      </c>
      <c r="BJ4" s="392">
        <v>62</v>
      </c>
      <c r="BK4" s="29">
        <v>63</v>
      </c>
      <c r="BL4" s="391">
        <v>64</v>
      </c>
      <c r="BM4" s="392">
        <v>65</v>
      </c>
      <c r="BN4" s="29">
        <v>66</v>
      </c>
      <c r="BO4" s="391">
        <v>67</v>
      </c>
      <c r="BP4" s="392">
        <v>68</v>
      </c>
      <c r="BQ4" s="29">
        <v>69</v>
      </c>
      <c r="BR4" s="391">
        <v>70</v>
      </c>
      <c r="BS4" s="392">
        <v>71</v>
      </c>
      <c r="BT4" s="29">
        <v>72</v>
      </c>
      <c r="BU4" s="391">
        <v>73</v>
      </c>
    </row>
    <row r="5" spans="1:74" ht="16.5" thickBot="1" x14ac:dyDescent="0.3">
      <c r="A5" s="390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5014</v>
      </c>
      <c r="P5" s="390">
        <v>4555</v>
      </c>
      <c r="Q5" s="390">
        <v>3654</v>
      </c>
      <c r="R5" s="390">
        <v>2100</v>
      </c>
      <c r="S5" s="390">
        <v>1500</v>
      </c>
      <c r="T5" s="390">
        <v>1200</v>
      </c>
      <c r="U5" s="390"/>
      <c r="V5" s="390">
        <v>1600</v>
      </c>
      <c r="W5" s="390">
        <v>1000</v>
      </c>
      <c r="X5" s="390">
        <v>680</v>
      </c>
      <c r="Y5" s="390"/>
      <c r="Z5" s="390">
        <v>117</v>
      </c>
      <c r="AA5" s="390">
        <v>60</v>
      </c>
      <c r="AB5" s="390">
        <v>24</v>
      </c>
      <c r="AC5" s="390">
        <v>1200</v>
      </c>
      <c r="AD5" s="390">
        <v>860</v>
      </c>
      <c r="AE5" s="339"/>
      <c r="AF5" s="390"/>
      <c r="AG5" s="339"/>
      <c r="AH5" s="390"/>
      <c r="AI5" s="339"/>
      <c r="AJ5" s="390"/>
      <c r="AK5" s="339"/>
      <c r="AL5" s="390"/>
      <c r="AM5" s="390">
        <v>600</v>
      </c>
      <c r="AN5" s="390">
        <v>300</v>
      </c>
      <c r="AO5" s="390">
        <v>281</v>
      </c>
      <c r="AP5" s="339"/>
      <c r="AQ5" s="390"/>
      <c r="AR5" s="390">
        <v>43</v>
      </c>
      <c r="AS5" s="339"/>
      <c r="AT5" s="390"/>
      <c r="AU5" s="390">
        <v>13</v>
      </c>
      <c r="AV5" s="390">
        <v>4</v>
      </c>
      <c r="AW5" s="390"/>
      <c r="AX5" s="390"/>
      <c r="AY5" s="390"/>
      <c r="AZ5" s="390"/>
      <c r="BA5" s="390"/>
      <c r="BB5" s="390"/>
      <c r="BC5" s="390"/>
      <c r="BD5" s="339"/>
      <c r="BE5" s="339"/>
      <c r="BF5" s="339"/>
      <c r="BG5" s="339"/>
      <c r="BH5" s="339"/>
      <c r="BI5" s="390"/>
      <c r="BJ5" s="339"/>
      <c r="BK5" s="390"/>
      <c r="BL5" s="339"/>
      <c r="BM5" s="390"/>
      <c r="BN5" s="390"/>
      <c r="BO5" s="390"/>
      <c r="BP5" s="390"/>
      <c r="BQ5" s="390"/>
      <c r="BR5" s="390"/>
      <c r="BS5" s="390"/>
      <c r="BT5" s="188"/>
      <c r="BU5" s="188"/>
    </row>
    <row r="6" spans="1:74" ht="30.75" customHeight="1" thickBot="1" x14ac:dyDescent="0.3">
      <c r="A6" s="50">
        <v>60</v>
      </c>
      <c r="B6" s="384" t="s">
        <v>161</v>
      </c>
      <c r="C6" s="341">
        <v>5</v>
      </c>
      <c r="D6" s="341">
        <v>5</v>
      </c>
      <c r="E6" s="342">
        <v>10</v>
      </c>
      <c r="F6" s="343">
        <v>10</v>
      </c>
      <c r="G6" s="343">
        <v>10</v>
      </c>
      <c r="H6" s="342">
        <v>10</v>
      </c>
      <c r="I6" s="343">
        <v>0</v>
      </c>
      <c r="J6" s="343">
        <v>0</v>
      </c>
      <c r="K6" s="342">
        <v>0</v>
      </c>
      <c r="L6" s="343">
        <v>0</v>
      </c>
      <c r="M6" s="343" t="s">
        <v>65</v>
      </c>
      <c r="N6" s="343">
        <v>0</v>
      </c>
      <c r="O6" s="344">
        <f>SUM(R6,V6,Z6,AM6,AR6,AU6)</f>
        <v>5.2999999999999989</v>
      </c>
      <c r="P6" s="344">
        <f>SUM(S6,W6,AA6,AC6,AN6,AV6)</f>
        <v>4.8329999999999993</v>
      </c>
      <c r="Q6" s="344">
        <f>SUM(T6,X6,AB6,AD6,AO6)</f>
        <v>3.9390000000000001</v>
      </c>
      <c r="R6" s="345">
        <v>2.41</v>
      </c>
      <c r="S6" s="345">
        <v>1.68</v>
      </c>
      <c r="T6" s="345">
        <v>1.49</v>
      </c>
      <c r="U6" s="345">
        <v>0</v>
      </c>
      <c r="V6" s="346">
        <v>1.89</v>
      </c>
      <c r="W6" s="346">
        <v>1.32</v>
      </c>
      <c r="X6" s="346">
        <v>0.95</v>
      </c>
      <c r="Y6" s="346">
        <v>0</v>
      </c>
      <c r="Z6" s="347">
        <v>0.14000000000000001</v>
      </c>
      <c r="AA6" s="347">
        <v>7.0000000000000007E-2</v>
      </c>
      <c r="AB6" s="347">
        <v>3.9E-2</v>
      </c>
      <c r="AC6" s="348">
        <v>1.38</v>
      </c>
      <c r="AD6" s="348">
        <v>0.99</v>
      </c>
      <c r="AE6" s="342">
        <v>0</v>
      </c>
      <c r="AF6" s="342">
        <v>0</v>
      </c>
      <c r="AG6" s="342">
        <v>2</v>
      </c>
      <c r="AH6" s="342">
        <v>6</v>
      </c>
      <c r="AI6" s="342">
        <v>0</v>
      </c>
      <c r="AJ6" s="342">
        <v>0</v>
      </c>
      <c r="AK6" s="342">
        <v>0</v>
      </c>
      <c r="AL6" s="342">
        <v>0</v>
      </c>
      <c r="AM6" s="349">
        <v>0.79</v>
      </c>
      <c r="AN6" s="349">
        <v>0.38</v>
      </c>
      <c r="AO6" s="349">
        <v>0.47</v>
      </c>
      <c r="AP6" s="349">
        <v>0</v>
      </c>
      <c r="AQ6" s="349">
        <v>0</v>
      </c>
      <c r="AR6" s="350">
        <v>5.1999999999999998E-2</v>
      </c>
      <c r="AS6" s="350">
        <v>3</v>
      </c>
      <c r="AT6" s="361"/>
      <c r="AU6" s="176">
        <v>1.7999999999999999E-2</v>
      </c>
      <c r="AV6" s="350">
        <v>3.0000000000000001E-3</v>
      </c>
      <c r="AW6" s="350" t="s">
        <v>65</v>
      </c>
      <c r="AX6" s="350">
        <v>0</v>
      </c>
      <c r="AY6" s="350" t="s">
        <v>65</v>
      </c>
      <c r="AZ6" s="350">
        <v>0</v>
      </c>
      <c r="BA6" s="350" t="s">
        <v>65</v>
      </c>
      <c r="BB6" s="350" t="s">
        <v>65</v>
      </c>
      <c r="BC6" s="350" t="s">
        <v>65</v>
      </c>
      <c r="BD6" s="362">
        <v>1</v>
      </c>
      <c r="BE6" s="372" t="s">
        <v>169</v>
      </c>
      <c r="BF6" s="362">
        <v>1350</v>
      </c>
      <c r="BG6" s="362">
        <v>1.5</v>
      </c>
      <c r="BH6" s="373" t="s">
        <v>66</v>
      </c>
      <c r="BI6" s="362">
        <v>1260</v>
      </c>
      <c r="BJ6" s="362">
        <v>0</v>
      </c>
      <c r="BK6" s="362" t="s">
        <v>65</v>
      </c>
      <c r="BL6" s="362">
        <v>0</v>
      </c>
      <c r="BM6" s="362" t="s">
        <v>65</v>
      </c>
      <c r="BN6" s="363" t="s">
        <v>67</v>
      </c>
      <c r="BO6" s="363" t="s">
        <v>67</v>
      </c>
      <c r="BP6" s="364" t="s">
        <v>67</v>
      </c>
      <c r="BQ6" s="364" t="s">
        <v>67</v>
      </c>
      <c r="BR6" s="66">
        <v>0</v>
      </c>
      <c r="BS6" s="66">
        <v>0</v>
      </c>
      <c r="BT6" s="369" t="s">
        <v>67</v>
      </c>
      <c r="BU6" s="369" t="s">
        <v>175</v>
      </c>
      <c r="BV6" s="357"/>
    </row>
    <row r="7" spans="1:74" s="340" customFormat="1" ht="17.25" customHeight="1" thickBot="1" x14ac:dyDescent="0.3">
      <c r="A7" s="180"/>
      <c r="B7" s="351"/>
      <c r="C7" s="352"/>
      <c r="D7" s="352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>
        <v>4027</v>
      </c>
      <c r="P7" s="353">
        <v>3821</v>
      </c>
      <c r="Q7" s="353">
        <v>3003</v>
      </c>
      <c r="R7" s="353">
        <v>1900</v>
      </c>
      <c r="S7" s="353">
        <v>1100</v>
      </c>
      <c r="T7" s="353">
        <v>800</v>
      </c>
      <c r="U7" s="353"/>
      <c r="V7" s="353">
        <v>1510</v>
      </c>
      <c r="W7" s="353">
        <v>950</v>
      </c>
      <c r="X7" s="353">
        <v>840</v>
      </c>
      <c r="Y7" s="353"/>
      <c r="Z7" s="353">
        <v>110</v>
      </c>
      <c r="AA7" s="353">
        <v>60</v>
      </c>
      <c r="AB7" s="353">
        <v>10</v>
      </c>
      <c r="AC7" s="353">
        <v>1010</v>
      </c>
      <c r="AD7" s="353">
        <v>790</v>
      </c>
      <c r="AE7" s="353"/>
      <c r="AF7" s="353"/>
      <c r="AG7" s="353"/>
      <c r="AH7" s="353"/>
      <c r="AI7" s="353"/>
      <c r="AJ7" s="353"/>
      <c r="AK7" s="353"/>
      <c r="AL7" s="353"/>
      <c r="AM7" s="353">
        <v>520</v>
      </c>
      <c r="AN7" s="353">
        <v>310</v>
      </c>
      <c r="AO7" s="353">
        <v>240</v>
      </c>
      <c r="AP7" s="353"/>
      <c r="AQ7" s="353"/>
      <c r="AR7" s="353">
        <v>60</v>
      </c>
      <c r="AS7" s="353"/>
      <c r="AT7" s="365"/>
      <c r="AU7" s="353">
        <v>30</v>
      </c>
      <c r="AV7" s="353">
        <v>20</v>
      </c>
      <c r="AW7" s="353"/>
      <c r="AX7" s="353"/>
      <c r="AY7" s="353"/>
      <c r="AZ7" s="353"/>
      <c r="BA7" s="353"/>
      <c r="BB7" s="353"/>
      <c r="BC7" s="353"/>
      <c r="BD7" s="366"/>
      <c r="BE7" s="366"/>
      <c r="BF7" s="366"/>
      <c r="BG7" s="366"/>
      <c r="BH7" s="366"/>
      <c r="BI7" s="366"/>
      <c r="BJ7" s="366"/>
      <c r="BK7" s="366"/>
      <c r="BL7" s="366"/>
      <c r="BM7" s="366"/>
      <c r="BN7" s="366"/>
      <c r="BO7" s="366"/>
      <c r="BP7" s="366"/>
      <c r="BQ7" s="366"/>
      <c r="BR7" s="367"/>
      <c r="BS7" s="367"/>
      <c r="BT7" s="188"/>
      <c r="BU7" s="188"/>
    </row>
    <row r="8" spans="1:74" ht="35.25" customHeight="1" thickBot="1" x14ac:dyDescent="0.3">
      <c r="A8" s="50">
        <v>50</v>
      </c>
      <c r="B8" s="384" t="s">
        <v>121</v>
      </c>
      <c r="C8" s="341">
        <v>4</v>
      </c>
      <c r="D8" s="354">
        <v>4</v>
      </c>
      <c r="E8" s="342">
        <v>8</v>
      </c>
      <c r="F8" s="343">
        <v>4</v>
      </c>
      <c r="G8" s="343">
        <v>4</v>
      </c>
      <c r="H8" s="342">
        <v>8</v>
      </c>
      <c r="I8" s="343">
        <v>0</v>
      </c>
      <c r="J8" s="343">
        <v>0</v>
      </c>
      <c r="K8" s="342">
        <v>0</v>
      </c>
      <c r="L8" s="343">
        <v>0</v>
      </c>
      <c r="M8" s="343" t="s">
        <v>65</v>
      </c>
      <c r="N8" s="343">
        <v>0</v>
      </c>
      <c r="O8" s="344">
        <f>SUM(R8,V8,Z8,AM8,AR8,AU8)</f>
        <v>4.8360000000000003</v>
      </c>
      <c r="P8" s="344">
        <f>SUM(S8,W8,AA8,AC8,AN8,AV8)</f>
        <v>4.0369999999999999</v>
      </c>
      <c r="Q8" s="344">
        <f>SUM(T8,X8,AB8,AD8,AO8)</f>
        <v>3.3009999999999997</v>
      </c>
      <c r="R8" s="345">
        <v>2.19</v>
      </c>
      <c r="S8" s="345">
        <v>1.32</v>
      </c>
      <c r="T8" s="345">
        <v>0.98</v>
      </c>
      <c r="U8" s="345">
        <v>0</v>
      </c>
      <c r="V8" s="346">
        <v>1.77</v>
      </c>
      <c r="W8" s="346">
        <v>1.2</v>
      </c>
      <c r="X8" s="346">
        <v>0.99</v>
      </c>
      <c r="Y8" s="346">
        <v>0</v>
      </c>
      <c r="Z8" s="347">
        <v>0.15</v>
      </c>
      <c r="AA8" s="347">
        <v>0.05</v>
      </c>
      <c r="AB8" s="347">
        <v>5.0999999999999997E-2</v>
      </c>
      <c r="AC8" s="348">
        <v>1.1100000000000001</v>
      </c>
      <c r="AD8" s="348">
        <v>0.92</v>
      </c>
      <c r="AE8" s="342">
        <v>0</v>
      </c>
      <c r="AF8" s="342">
        <v>0</v>
      </c>
      <c r="AG8" s="342">
        <v>1</v>
      </c>
      <c r="AH8" s="342">
        <v>1.6</v>
      </c>
      <c r="AI8" s="342">
        <v>0</v>
      </c>
      <c r="AJ8" s="342">
        <v>0</v>
      </c>
      <c r="AK8" s="342">
        <v>0</v>
      </c>
      <c r="AL8" s="342">
        <v>0</v>
      </c>
      <c r="AM8" s="349">
        <v>0.62</v>
      </c>
      <c r="AN8" s="349">
        <v>0.33</v>
      </c>
      <c r="AO8" s="349">
        <v>0.36</v>
      </c>
      <c r="AP8" s="349">
        <v>0</v>
      </c>
      <c r="AQ8" s="349">
        <v>0</v>
      </c>
      <c r="AR8" s="350">
        <v>7.0999999999999994E-2</v>
      </c>
      <c r="AS8" s="350">
        <v>1</v>
      </c>
      <c r="AT8" s="361"/>
      <c r="AU8" s="350">
        <v>3.5000000000000003E-2</v>
      </c>
      <c r="AV8" s="350">
        <v>2.7E-2</v>
      </c>
      <c r="AW8" s="350" t="s">
        <v>65</v>
      </c>
      <c r="AX8" s="350">
        <v>0</v>
      </c>
      <c r="AY8" s="350" t="s">
        <v>65</v>
      </c>
      <c r="AZ8" s="350">
        <v>0</v>
      </c>
      <c r="BA8" s="350" t="s">
        <v>65</v>
      </c>
      <c r="BB8" s="350" t="s">
        <v>65</v>
      </c>
      <c r="BC8" s="350" t="s">
        <v>67</v>
      </c>
      <c r="BD8" s="362">
        <v>1</v>
      </c>
      <c r="BE8" s="372" t="s">
        <v>170</v>
      </c>
      <c r="BF8" s="362">
        <v>15617.8</v>
      </c>
      <c r="BG8" s="368">
        <v>1.6</v>
      </c>
      <c r="BH8" s="362" t="s">
        <v>72</v>
      </c>
      <c r="BI8" s="362">
        <v>800</v>
      </c>
      <c r="BJ8" s="362">
        <v>0</v>
      </c>
      <c r="BK8" s="362" t="s">
        <v>65</v>
      </c>
      <c r="BL8" s="362">
        <v>0</v>
      </c>
      <c r="BM8" s="362" t="s">
        <v>65</v>
      </c>
      <c r="BN8" s="363" t="s">
        <v>67</v>
      </c>
      <c r="BO8" s="363" t="s">
        <v>67</v>
      </c>
      <c r="BP8" s="364" t="s">
        <v>65</v>
      </c>
      <c r="BQ8" s="364" t="s">
        <v>65</v>
      </c>
      <c r="BR8" s="66">
        <v>0</v>
      </c>
      <c r="BS8" s="66">
        <v>0</v>
      </c>
      <c r="BT8" s="370" t="s">
        <v>122</v>
      </c>
      <c r="BU8" s="371">
        <v>0</v>
      </c>
    </row>
    <row r="9" spans="1:74" ht="87" customHeight="1" x14ac:dyDescent="0.25">
      <c r="O9" s="114">
        <v>159</v>
      </c>
      <c r="P9" s="114">
        <v>145</v>
      </c>
      <c r="Q9" s="114">
        <v>118</v>
      </c>
    </row>
    <row r="10" spans="1:74" ht="16.5" thickBot="1" x14ac:dyDescent="0.3">
      <c r="A10" s="390"/>
      <c r="B10" s="189"/>
      <c r="C10" s="339"/>
      <c r="D10" s="339"/>
      <c r="E10" s="339"/>
      <c r="F10" s="339"/>
      <c r="G10" s="339"/>
      <c r="H10" s="339"/>
      <c r="I10" s="339"/>
      <c r="J10" s="339"/>
      <c r="K10" s="339"/>
      <c r="L10" s="339"/>
      <c r="M10" s="339"/>
      <c r="N10" s="339"/>
      <c r="O10" s="339">
        <v>5014</v>
      </c>
      <c r="P10" s="390">
        <v>4555</v>
      </c>
      <c r="Q10" s="390">
        <v>3654</v>
      </c>
      <c r="R10" s="390">
        <v>2160</v>
      </c>
      <c r="S10" s="390">
        <v>1560</v>
      </c>
      <c r="T10" s="390">
        <v>1330</v>
      </c>
      <c r="U10" s="390"/>
      <c r="V10" s="390">
        <v>1960</v>
      </c>
      <c r="W10" s="390">
        <v>1360</v>
      </c>
      <c r="X10" s="390">
        <v>1140</v>
      </c>
      <c r="Y10" s="390"/>
      <c r="Z10" s="390">
        <v>165</v>
      </c>
      <c r="AA10" s="390">
        <v>95</v>
      </c>
      <c r="AB10" s="390">
        <v>35</v>
      </c>
      <c r="AC10" s="390">
        <v>1216</v>
      </c>
      <c r="AD10" s="390">
        <v>880</v>
      </c>
      <c r="AE10" s="339"/>
      <c r="AF10" s="390"/>
      <c r="AG10" s="339"/>
      <c r="AH10" s="390"/>
      <c r="AI10" s="339"/>
      <c r="AJ10" s="390"/>
      <c r="AK10" s="339"/>
      <c r="AL10" s="390"/>
      <c r="AM10" s="390">
        <v>620</v>
      </c>
      <c r="AN10" s="390">
        <v>310</v>
      </c>
      <c r="AO10" s="390">
        <v>270</v>
      </c>
      <c r="AP10" s="339"/>
      <c r="AQ10" s="390"/>
      <c r="AR10" s="390">
        <v>90</v>
      </c>
      <c r="AS10" s="339"/>
      <c r="AT10" s="390"/>
      <c r="AU10" s="390">
        <v>26</v>
      </c>
      <c r="AV10" s="390">
        <v>20</v>
      </c>
      <c r="AW10" s="390"/>
      <c r="AX10" s="390"/>
      <c r="AY10" s="390"/>
      <c r="AZ10" s="390"/>
      <c r="BA10" s="390"/>
      <c r="BB10" s="390"/>
      <c r="BC10" s="390"/>
      <c r="BD10" s="339"/>
      <c r="BE10" s="339"/>
      <c r="BF10" s="339"/>
      <c r="BG10" s="339"/>
      <c r="BH10" s="339"/>
      <c r="BI10" s="390"/>
      <c r="BJ10" s="339"/>
      <c r="BK10" s="390"/>
      <c r="BL10" s="339"/>
      <c r="BM10" s="390"/>
      <c r="BN10" s="390"/>
      <c r="BO10" s="390"/>
      <c r="BP10" s="390"/>
      <c r="BQ10" s="390"/>
      <c r="BR10" s="390"/>
      <c r="BS10" s="390"/>
      <c r="BT10" s="188"/>
      <c r="BU10" s="188"/>
    </row>
    <row r="11" spans="1:74" ht="30.75" customHeight="1" thickBot="1" x14ac:dyDescent="0.3">
      <c r="A11" s="50">
        <v>60</v>
      </c>
      <c r="B11" s="384" t="s">
        <v>161</v>
      </c>
      <c r="C11" s="341">
        <v>5</v>
      </c>
      <c r="D11" s="341">
        <v>5</v>
      </c>
      <c r="E11" s="342">
        <v>10</v>
      </c>
      <c r="F11" s="343">
        <v>10</v>
      </c>
      <c r="G11" s="343">
        <v>10</v>
      </c>
      <c r="H11" s="342">
        <v>10</v>
      </c>
      <c r="I11" s="343">
        <v>0</v>
      </c>
      <c r="J11" s="343">
        <v>0</v>
      </c>
      <c r="K11" s="342">
        <v>0</v>
      </c>
      <c r="L11" s="343">
        <v>0</v>
      </c>
      <c r="M11" s="343" t="s">
        <v>65</v>
      </c>
      <c r="N11" s="343">
        <v>0</v>
      </c>
      <c r="O11" s="344">
        <f>SUM(R11,V11,Z11,AM11,AR11,AU11)</f>
        <v>158.99999999999997</v>
      </c>
      <c r="P11" s="394">
        <f>SUM(S11,W11,AA11,AC11,AN11,AV11)</f>
        <v>144.99</v>
      </c>
      <c r="Q11" s="394">
        <f>SUM(T11,X11,AB11,AD11,AO11)</f>
        <v>118.17</v>
      </c>
      <c r="R11" s="345">
        <f>30*R6</f>
        <v>72.300000000000011</v>
      </c>
      <c r="S11" s="345">
        <f>30*S6</f>
        <v>50.4</v>
      </c>
      <c r="T11" s="345">
        <f>30*T6</f>
        <v>44.7</v>
      </c>
      <c r="U11" s="345">
        <v>0</v>
      </c>
      <c r="V11" s="346">
        <f>30*V6</f>
        <v>56.699999999999996</v>
      </c>
      <c r="W11" s="346">
        <f>30*W6</f>
        <v>39.6</v>
      </c>
      <c r="X11" s="346">
        <f>30*X6</f>
        <v>28.5</v>
      </c>
      <c r="Y11" s="346">
        <v>0</v>
      </c>
      <c r="Z11" s="347">
        <f>30*Z6</f>
        <v>4.2</v>
      </c>
      <c r="AA11" s="347">
        <f>30*AA6</f>
        <v>2.1</v>
      </c>
      <c r="AB11" s="347">
        <f>30*AB6</f>
        <v>1.17</v>
      </c>
      <c r="AC11" s="348">
        <f>30*AC6</f>
        <v>41.4</v>
      </c>
      <c r="AD11" s="348">
        <f>30*AD6</f>
        <v>29.7</v>
      </c>
      <c r="AE11" s="342">
        <v>0</v>
      </c>
      <c r="AF11" s="342">
        <v>0</v>
      </c>
      <c r="AG11" s="342">
        <v>2</v>
      </c>
      <c r="AH11" s="342">
        <v>6</v>
      </c>
      <c r="AI11" s="342">
        <v>0</v>
      </c>
      <c r="AJ11" s="342">
        <v>0</v>
      </c>
      <c r="AK11" s="342">
        <v>0</v>
      </c>
      <c r="AL11" s="342">
        <v>0</v>
      </c>
      <c r="AM11" s="349">
        <f>30*AM6</f>
        <v>23.700000000000003</v>
      </c>
      <c r="AN11" s="349">
        <f>30*AN6</f>
        <v>11.4</v>
      </c>
      <c r="AO11" s="349">
        <f>30*AO6</f>
        <v>14.1</v>
      </c>
      <c r="AP11" s="349">
        <v>0</v>
      </c>
      <c r="AQ11" s="349">
        <v>0</v>
      </c>
      <c r="AR11" s="350">
        <f>30*AR6</f>
        <v>1.5599999999999998</v>
      </c>
      <c r="AS11" s="350">
        <v>3</v>
      </c>
      <c r="AT11" s="361"/>
      <c r="AU11" s="176">
        <f>30*AU6</f>
        <v>0.53999999999999992</v>
      </c>
      <c r="AV11" s="350">
        <f>30*AV6</f>
        <v>0.09</v>
      </c>
      <c r="AW11" s="350" t="s">
        <v>65</v>
      </c>
      <c r="AX11" s="350">
        <v>0</v>
      </c>
      <c r="AY11" s="350" t="s">
        <v>65</v>
      </c>
      <c r="AZ11" s="350">
        <v>0</v>
      </c>
      <c r="BA11" s="350" t="s">
        <v>65</v>
      </c>
      <c r="BB11" s="350" t="s">
        <v>65</v>
      </c>
      <c r="BC11" s="350" t="s">
        <v>65</v>
      </c>
      <c r="BD11" s="362">
        <v>1</v>
      </c>
      <c r="BE11" s="372" t="s">
        <v>169</v>
      </c>
      <c r="BF11" s="362">
        <v>1350</v>
      </c>
      <c r="BG11" s="362">
        <v>1.5</v>
      </c>
      <c r="BH11" s="373" t="s">
        <v>66</v>
      </c>
      <c r="BI11" s="362">
        <v>1260</v>
      </c>
      <c r="BJ11" s="362">
        <v>0</v>
      </c>
      <c r="BK11" s="362" t="s">
        <v>65</v>
      </c>
      <c r="BL11" s="362">
        <v>0</v>
      </c>
      <c r="BM11" s="362" t="s">
        <v>65</v>
      </c>
      <c r="BN11" s="363" t="s">
        <v>67</v>
      </c>
      <c r="BO11" s="363" t="s">
        <v>67</v>
      </c>
      <c r="BP11" s="364" t="s">
        <v>67</v>
      </c>
      <c r="BQ11" s="364" t="s">
        <v>67</v>
      </c>
      <c r="BR11" s="66">
        <v>0</v>
      </c>
      <c r="BS11" s="66">
        <v>0</v>
      </c>
      <c r="BT11" s="369" t="s">
        <v>67</v>
      </c>
      <c r="BU11" s="369" t="s">
        <v>175</v>
      </c>
      <c r="BV11" s="357"/>
    </row>
    <row r="12" spans="1:74" s="340" customFormat="1" ht="17.25" customHeight="1" thickBot="1" x14ac:dyDescent="0.3">
      <c r="A12" s="180"/>
      <c r="B12" s="351"/>
      <c r="C12" s="352"/>
      <c r="D12" s="352"/>
      <c r="E12" s="353"/>
      <c r="F12" s="353"/>
      <c r="G12" s="353"/>
      <c r="H12" s="353"/>
      <c r="I12" s="353"/>
      <c r="J12" s="353"/>
      <c r="K12" s="353"/>
      <c r="L12" s="353"/>
      <c r="M12" s="353"/>
      <c r="N12" s="353"/>
      <c r="O12" s="353">
        <v>4027</v>
      </c>
      <c r="P12" s="353">
        <v>3821</v>
      </c>
      <c r="Q12" s="353">
        <v>3003</v>
      </c>
      <c r="R12" s="353">
        <v>1810</v>
      </c>
      <c r="S12" s="353">
        <v>1316</v>
      </c>
      <c r="T12" s="353">
        <v>1140</v>
      </c>
      <c r="U12" s="353"/>
      <c r="V12" s="353">
        <v>1510</v>
      </c>
      <c r="W12" s="353">
        <v>1110</v>
      </c>
      <c r="X12" s="353">
        <v>840</v>
      </c>
      <c r="Y12" s="353"/>
      <c r="Z12" s="353">
        <v>110</v>
      </c>
      <c r="AA12" s="353">
        <v>60</v>
      </c>
      <c r="AB12" s="353">
        <v>10</v>
      </c>
      <c r="AC12" s="353">
        <v>1010</v>
      </c>
      <c r="AD12" s="353">
        <v>790</v>
      </c>
      <c r="AE12" s="353"/>
      <c r="AF12" s="353"/>
      <c r="AG12" s="353"/>
      <c r="AH12" s="353"/>
      <c r="AI12" s="353"/>
      <c r="AJ12" s="353"/>
      <c r="AK12" s="353"/>
      <c r="AL12" s="353"/>
      <c r="AM12" s="353">
        <v>520</v>
      </c>
      <c r="AN12" s="353">
        <v>310</v>
      </c>
      <c r="AO12" s="353">
        <v>240</v>
      </c>
      <c r="AP12" s="353"/>
      <c r="AQ12" s="353"/>
      <c r="AR12" s="353">
        <v>60</v>
      </c>
      <c r="AS12" s="353"/>
      <c r="AT12" s="365"/>
      <c r="AU12" s="353">
        <v>30</v>
      </c>
      <c r="AV12" s="353">
        <v>20</v>
      </c>
      <c r="AW12" s="353"/>
      <c r="AX12" s="353"/>
      <c r="AY12" s="353"/>
      <c r="AZ12" s="353"/>
      <c r="BA12" s="353"/>
      <c r="BB12" s="353"/>
      <c r="BC12" s="353"/>
      <c r="BD12" s="366"/>
      <c r="BE12" s="366"/>
      <c r="BF12" s="366"/>
      <c r="BG12" s="366"/>
      <c r="BH12" s="366"/>
      <c r="BI12" s="366"/>
      <c r="BJ12" s="366"/>
      <c r="BK12" s="366"/>
      <c r="BL12" s="366"/>
      <c r="BM12" s="366"/>
      <c r="BN12" s="366"/>
      <c r="BO12" s="366"/>
      <c r="BP12" s="366"/>
      <c r="BQ12" s="366"/>
      <c r="BR12" s="367"/>
      <c r="BS12" s="367"/>
      <c r="BT12" s="188"/>
      <c r="BU12" s="188"/>
    </row>
    <row r="13" spans="1:74" ht="35.25" customHeight="1" thickBot="1" x14ac:dyDescent="0.3">
      <c r="A13" s="50">
        <v>50</v>
      </c>
      <c r="B13" s="384" t="s">
        <v>121</v>
      </c>
      <c r="C13" s="341">
        <v>4</v>
      </c>
      <c r="D13" s="354">
        <v>4</v>
      </c>
      <c r="E13" s="342">
        <v>8</v>
      </c>
      <c r="F13" s="343">
        <v>4</v>
      </c>
      <c r="G13" s="343">
        <v>4</v>
      </c>
      <c r="H13" s="342">
        <v>8</v>
      </c>
      <c r="I13" s="343">
        <v>0</v>
      </c>
      <c r="J13" s="343">
        <v>0</v>
      </c>
      <c r="K13" s="342">
        <v>0</v>
      </c>
      <c r="L13" s="343">
        <v>0</v>
      </c>
      <c r="M13" s="343" t="s">
        <v>65</v>
      </c>
      <c r="N13" s="343">
        <v>0</v>
      </c>
      <c r="O13" s="394">
        <f>SUM(R13,V13,Z13,AM13,AR13,AU13)</f>
        <v>145.08000000000001</v>
      </c>
      <c r="P13" s="394">
        <f>SUM(S13,W13,AA13,AC13,AN13,AV13)</f>
        <v>121.11000000000001</v>
      </c>
      <c r="Q13" s="394">
        <f>SUM(T13,X13,AB13,AD13,AO13)</f>
        <v>99.029999999999987</v>
      </c>
      <c r="R13" s="345">
        <f>30*R8</f>
        <v>65.7</v>
      </c>
      <c r="S13" s="345">
        <f>30*S8</f>
        <v>39.6</v>
      </c>
      <c r="T13" s="345">
        <f>30*T8</f>
        <v>29.4</v>
      </c>
      <c r="U13" s="345">
        <v>0</v>
      </c>
      <c r="V13" s="346">
        <f>30*V8</f>
        <v>53.1</v>
      </c>
      <c r="W13" s="346">
        <f>30*W8</f>
        <v>36</v>
      </c>
      <c r="X13" s="346">
        <f>30*X8</f>
        <v>29.7</v>
      </c>
      <c r="Y13" s="346">
        <v>0</v>
      </c>
      <c r="Z13" s="347">
        <f>30*Z8</f>
        <v>4.5</v>
      </c>
      <c r="AA13" s="347">
        <f>30*AA8</f>
        <v>1.5</v>
      </c>
      <c r="AB13" s="347">
        <f>30*AB8</f>
        <v>1.5299999999999998</v>
      </c>
      <c r="AC13" s="348">
        <f>30*AC8</f>
        <v>33.300000000000004</v>
      </c>
      <c r="AD13" s="348">
        <f>30*AD8</f>
        <v>27.6</v>
      </c>
      <c r="AE13" s="342">
        <v>0</v>
      </c>
      <c r="AF13" s="342">
        <v>0</v>
      </c>
      <c r="AG13" s="342">
        <v>1</v>
      </c>
      <c r="AH13" s="342">
        <v>1.6</v>
      </c>
      <c r="AI13" s="342">
        <v>0</v>
      </c>
      <c r="AJ13" s="342">
        <v>0</v>
      </c>
      <c r="AK13" s="342">
        <v>0</v>
      </c>
      <c r="AL13" s="342">
        <v>0</v>
      </c>
      <c r="AM13" s="349">
        <f>30*AM8</f>
        <v>18.600000000000001</v>
      </c>
      <c r="AN13" s="349">
        <f>30*AN8</f>
        <v>9.9</v>
      </c>
      <c r="AO13" s="349">
        <f>30*AO8</f>
        <v>10.799999999999999</v>
      </c>
      <c r="AP13" s="349">
        <v>0</v>
      </c>
      <c r="AQ13" s="349">
        <v>0</v>
      </c>
      <c r="AR13" s="350">
        <f>30*AR8</f>
        <v>2.13</v>
      </c>
      <c r="AS13" s="350">
        <v>1</v>
      </c>
      <c r="AT13" s="361"/>
      <c r="AU13" s="350">
        <f>30*AU8</f>
        <v>1.05</v>
      </c>
      <c r="AV13" s="350">
        <f>30*AV8</f>
        <v>0.80999999999999994</v>
      </c>
      <c r="AW13" s="350" t="s">
        <v>65</v>
      </c>
      <c r="AX13" s="350">
        <v>0</v>
      </c>
      <c r="AY13" s="350" t="s">
        <v>65</v>
      </c>
      <c r="AZ13" s="350">
        <v>0</v>
      </c>
      <c r="BA13" s="350" t="s">
        <v>65</v>
      </c>
      <c r="BB13" s="350" t="s">
        <v>65</v>
      </c>
      <c r="BC13" s="350" t="s">
        <v>67</v>
      </c>
      <c r="BD13" s="362">
        <v>1</v>
      </c>
      <c r="BE13" s="372" t="s">
        <v>170</v>
      </c>
      <c r="BF13" s="362">
        <v>15617.8</v>
      </c>
      <c r="BG13" s="368">
        <v>1.6</v>
      </c>
      <c r="BH13" s="362" t="s">
        <v>72</v>
      </c>
      <c r="BI13" s="362">
        <v>800</v>
      </c>
      <c r="BJ13" s="362">
        <v>0</v>
      </c>
      <c r="BK13" s="362" t="s">
        <v>65</v>
      </c>
      <c r="BL13" s="362">
        <v>0</v>
      </c>
      <c r="BM13" s="362" t="s">
        <v>65</v>
      </c>
      <c r="BN13" s="363" t="s">
        <v>67</v>
      </c>
      <c r="BO13" s="363" t="s">
        <v>67</v>
      </c>
      <c r="BP13" s="364" t="s">
        <v>65</v>
      </c>
      <c r="BQ13" s="364" t="s">
        <v>65</v>
      </c>
      <c r="BR13" s="66">
        <v>0</v>
      </c>
      <c r="BS13" s="66">
        <v>0</v>
      </c>
      <c r="BT13" s="370" t="s">
        <v>122</v>
      </c>
      <c r="BU13" s="371">
        <v>0</v>
      </c>
    </row>
    <row r="14" spans="1:74" ht="27.75" customHeight="1" x14ac:dyDescent="0.25">
      <c r="O14" s="114">
        <v>145</v>
      </c>
      <c r="P14" s="114">
        <v>121</v>
      </c>
      <c r="Q14" s="114">
        <v>99</v>
      </c>
    </row>
    <row r="15" spans="1:74" ht="29.25" customHeight="1" x14ac:dyDescent="0.25"/>
    <row r="16" spans="1:74" x14ac:dyDescent="0.25">
      <c r="S16" s="1177" t="s">
        <v>64</v>
      </c>
      <c r="T16" s="1177"/>
      <c r="U16" s="114">
        <v>148</v>
      </c>
      <c r="V16" s="114">
        <v>135</v>
      </c>
      <c r="W16" s="114">
        <v>110</v>
      </c>
    </row>
    <row r="17" spans="1:74" x14ac:dyDescent="0.25">
      <c r="S17" s="1177" t="s">
        <v>121</v>
      </c>
      <c r="T17" s="1177"/>
      <c r="U17" s="114">
        <v>135</v>
      </c>
      <c r="V17" s="114">
        <v>113</v>
      </c>
      <c r="W17" s="114">
        <v>92</v>
      </c>
    </row>
    <row r="21" spans="1:74" ht="15.75" thickBot="1" x14ac:dyDescent="0.3"/>
    <row r="22" spans="1:74" ht="30.75" customHeight="1" thickBot="1" x14ac:dyDescent="0.3">
      <c r="A22" s="50">
        <v>60</v>
      </c>
      <c r="B22" s="384" t="s">
        <v>161</v>
      </c>
      <c r="C22" s="341">
        <v>5</v>
      </c>
      <c r="D22" s="341">
        <v>5</v>
      </c>
      <c r="E22" s="342">
        <v>10</v>
      </c>
      <c r="F22" s="343">
        <v>10</v>
      </c>
      <c r="G22" s="343">
        <v>10</v>
      </c>
      <c r="H22" s="342">
        <v>10</v>
      </c>
      <c r="I22" s="343">
        <v>0</v>
      </c>
      <c r="J22" s="343">
        <v>0</v>
      </c>
      <c r="K22" s="342">
        <v>0</v>
      </c>
      <c r="L22" s="343">
        <v>0</v>
      </c>
      <c r="M22" s="343" t="s">
        <v>65</v>
      </c>
      <c r="N22" s="343">
        <v>0</v>
      </c>
      <c r="O22" s="344">
        <f>SUM(R22,V22,Z22,AM22,AR22,AU22)</f>
        <v>5.5269999999999992</v>
      </c>
      <c r="P22" s="344">
        <f>SUM(S22,W22,AA22,AC22,AN22,AV22)</f>
        <v>5.0220000000000002</v>
      </c>
      <c r="Q22" s="344">
        <f>SUM(T22,X22,AB22,AD22,AO22)</f>
        <v>4.0279999999999996</v>
      </c>
      <c r="R22" s="345">
        <v>2.38</v>
      </c>
      <c r="S22" s="345">
        <v>1.72</v>
      </c>
      <c r="T22" s="345">
        <v>1.47</v>
      </c>
      <c r="U22" s="345">
        <v>0</v>
      </c>
      <c r="V22" s="346">
        <v>2.16</v>
      </c>
      <c r="W22" s="346">
        <v>1.5</v>
      </c>
      <c r="X22" s="346">
        <v>1.26</v>
      </c>
      <c r="Y22" s="346">
        <v>0</v>
      </c>
      <c r="Z22" s="347">
        <v>0.18</v>
      </c>
      <c r="AA22" s="347">
        <v>0.1</v>
      </c>
      <c r="AB22" s="347">
        <v>3.7999999999999999E-2</v>
      </c>
      <c r="AC22" s="348">
        <v>1.34</v>
      </c>
      <c r="AD22" s="348">
        <v>0.97</v>
      </c>
      <c r="AE22" s="342">
        <v>0</v>
      </c>
      <c r="AF22" s="342">
        <v>0</v>
      </c>
      <c r="AG22" s="342">
        <v>2</v>
      </c>
      <c r="AH22" s="342">
        <v>6</v>
      </c>
      <c r="AI22" s="342">
        <v>0</v>
      </c>
      <c r="AJ22" s="342">
        <v>0</v>
      </c>
      <c r="AK22" s="342">
        <v>0</v>
      </c>
      <c r="AL22" s="342">
        <v>0</v>
      </c>
      <c r="AM22" s="349">
        <v>0.68</v>
      </c>
      <c r="AN22" s="349">
        <v>0.34</v>
      </c>
      <c r="AO22" s="349">
        <v>0.28999999999999998</v>
      </c>
      <c r="AP22" s="349">
        <v>0</v>
      </c>
      <c r="AQ22" s="349">
        <v>0</v>
      </c>
      <c r="AR22" s="350">
        <v>9.9000000000000005E-2</v>
      </c>
      <c r="AS22" s="350">
        <v>3</v>
      </c>
      <c r="AT22" s="361"/>
      <c r="AU22" s="176">
        <v>2.8000000000000001E-2</v>
      </c>
      <c r="AV22" s="350">
        <v>2.1999999999999999E-2</v>
      </c>
      <c r="AW22" s="350" t="s">
        <v>65</v>
      </c>
      <c r="AX22" s="350">
        <v>0</v>
      </c>
      <c r="AY22" s="350" t="s">
        <v>65</v>
      </c>
      <c r="AZ22" s="350">
        <v>0</v>
      </c>
      <c r="BA22" s="350" t="s">
        <v>65</v>
      </c>
      <c r="BB22" s="350" t="s">
        <v>65</v>
      </c>
      <c r="BC22" s="350" t="s">
        <v>65</v>
      </c>
      <c r="BD22" s="362">
        <v>1</v>
      </c>
      <c r="BE22" s="372" t="s">
        <v>169</v>
      </c>
      <c r="BF22" s="362">
        <v>1350</v>
      </c>
      <c r="BG22" s="362">
        <v>1.5</v>
      </c>
      <c r="BH22" s="373" t="s">
        <v>66</v>
      </c>
      <c r="BI22" s="362">
        <v>1260</v>
      </c>
      <c r="BJ22" s="362">
        <v>0</v>
      </c>
      <c r="BK22" s="362" t="s">
        <v>65</v>
      </c>
      <c r="BL22" s="362">
        <v>0</v>
      </c>
      <c r="BM22" s="362" t="s">
        <v>65</v>
      </c>
      <c r="BN22" s="363" t="s">
        <v>67</v>
      </c>
      <c r="BO22" s="363" t="s">
        <v>67</v>
      </c>
      <c r="BP22" s="364" t="s">
        <v>67</v>
      </c>
      <c r="BQ22" s="364" t="s">
        <v>67</v>
      </c>
      <c r="BR22" s="66">
        <v>0</v>
      </c>
      <c r="BS22" s="66">
        <v>0</v>
      </c>
      <c r="BT22" s="369" t="s">
        <v>67</v>
      </c>
      <c r="BU22" s="369" t="s">
        <v>175</v>
      </c>
      <c r="BV22" s="357"/>
    </row>
    <row r="23" spans="1:74" s="340" customFormat="1" ht="17.25" customHeight="1" thickBot="1" x14ac:dyDescent="0.3">
      <c r="A23" s="180"/>
      <c r="B23" s="351"/>
      <c r="C23" s="352"/>
      <c r="D23" s="352"/>
      <c r="E23" s="353"/>
      <c r="F23" s="353"/>
      <c r="G23" s="353"/>
      <c r="H23" s="353"/>
      <c r="I23" s="353"/>
      <c r="J23" s="353"/>
      <c r="K23" s="353"/>
      <c r="L23" s="353"/>
      <c r="M23" s="353"/>
      <c r="N23" s="353"/>
      <c r="O23" s="353">
        <v>4027</v>
      </c>
      <c r="P23" s="353">
        <v>3821</v>
      </c>
      <c r="Q23" s="353">
        <v>3003</v>
      </c>
      <c r="R23" s="353">
        <v>1810</v>
      </c>
      <c r="S23" s="353">
        <v>1316</v>
      </c>
      <c r="T23" s="353">
        <v>1140</v>
      </c>
      <c r="U23" s="353"/>
      <c r="V23" s="353">
        <v>1510</v>
      </c>
      <c r="W23" s="353">
        <v>1110</v>
      </c>
      <c r="X23" s="353">
        <v>840</v>
      </c>
      <c r="Y23" s="353"/>
      <c r="Z23" s="353">
        <v>110</v>
      </c>
      <c r="AA23" s="353">
        <v>60</v>
      </c>
      <c r="AB23" s="353">
        <v>10</v>
      </c>
      <c r="AC23" s="353">
        <v>1010</v>
      </c>
      <c r="AD23" s="353">
        <v>790</v>
      </c>
      <c r="AE23" s="353"/>
      <c r="AF23" s="353"/>
      <c r="AG23" s="353"/>
      <c r="AH23" s="353"/>
      <c r="AI23" s="353"/>
      <c r="AJ23" s="353"/>
      <c r="AK23" s="353"/>
      <c r="AL23" s="353"/>
      <c r="AM23" s="353">
        <v>520</v>
      </c>
      <c r="AN23" s="353">
        <v>310</v>
      </c>
      <c r="AO23" s="353">
        <v>240</v>
      </c>
      <c r="AP23" s="353"/>
      <c r="AQ23" s="353"/>
      <c r="AR23" s="353">
        <v>60</v>
      </c>
      <c r="AS23" s="353"/>
      <c r="AT23" s="365"/>
      <c r="AU23" s="353">
        <v>30</v>
      </c>
      <c r="AV23" s="353">
        <v>20</v>
      </c>
      <c r="AW23" s="353"/>
      <c r="AX23" s="353"/>
      <c r="AY23" s="353"/>
      <c r="AZ23" s="353"/>
      <c r="BA23" s="353"/>
      <c r="BB23" s="353"/>
      <c r="BC23" s="353"/>
      <c r="BD23" s="366"/>
      <c r="BE23" s="366"/>
      <c r="BF23" s="366"/>
      <c r="BG23" s="366"/>
      <c r="BH23" s="366"/>
      <c r="BI23" s="366"/>
      <c r="BJ23" s="366"/>
      <c r="BK23" s="366"/>
      <c r="BL23" s="366"/>
      <c r="BM23" s="366"/>
      <c r="BN23" s="366"/>
      <c r="BO23" s="366"/>
      <c r="BP23" s="366"/>
      <c r="BQ23" s="366"/>
      <c r="BR23" s="367"/>
      <c r="BS23" s="367"/>
      <c r="BT23" s="188"/>
      <c r="BU23" s="188"/>
    </row>
    <row r="24" spans="1:74" ht="35.25" customHeight="1" thickBot="1" x14ac:dyDescent="0.3">
      <c r="A24" s="50">
        <v>50</v>
      </c>
      <c r="B24" s="384" t="s">
        <v>121</v>
      </c>
      <c r="C24" s="341">
        <v>4</v>
      </c>
      <c r="D24" s="354">
        <v>4</v>
      </c>
      <c r="E24" s="342">
        <v>8</v>
      </c>
      <c r="F24" s="343">
        <v>4</v>
      </c>
      <c r="G24" s="343">
        <v>4</v>
      </c>
      <c r="H24" s="342">
        <v>8</v>
      </c>
      <c r="I24" s="343">
        <v>0</v>
      </c>
      <c r="J24" s="343">
        <v>0</v>
      </c>
      <c r="K24" s="342">
        <v>0</v>
      </c>
      <c r="L24" s="343">
        <v>0</v>
      </c>
      <c r="M24" s="343" t="s">
        <v>65</v>
      </c>
      <c r="N24" s="343">
        <v>0</v>
      </c>
      <c r="O24" s="344">
        <f>SUM(R24,V24,Z24,AM24,AR24,AU24)</f>
        <v>4.4400000000000004</v>
      </c>
      <c r="P24" s="344">
        <f>SUM(S24,W24,AA24,AC24,AN24,AV24)</f>
        <v>4.2119999999999997</v>
      </c>
      <c r="Q24" s="344">
        <f>SUM(T24,X24,AB24,AD24,AO24)</f>
        <v>3.3109999999999999</v>
      </c>
      <c r="R24" s="345">
        <v>1.99</v>
      </c>
      <c r="S24" s="345">
        <v>1.45</v>
      </c>
      <c r="T24" s="345">
        <v>1.25</v>
      </c>
      <c r="U24" s="345">
        <v>0</v>
      </c>
      <c r="V24" s="346">
        <v>1.66</v>
      </c>
      <c r="W24" s="346">
        <v>1.22</v>
      </c>
      <c r="X24" s="346">
        <v>0.92</v>
      </c>
      <c r="Y24" s="346">
        <v>0</v>
      </c>
      <c r="Z24" s="347">
        <v>0.12</v>
      </c>
      <c r="AA24" s="347">
        <v>7.0000000000000007E-2</v>
      </c>
      <c r="AB24" s="347">
        <v>1.0999999999999999E-2</v>
      </c>
      <c r="AC24" s="348">
        <v>1.1100000000000001</v>
      </c>
      <c r="AD24" s="348">
        <v>0.87</v>
      </c>
      <c r="AE24" s="342">
        <v>0</v>
      </c>
      <c r="AF24" s="342">
        <v>0</v>
      </c>
      <c r="AG24" s="342">
        <v>1</v>
      </c>
      <c r="AH24" s="342">
        <v>1.6</v>
      </c>
      <c r="AI24" s="342">
        <v>0</v>
      </c>
      <c r="AJ24" s="342">
        <v>0</v>
      </c>
      <c r="AK24" s="342">
        <v>0</v>
      </c>
      <c r="AL24" s="342">
        <v>0</v>
      </c>
      <c r="AM24" s="349">
        <v>0.56999999999999995</v>
      </c>
      <c r="AN24" s="349">
        <v>0.34</v>
      </c>
      <c r="AO24" s="349">
        <v>0.26</v>
      </c>
      <c r="AP24" s="349">
        <v>0</v>
      </c>
      <c r="AQ24" s="349">
        <v>0</v>
      </c>
      <c r="AR24" s="350">
        <v>6.7000000000000004E-2</v>
      </c>
      <c r="AS24" s="350">
        <v>1</v>
      </c>
      <c r="AT24" s="361"/>
      <c r="AU24" s="350">
        <v>3.3000000000000002E-2</v>
      </c>
      <c r="AV24" s="350">
        <v>2.1999999999999999E-2</v>
      </c>
      <c r="AW24" s="350" t="s">
        <v>65</v>
      </c>
      <c r="AX24" s="350">
        <v>0</v>
      </c>
      <c r="AY24" s="350" t="s">
        <v>65</v>
      </c>
      <c r="AZ24" s="350">
        <v>0</v>
      </c>
      <c r="BA24" s="350" t="s">
        <v>65</v>
      </c>
      <c r="BB24" s="350" t="s">
        <v>65</v>
      </c>
      <c r="BC24" s="350" t="s">
        <v>67</v>
      </c>
      <c r="BD24" s="362">
        <v>1</v>
      </c>
      <c r="BE24" s="372" t="s">
        <v>170</v>
      </c>
      <c r="BF24" s="362">
        <v>15617.8</v>
      </c>
      <c r="BG24" s="368">
        <v>1.6</v>
      </c>
      <c r="BH24" s="362" t="s">
        <v>72</v>
      </c>
      <c r="BI24" s="362">
        <v>800</v>
      </c>
      <c r="BJ24" s="362">
        <v>0</v>
      </c>
      <c r="BK24" s="362" t="s">
        <v>65</v>
      </c>
      <c r="BL24" s="362">
        <v>0</v>
      </c>
      <c r="BM24" s="362" t="s">
        <v>65</v>
      </c>
      <c r="BN24" s="363" t="s">
        <v>67</v>
      </c>
      <c r="BO24" s="363" t="s">
        <v>67</v>
      </c>
      <c r="BP24" s="364" t="s">
        <v>65</v>
      </c>
      <c r="BQ24" s="364" t="s">
        <v>65</v>
      </c>
      <c r="BR24" s="66">
        <v>0</v>
      </c>
      <c r="BS24" s="66">
        <v>0</v>
      </c>
      <c r="BT24" s="370" t="s">
        <v>122</v>
      </c>
      <c r="BU24" s="371">
        <v>0</v>
      </c>
    </row>
    <row r="31" spans="1:74" x14ac:dyDescent="0.25">
      <c r="U31">
        <v>118</v>
      </c>
      <c r="Z31">
        <f>9000/1000000</f>
        <v>8.9999999999999993E-3</v>
      </c>
    </row>
    <row r="32" spans="1:74" x14ac:dyDescent="0.25">
      <c r="T32">
        <v>41.4</v>
      </c>
      <c r="U32">
        <v>44.7</v>
      </c>
    </row>
    <row r="33" spans="20:21" x14ac:dyDescent="0.25">
      <c r="T33">
        <v>50.4</v>
      </c>
      <c r="U33">
        <v>28.5</v>
      </c>
    </row>
    <row r="34" spans="20:21" x14ac:dyDescent="0.25">
      <c r="T34">
        <v>39.6</v>
      </c>
      <c r="U34">
        <v>39.9</v>
      </c>
    </row>
    <row r="35" spans="20:21" x14ac:dyDescent="0.25">
      <c r="U35">
        <v>4.9000000000000004</v>
      </c>
    </row>
    <row r="37" spans="20:21" x14ac:dyDescent="0.25">
      <c r="U37">
        <f>SUM(U32:U36)</f>
        <v>118</v>
      </c>
    </row>
    <row r="38" spans="20:21" x14ac:dyDescent="0.25">
      <c r="T38">
        <v>7.95</v>
      </c>
    </row>
    <row r="39" spans="20:21" x14ac:dyDescent="0.25">
      <c r="T39">
        <v>5.65</v>
      </c>
    </row>
    <row r="40" spans="20:21" x14ac:dyDescent="0.25">
      <c r="T40">
        <f>SUM(T32:T39)</f>
        <v>145</v>
      </c>
    </row>
  </sheetData>
  <mergeCells count="24">
    <mergeCell ref="BN1:BO1"/>
    <mergeCell ref="BP1:BQ1"/>
    <mergeCell ref="BR1:BS1"/>
    <mergeCell ref="BT1:BU1"/>
    <mergeCell ref="S16:T16"/>
    <mergeCell ref="AU1:BC1"/>
    <mergeCell ref="BD1:BM1"/>
    <mergeCell ref="S17:T17"/>
    <mergeCell ref="AC1:AD1"/>
    <mergeCell ref="AE1:AL1"/>
    <mergeCell ref="AM1:AQ1"/>
    <mergeCell ref="AR1:AT1"/>
    <mergeCell ref="Z1:AB1"/>
    <mergeCell ref="M1:M2"/>
    <mergeCell ref="N1:N2"/>
    <mergeCell ref="O1:Q1"/>
    <mergeCell ref="R1:U1"/>
    <mergeCell ref="V1:Y1"/>
    <mergeCell ref="L1:L2"/>
    <mergeCell ref="A1:A3"/>
    <mergeCell ref="B1:B3"/>
    <mergeCell ref="C1:E2"/>
    <mergeCell ref="F1:H2"/>
    <mergeCell ref="I1:K2"/>
  </mergeCell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5"/>
  <sheetViews>
    <sheetView topLeftCell="C4" workbookViewId="0">
      <selection activeCell="V6" sqref="V6"/>
    </sheetView>
  </sheetViews>
  <sheetFormatPr defaultRowHeight="15" x14ac:dyDescent="0.25"/>
  <cols>
    <col min="2" max="2" width="23.42578125" customWidth="1"/>
    <col min="26" max="26" width="10" bestFit="1" customWidth="1"/>
    <col min="58" max="58" width="9.5703125" bestFit="1" customWidth="1"/>
  </cols>
  <sheetData>
    <row r="1" spans="1:74" ht="75" customHeight="1" x14ac:dyDescent="0.25">
      <c r="A1" s="1265" t="s">
        <v>0</v>
      </c>
      <c r="B1" s="1266" t="s">
        <v>1</v>
      </c>
      <c r="C1" s="1207" t="s">
        <v>2</v>
      </c>
      <c r="D1" s="1207"/>
      <c r="E1" s="1207"/>
      <c r="F1" s="1207" t="s">
        <v>3</v>
      </c>
      <c r="G1" s="1207"/>
      <c r="H1" s="1207"/>
      <c r="I1" s="1207" t="s">
        <v>4</v>
      </c>
      <c r="J1" s="1207"/>
      <c r="K1" s="1207"/>
      <c r="L1" s="1207" t="s">
        <v>5</v>
      </c>
      <c r="M1" s="1207" t="s">
        <v>6</v>
      </c>
      <c r="N1" s="1207" t="s">
        <v>7</v>
      </c>
      <c r="O1" s="1213" t="s">
        <v>8</v>
      </c>
      <c r="P1" s="1213"/>
      <c r="Q1" s="1213"/>
      <c r="R1" s="1214" t="s">
        <v>9</v>
      </c>
      <c r="S1" s="1214"/>
      <c r="T1" s="1214"/>
      <c r="U1" s="1214"/>
      <c r="V1" s="1215" t="s">
        <v>10</v>
      </c>
      <c r="W1" s="1215"/>
      <c r="X1" s="1215"/>
      <c r="Y1" s="1215"/>
      <c r="Z1" s="1206" t="s">
        <v>11</v>
      </c>
      <c r="AA1" s="1206"/>
      <c r="AB1" s="1206"/>
      <c r="AC1" s="1210" t="s">
        <v>12</v>
      </c>
      <c r="AD1" s="1210"/>
      <c r="AE1" s="1277" t="s">
        <v>13</v>
      </c>
      <c r="AF1" s="1277"/>
      <c r="AG1" s="1277"/>
      <c r="AH1" s="1277"/>
      <c r="AI1" s="1277"/>
      <c r="AJ1" s="1277"/>
      <c r="AK1" s="1277"/>
      <c r="AL1" s="1277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212" t="s">
        <v>14</v>
      </c>
      <c r="BE1" s="1212"/>
      <c r="BF1" s="1212"/>
      <c r="BG1" s="1212"/>
      <c r="BH1" s="1212"/>
      <c r="BI1" s="1212"/>
      <c r="BJ1" s="1212"/>
      <c r="BK1" s="1212"/>
      <c r="BL1" s="1212"/>
      <c r="BM1" s="1212"/>
      <c r="BN1" s="1208" t="s">
        <v>15</v>
      </c>
      <c r="BO1" s="1208"/>
      <c r="BP1" s="1209" t="s">
        <v>16</v>
      </c>
      <c r="BQ1" s="1209"/>
      <c r="BR1" s="1305" t="s">
        <v>130</v>
      </c>
      <c r="BS1" s="1306"/>
      <c r="BT1" s="1323" t="s">
        <v>171</v>
      </c>
      <c r="BU1" s="1324"/>
    </row>
    <row r="2" spans="1:74" ht="225" x14ac:dyDescent="0.25">
      <c r="A2" s="1265"/>
      <c r="B2" s="1266"/>
      <c r="C2" s="1207"/>
      <c r="D2" s="1207"/>
      <c r="E2" s="1207"/>
      <c r="F2" s="1207"/>
      <c r="G2" s="1207"/>
      <c r="H2" s="1207"/>
      <c r="I2" s="1207"/>
      <c r="J2" s="1207"/>
      <c r="K2" s="1207"/>
      <c r="L2" s="1207"/>
      <c r="M2" s="1207"/>
      <c r="N2" s="1207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401" t="s">
        <v>23</v>
      </c>
      <c r="V2" s="42" t="s">
        <v>24</v>
      </c>
      <c r="W2" s="217" t="s">
        <v>25</v>
      </c>
      <c r="X2" s="218" t="s">
        <v>26</v>
      </c>
      <c r="Y2" s="402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399" t="s">
        <v>105</v>
      </c>
      <c r="AQ2" s="399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400" t="s">
        <v>14</v>
      </c>
      <c r="BE2" s="400" t="s">
        <v>167</v>
      </c>
      <c r="BF2" s="400" t="s">
        <v>39</v>
      </c>
      <c r="BG2" s="400" t="s">
        <v>40</v>
      </c>
      <c r="BH2" s="400" t="s">
        <v>41</v>
      </c>
      <c r="BI2" s="400" t="s">
        <v>42</v>
      </c>
      <c r="BJ2" s="400" t="s">
        <v>43</v>
      </c>
      <c r="BK2" s="400" t="s">
        <v>44</v>
      </c>
      <c r="BL2" s="400" t="s">
        <v>45</v>
      </c>
      <c r="BM2" s="400" t="s">
        <v>46</v>
      </c>
      <c r="BN2" s="398" t="s">
        <v>47</v>
      </c>
      <c r="BO2" s="398" t="s">
        <v>48</v>
      </c>
      <c r="BP2" s="399" t="s">
        <v>49</v>
      </c>
      <c r="BQ2" s="399" t="s">
        <v>50</v>
      </c>
      <c r="BR2" s="398" t="s">
        <v>131</v>
      </c>
      <c r="BS2" s="398" t="s">
        <v>132</v>
      </c>
      <c r="BT2" s="359" t="s">
        <v>172</v>
      </c>
      <c r="BU2" s="359" t="s">
        <v>173</v>
      </c>
    </row>
    <row r="3" spans="1:74" ht="75" x14ac:dyDescent="0.25">
      <c r="A3" s="1265"/>
      <c r="B3" s="1266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29" t="s">
        <v>62</v>
      </c>
      <c r="BM3" s="107" t="s">
        <v>127</v>
      </c>
      <c r="BN3" s="107" t="s">
        <v>120</v>
      </c>
      <c r="BO3" s="107" t="s">
        <v>120</v>
      </c>
      <c r="BP3" s="107" t="s">
        <v>120</v>
      </c>
      <c r="BQ3" s="107" t="s">
        <v>120</v>
      </c>
      <c r="BR3" s="107" t="s">
        <v>54</v>
      </c>
      <c r="BS3" s="107" t="s">
        <v>54</v>
      </c>
      <c r="BT3" s="360" t="s">
        <v>120</v>
      </c>
      <c r="BU3" s="360" t="s">
        <v>174</v>
      </c>
    </row>
    <row r="4" spans="1:74" ht="15.75" x14ac:dyDescent="0.25">
      <c r="A4" s="403">
        <v>1</v>
      </c>
      <c r="B4" s="404">
        <v>2</v>
      </c>
      <c r="C4" s="29">
        <v>3</v>
      </c>
      <c r="D4" s="403">
        <v>4</v>
      </c>
      <c r="E4" s="404">
        <v>5</v>
      </c>
      <c r="F4" s="29">
        <v>6</v>
      </c>
      <c r="G4" s="403">
        <v>7</v>
      </c>
      <c r="H4" s="404">
        <v>8</v>
      </c>
      <c r="I4" s="29">
        <v>9</v>
      </c>
      <c r="J4" s="403">
        <v>10</v>
      </c>
      <c r="K4" s="404">
        <v>11</v>
      </c>
      <c r="L4" s="29">
        <v>12</v>
      </c>
      <c r="M4" s="403">
        <v>13</v>
      </c>
      <c r="N4" s="404">
        <v>14</v>
      </c>
      <c r="O4" s="29">
        <v>15</v>
      </c>
      <c r="P4" s="403">
        <v>16</v>
      </c>
      <c r="Q4" s="404">
        <v>17</v>
      </c>
      <c r="R4" s="29">
        <v>18</v>
      </c>
      <c r="S4" s="403">
        <v>19</v>
      </c>
      <c r="T4" s="404">
        <v>20</v>
      </c>
      <c r="U4" s="29">
        <v>21</v>
      </c>
      <c r="V4" s="403">
        <v>22</v>
      </c>
      <c r="W4" s="404">
        <v>23</v>
      </c>
      <c r="X4" s="29">
        <v>24</v>
      </c>
      <c r="Y4" s="403">
        <v>25</v>
      </c>
      <c r="Z4" s="404">
        <v>26</v>
      </c>
      <c r="AA4" s="29">
        <v>27</v>
      </c>
      <c r="AB4" s="403">
        <v>28</v>
      </c>
      <c r="AC4" s="404">
        <v>29</v>
      </c>
      <c r="AD4" s="29">
        <v>30</v>
      </c>
      <c r="AE4" s="403">
        <v>31</v>
      </c>
      <c r="AF4" s="404">
        <v>32</v>
      </c>
      <c r="AG4" s="29">
        <v>33</v>
      </c>
      <c r="AH4" s="403">
        <v>34</v>
      </c>
      <c r="AI4" s="404">
        <v>35</v>
      </c>
      <c r="AJ4" s="29">
        <v>36</v>
      </c>
      <c r="AK4" s="403">
        <v>37</v>
      </c>
      <c r="AL4" s="404">
        <v>38</v>
      </c>
      <c r="AM4" s="29">
        <v>39</v>
      </c>
      <c r="AN4" s="403">
        <v>40</v>
      </c>
      <c r="AO4" s="404">
        <v>41</v>
      </c>
      <c r="AP4" s="29">
        <v>42</v>
      </c>
      <c r="AQ4" s="403">
        <v>43</v>
      </c>
      <c r="AR4" s="404">
        <v>44</v>
      </c>
      <c r="AS4" s="29">
        <v>45</v>
      </c>
      <c r="AT4" s="403">
        <v>46</v>
      </c>
      <c r="AU4" s="404">
        <v>47</v>
      </c>
      <c r="AV4" s="29">
        <v>48</v>
      </c>
      <c r="AW4" s="403">
        <v>49</v>
      </c>
      <c r="AX4" s="404">
        <v>50</v>
      </c>
      <c r="AY4" s="29">
        <v>51</v>
      </c>
      <c r="AZ4" s="403">
        <v>52</v>
      </c>
      <c r="BA4" s="404">
        <v>53</v>
      </c>
      <c r="BB4" s="29">
        <v>54</v>
      </c>
      <c r="BC4" s="403">
        <v>55</v>
      </c>
      <c r="BD4" s="404">
        <v>56</v>
      </c>
      <c r="BE4" s="29">
        <v>57</v>
      </c>
      <c r="BF4" s="403">
        <v>58</v>
      </c>
      <c r="BG4" s="404">
        <v>59</v>
      </c>
      <c r="BH4" s="29">
        <v>60</v>
      </c>
      <c r="BI4" s="403">
        <v>61</v>
      </c>
      <c r="BJ4" s="404">
        <v>62</v>
      </c>
      <c r="BK4" s="29">
        <v>63</v>
      </c>
      <c r="BL4" s="403">
        <v>64</v>
      </c>
      <c r="BM4" s="404">
        <v>65</v>
      </c>
      <c r="BN4" s="29">
        <v>66</v>
      </c>
      <c r="BO4" s="403">
        <v>67</v>
      </c>
      <c r="BP4" s="404">
        <v>68</v>
      </c>
      <c r="BQ4" s="29">
        <v>69</v>
      </c>
      <c r="BR4" s="403">
        <v>70</v>
      </c>
      <c r="BS4" s="404">
        <v>71</v>
      </c>
      <c r="BT4" s="29">
        <v>72</v>
      </c>
      <c r="BU4" s="403">
        <v>73</v>
      </c>
    </row>
    <row r="5" spans="1:74" ht="16.5" thickBot="1" x14ac:dyDescent="0.3">
      <c r="A5" s="405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5561</v>
      </c>
      <c r="P5" s="406">
        <v>4745</v>
      </c>
      <c r="Q5" s="405">
        <v>2886</v>
      </c>
      <c r="R5" s="405">
        <v>2300</v>
      </c>
      <c r="S5" s="405">
        <v>1450</v>
      </c>
      <c r="T5" s="405">
        <v>1000</v>
      </c>
      <c r="U5" s="405"/>
      <c r="V5" s="405">
        <v>1800</v>
      </c>
      <c r="W5" s="405">
        <v>1100</v>
      </c>
      <c r="X5" s="405">
        <v>600</v>
      </c>
      <c r="Y5" s="405"/>
      <c r="Z5" s="405">
        <v>115</v>
      </c>
      <c r="AA5" s="405">
        <v>50</v>
      </c>
      <c r="AB5" s="405">
        <v>20</v>
      </c>
      <c r="AC5" s="405">
        <v>1200</v>
      </c>
      <c r="AD5" s="405">
        <v>900</v>
      </c>
      <c r="AE5" s="339"/>
      <c r="AF5" s="405"/>
      <c r="AG5" s="339"/>
      <c r="AH5" s="405"/>
      <c r="AI5" s="339"/>
      <c r="AJ5" s="405"/>
      <c r="AK5" s="339"/>
      <c r="AL5" s="405"/>
      <c r="AM5" s="405">
        <v>1500</v>
      </c>
      <c r="AN5" s="405">
        <v>500</v>
      </c>
      <c r="AO5" s="405">
        <v>450</v>
      </c>
      <c r="AP5" s="339"/>
      <c r="AQ5" s="405"/>
      <c r="AR5" s="405">
        <v>50</v>
      </c>
      <c r="AS5" s="339"/>
      <c r="AT5" s="405"/>
      <c r="AU5" s="405">
        <v>15</v>
      </c>
      <c r="AV5" s="405">
        <v>4</v>
      </c>
      <c r="AW5" s="405"/>
      <c r="AX5" s="405"/>
      <c r="AY5" s="405"/>
      <c r="AZ5" s="405"/>
      <c r="BA5" s="405"/>
      <c r="BB5" s="405"/>
      <c r="BC5" s="405"/>
      <c r="BD5" s="339"/>
      <c r="BE5" s="339"/>
      <c r="BF5" s="339"/>
      <c r="BG5" s="339"/>
      <c r="BH5" s="339"/>
      <c r="BI5" s="405"/>
      <c r="BJ5" s="339"/>
      <c r="BK5" s="405"/>
      <c r="BL5" s="339"/>
      <c r="BM5" s="405"/>
      <c r="BN5" s="405"/>
      <c r="BO5" s="405"/>
      <c r="BP5" s="405"/>
      <c r="BQ5" s="405"/>
      <c r="BR5" s="405"/>
      <c r="BS5" s="405"/>
      <c r="BT5" s="188"/>
      <c r="BU5" s="188"/>
    </row>
    <row r="6" spans="1:74" ht="30.75" customHeight="1" thickBot="1" x14ac:dyDescent="0.3">
      <c r="A6" s="50">
        <v>60</v>
      </c>
      <c r="B6" s="397" t="s">
        <v>161</v>
      </c>
      <c r="C6" s="341">
        <v>5</v>
      </c>
      <c r="D6" s="341">
        <v>5</v>
      </c>
      <c r="E6" s="342">
        <v>10</v>
      </c>
      <c r="F6" s="343">
        <v>10</v>
      </c>
      <c r="G6" s="343">
        <v>10</v>
      </c>
      <c r="H6" s="342">
        <v>10</v>
      </c>
      <c r="I6" s="343">
        <v>0</v>
      </c>
      <c r="J6" s="343">
        <v>0</v>
      </c>
      <c r="K6" s="342">
        <v>0</v>
      </c>
      <c r="L6" s="343">
        <v>0</v>
      </c>
      <c r="M6" s="343" t="s">
        <v>65</v>
      </c>
      <c r="N6" s="343">
        <v>0</v>
      </c>
      <c r="O6" s="344">
        <f>SUM(R6,V6,Z6,AM6,AR6,AU6)</f>
        <v>6.341499999999999</v>
      </c>
      <c r="P6" s="344">
        <f>SUM(S6,W6,AA6,AC6,AN6,AV6)</f>
        <v>4.7404999999999999</v>
      </c>
      <c r="Q6" s="344">
        <f>SUM(T6,X6,AB6,AD6,AO6)</f>
        <v>3.2920000000000003</v>
      </c>
      <c r="R6" s="345">
        <v>2.52</v>
      </c>
      <c r="S6" s="345">
        <v>1.6</v>
      </c>
      <c r="T6" s="345">
        <v>1.1000000000000001</v>
      </c>
      <c r="U6" s="345">
        <v>0</v>
      </c>
      <c r="V6" s="346">
        <v>1.98</v>
      </c>
      <c r="W6" s="346">
        <v>1.21</v>
      </c>
      <c r="X6" s="346">
        <v>0.66</v>
      </c>
      <c r="Y6" s="346">
        <v>0</v>
      </c>
      <c r="Z6" s="347">
        <v>0.12</v>
      </c>
      <c r="AA6" s="347">
        <v>5.5E-2</v>
      </c>
      <c r="AB6" s="347">
        <v>2.1999999999999999E-2</v>
      </c>
      <c r="AC6" s="348">
        <v>1.32</v>
      </c>
      <c r="AD6" s="348">
        <v>0.99</v>
      </c>
      <c r="AE6" s="342">
        <v>0</v>
      </c>
      <c r="AF6" s="342">
        <v>0</v>
      </c>
      <c r="AG6" s="342">
        <v>2</v>
      </c>
      <c r="AH6" s="342">
        <v>6</v>
      </c>
      <c r="AI6" s="342">
        <v>0</v>
      </c>
      <c r="AJ6" s="342">
        <v>0</v>
      </c>
      <c r="AK6" s="342">
        <v>0</v>
      </c>
      <c r="AL6" s="342">
        <v>0</v>
      </c>
      <c r="AM6" s="349">
        <v>1.65</v>
      </c>
      <c r="AN6" s="349">
        <v>0.55000000000000004</v>
      </c>
      <c r="AO6" s="349">
        <v>0.52</v>
      </c>
      <c r="AP6" s="349">
        <v>0</v>
      </c>
      <c r="AQ6" s="349">
        <v>0</v>
      </c>
      <c r="AR6" s="350">
        <v>5.5E-2</v>
      </c>
      <c r="AS6" s="350">
        <v>3</v>
      </c>
      <c r="AT6" s="361"/>
      <c r="AU6" s="176">
        <v>1.6500000000000001E-2</v>
      </c>
      <c r="AV6" s="350">
        <v>5.4999999999999997E-3</v>
      </c>
      <c r="AW6" s="350" t="s">
        <v>65</v>
      </c>
      <c r="AX6" s="350">
        <v>0</v>
      </c>
      <c r="AY6" s="350" t="s">
        <v>65</v>
      </c>
      <c r="AZ6" s="350">
        <v>0</v>
      </c>
      <c r="BA6" s="350" t="s">
        <v>65</v>
      </c>
      <c r="BB6" s="350" t="s">
        <v>65</v>
      </c>
      <c r="BC6" s="350" t="s">
        <v>65</v>
      </c>
      <c r="BD6" s="362">
        <v>1</v>
      </c>
      <c r="BE6" s="372" t="s">
        <v>169</v>
      </c>
      <c r="BF6" s="362">
        <v>26756.07</v>
      </c>
      <c r="BG6" s="362">
        <v>1.6</v>
      </c>
      <c r="BH6" s="373" t="s">
        <v>66</v>
      </c>
      <c r="BI6" s="362">
        <v>1450</v>
      </c>
      <c r="BJ6" s="362">
        <v>0</v>
      </c>
      <c r="BK6" s="362" t="s">
        <v>65</v>
      </c>
      <c r="BL6" s="362">
        <v>0</v>
      </c>
      <c r="BM6" s="362" t="s">
        <v>65</v>
      </c>
      <c r="BN6" s="363" t="s">
        <v>67</v>
      </c>
      <c r="BO6" s="363" t="s">
        <v>67</v>
      </c>
      <c r="BP6" s="364" t="s">
        <v>67</v>
      </c>
      <c r="BQ6" s="364" t="s">
        <v>67</v>
      </c>
      <c r="BR6" s="66">
        <v>0</v>
      </c>
      <c r="BS6" s="66">
        <v>0</v>
      </c>
      <c r="BT6" s="369" t="s">
        <v>67</v>
      </c>
      <c r="BU6" s="369" t="s">
        <v>175</v>
      </c>
      <c r="BV6" s="357"/>
    </row>
    <row r="7" spans="1:74" s="413" customFormat="1" ht="17.25" customHeight="1" thickBot="1" x14ac:dyDescent="0.3">
      <c r="A7" s="406"/>
      <c r="B7" s="351"/>
      <c r="C7" s="407"/>
      <c r="D7" s="407"/>
      <c r="E7" s="408"/>
      <c r="F7" s="408"/>
      <c r="G7" s="408"/>
      <c r="H7" s="408"/>
      <c r="I7" s="408"/>
      <c r="J7" s="408"/>
      <c r="K7" s="408"/>
      <c r="L7" s="408"/>
      <c r="M7" s="408"/>
      <c r="N7" s="408"/>
      <c r="O7" s="408">
        <v>4946</v>
      </c>
      <c r="P7" s="408">
        <v>3836</v>
      </c>
      <c r="Q7" s="408">
        <v>1983</v>
      </c>
      <c r="R7" s="408">
        <v>2100</v>
      </c>
      <c r="S7" s="408">
        <v>1200</v>
      </c>
      <c r="T7" s="408">
        <v>800</v>
      </c>
      <c r="U7" s="408"/>
      <c r="V7" s="408">
        <v>1600</v>
      </c>
      <c r="W7" s="408">
        <v>900</v>
      </c>
      <c r="X7" s="408">
        <v>400</v>
      </c>
      <c r="Y7" s="408"/>
      <c r="Z7" s="408">
        <v>100</v>
      </c>
      <c r="AA7" s="408">
        <v>45</v>
      </c>
      <c r="AB7" s="408">
        <v>15</v>
      </c>
      <c r="AC7" s="408">
        <v>1000</v>
      </c>
      <c r="AD7" s="408">
        <v>550</v>
      </c>
      <c r="AE7" s="408"/>
      <c r="AF7" s="408"/>
      <c r="AG7" s="408"/>
      <c r="AH7" s="408"/>
      <c r="AI7" s="408"/>
      <c r="AJ7" s="408"/>
      <c r="AK7" s="408"/>
      <c r="AL7" s="408"/>
      <c r="AM7" s="408">
        <v>1300</v>
      </c>
      <c r="AN7" s="408">
        <v>300</v>
      </c>
      <c r="AO7" s="408">
        <v>280</v>
      </c>
      <c r="AP7" s="408"/>
      <c r="AQ7" s="408"/>
      <c r="AR7" s="408">
        <v>40</v>
      </c>
      <c r="AS7" s="408"/>
      <c r="AT7" s="409"/>
      <c r="AU7" s="408">
        <v>18</v>
      </c>
      <c r="AV7" s="408">
        <v>8</v>
      </c>
      <c r="AW7" s="408"/>
      <c r="AX7" s="408"/>
      <c r="AY7" s="408"/>
      <c r="AZ7" s="408"/>
      <c r="BA7" s="408"/>
      <c r="BB7" s="408"/>
      <c r="BC7" s="408"/>
      <c r="BD7" s="410"/>
      <c r="BE7" s="410"/>
      <c r="BF7" s="410"/>
      <c r="BG7" s="410"/>
      <c r="BH7" s="410"/>
      <c r="BI7" s="410"/>
      <c r="BJ7" s="410"/>
      <c r="BK7" s="410"/>
      <c r="BL7" s="410"/>
      <c r="BM7" s="410"/>
      <c r="BN7" s="410"/>
      <c r="BO7" s="410"/>
      <c r="BP7" s="410"/>
      <c r="BQ7" s="410"/>
      <c r="BR7" s="411"/>
      <c r="BS7" s="411"/>
      <c r="BT7" s="412"/>
      <c r="BU7" s="412"/>
    </row>
    <row r="8" spans="1:74" ht="35.25" customHeight="1" thickBot="1" x14ac:dyDescent="0.3">
      <c r="A8" s="50">
        <v>50</v>
      </c>
      <c r="B8" s="397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0</v>
      </c>
      <c r="J8" s="343">
        <v>0</v>
      </c>
      <c r="K8" s="342">
        <v>0</v>
      </c>
      <c r="L8" s="343">
        <v>0</v>
      </c>
      <c r="M8" s="343" t="s">
        <v>65</v>
      </c>
      <c r="N8" s="343">
        <v>0</v>
      </c>
      <c r="O8" s="344">
        <f>SUM(R8,V8,Z8,AM8,AR8,AU8)</f>
        <v>5.6429999999999998</v>
      </c>
      <c r="P8" s="344">
        <f>SUM(S8,W8,AA8,AC8,AN8,AV8)</f>
        <v>3.7888000000000002</v>
      </c>
      <c r="Q8" s="344">
        <f>SUM(T8,X8,AB8,AD8,AO8)</f>
        <v>2.2759999999999998</v>
      </c>
      <c r="R8" s="345">
        <v>2.2999999999999998</v>
      </c>
      <c r="S8" s="345">
        <v>1.32</v>
      </c>
      <c r="T8" s="345">
        <v>0.88</v>
      </c>
      <c r="U8" s="345">
        <v>0</v>
      </c>
      <c r="V8" s="346">
        <v>1.74</v>
      </c>
      <c r="W8" s="346">
        <v>0.99</v>
      </c>
      <c r="X8" s="346">
        <v>0.44</v>
      </c>
      <c r="Y8" s="346">
        <v>0</v>
      </c>
      <c r="Z8" s="347">
        <v>0.11</v>
      </c>
      <c r="AA8" s="347">
        <v>0.04</v>
      </c>
      <c r="AB8" s="347">
        <v>1.6E-2</v>
      </c>
      <c r="AC8" s="348">
        <v>1.1000000000000001</v>
      </c>
      <c r="AD8" s="348">
        <v>0.64</v>
      </c>
      <c r="AE8" s="342">
        <v>0</v>
      </c>
      <c r="AF8" s="342">
        <v>0</v>
      </c>
      <c r="AG8" s="342">
        <v>1</v>
      </c>
      <c r="AH8" s="342">
        <v>1.6</v>
      </c>
      <c r="AI8" s="342">
        <v>0</v>
      </c>
      <c r="AJ8" s="342">
        <v>0</v>
      </c>
      <c r="AK8" s="342">
        <v>0</v>
      </c>
      <c r="AL8" s="342">
        <v>0</v>
      </c>
      <c r="AM8" s="349">
        <v>1.43</v>
      </c>
      <c r="AN8" s="349">
        <v>0.33</v>
      </c>
      <c r="AO8" s="349">
        <v>0.3</v>
      </c>
      <c r="AP8" s="349">
        <v>0</v>
      </c>
      <c r="AQ8" s="349">
        <v>0</v>
      </c>
      <c r="AR8" s="350">
        <v>4.3999999999999997E-2</v>
      </c>
      <c r="AS8" s="350">
        <v>1</v>
      </c>
      <c r="AT8" s="361"/>
      <c r="AU8" s="350">
        <v>1.9E-2</v>
      </c>
      <c r="AV8" s="350">
        <v>8.8000000000000005E-3</v>
      </c>
      <c r="AW8" s="350" t="s">
        <v>65</v>
      </c>
      <c r="AX8" s="350">
        <v>0</v>
      </c>
      <c r="AY8" s="350" t="s">
        <v>65</v>
      </c>
      <c r="AZ8" s="350">
        <v>0</v>
      </c>
      <c r="BA8" s="350" t="s">
        <v>65</v>
      </c>
      <c r="BB8" s="350" t="s">
        <v>65</v>
      </c>
      <c r="BC8" s="350" t="s">
        <v>67</v>
      </c>
      <c r="BD8" s="362">
        <v>1</v>
      </c>
      <c r="BE8" s="372" t="s">
        <v>170</v>
      </c>
      <c r="BF8" s="362">
        <v>15617.8</v>
      </c>
      <c r="BG8" s="368">
        <v>1.6</v>
      </c>
      <c r="BH8" s="362" t="s">
        <v>72</v>
      </c>
      <c r="BI8" s="362">
        <v>820</v>
      </c>
      <c r="BJ8" s="362">
        <v>0</v>
      </c>
      <c r="BK8" s="362" t="s">
        <v>65</v>
      </c>
      <c r="BL8" s="362">
        <v>0</v>
      </c>
      <c r="BM8" s="362" t="s">
        <v>65</v>
      </c>
      <c r="BN8" s="363" t="s">
        <v>67</v>
      </c>
      <c r="BO8" s="363" t="s">
        <v>67</v>
      </c>
      <c r="BP8" s="364" t="s">
        <v>65</v>
      </c>
      <c r="BQ8" s="364" t="s">
        <v>65</v>
      </c>
      <c r="BR8" s="66">
        <v>0</v>
      </c>
      <c r="BS8" s="66">
        <v>0</v>
      </c>
      <c r="BT8" s="370" t="s">
        <v>122</v>
      </c>
      <c r="BU8" s="371">
        <v>0</v>
      </c>
    </row>
    <row r="9" spans="1:74" s="1143" customFormat="1" ht="45" customHeight="1" x14ac:dyDescent="0.25"/>
    <row r="10" spans="1:74" s="414" customFormat="1" ht="45" customHeight="1" x14ac:dyDescent="0.25">
      <c r="O10" s="415">
        <v>190</v>
      </c>
      <c r="P10" s="415">
        <v>142</v>
      </c>
      <c r="Q10" s="415">
        <v>99</v>
      </c>
    </row>
    <row r="11" spans="1:74" ht="16.5" thickBot="1" x14ac:dyDescent="0.3">
      <c r="A11" s="405"/>
      <c r="B11" s="189"/>
      <c r="C11" s="339"/>
      <c r="D11" s="339"/>
      <c r="E11" s="339"/>
      <c r="F11" s="339"/>
      <c r="G11" s="339"/>
      <c r="H11" s="339"/>
      <c r="I11" s="339"/>
      <c r="J11" s="339"/>
      <c r="K11" s="339"/>
      <c r="L11" s="339"/>
      <c r="M11" s="339"/>
      <c r="N11" s="339"/>
      <c r="O11" s="339">
        <v>5014</v>
      </c>
      <c r="P11" s="405">
        <v>4555</v>
      </c>
      <c r="Q11" s="405">
        <v>3654</v>
      </c>
      <c r="R11" s="405">
        <v>2160</v>
      </c>
      <c r="S11" s="405">
        <v>1560</v>
      </c>
      <c r="T11" s="405">
        <v>1330</v>
      </c>
      <c r="U11" s="405"/>
      <c r="V11" s="405">
        <v>1960</v>
      </c>
      <c r="W11" s="405">
        <v>1360</v>
      </c>
      <c r="X11" s="405">
        <v>1140</v>
      </c>
      <c r="Y11" s="405"/>
      <c r="Z11" s="405">
        <v>165</v>
      </c>
      <c r="AA11" s="405">
        <v>95</v>
      </c>
      <c r="AB11" s="405">
        <v>35</v>
      </c>
      <c r="AC11" s="405">
        <v>1216</v>
      </c>
      <c r="AD11" s="405">
        <v>880</v>
      </c>
      <c r="AE11" s="339"/>
      <c r="AF11" s="405"/>
      <c r="AG11" s="339"/>
      <c r="AH11" s="405"/>
      <c r="AI11" s="339"/>
      <c r="AJ11" s="405"/>
      <c r="AK11" s="339"/>
      <c r="AL11" s="405"/>
      <c r="AM11" s="405">
        <v>620</v>
      </c>
      <c r="AN11" s="405">
        <v>310</v>
      </c>
      <c r="AO11" s="405">
        <v>270</v>
      </c>
      <c r="AP11" s="339"/>
      <c r="AQ11" s="405"/>
      <c r="AR11" s="405">
        <v>90</v>
      </c>
      <c r="AS11" s="339"/>
      <c r="AT11" s="405"/>
      <c r="AU11" s="405">
        <v>26</v>
      </c>
      <c r="AV11" s="405">
        <v>20</v>
      </c>
      <c r="AW11" s="405"/>
      <c r="AX11" s="405"/>
      <c r="AY11" s="405"/>
      <c r="AZ11" s="405"/>
      <c r="BA11" s="405"/>
      <c r="BB11" s="405"/>
      <c r="BC11" s="405"/>
      <c r="BD11" s="339"/>
      <c r="BE11" s="339"/>
      <c r="BF11" s="339"/>
      <c r="BG11" s="339"/>
      <c r="BH11" s="339"/>
      <c r="BI11" s="405"/>
      <c r="BJ11" s="339"/>
      <c r="BK11" s="405"/>
      <c r="BL11" s="339"/>
      <c r="BM11" s="405"/>
      <c r="BN11" s="405"/>
      <c r="BO11" s="405"/>
      <c r="BP11" s="405"/>
      <c r="BQ11" s="405"/>
      <c r="BR11" s="405"/>
      <c r="BS11" s="405"/>
      <c r="BT11" s="188"/>
      <c r="BU11" s="188"/>
    </row>
    <row r="12" spans="1:74" ht="30.75" customHeight="1" thickBot="1" x14ac:dyDescent="0.3">
      <c r="A12" s="50">
        <v>60</v>
      </c>
      <c r="B12" s="397" t="s">
        <v>161</v>
      </c>
      <c r="C12" s="341">
        <v>5</v>
      </c>
      <c r="D12" s="341">
        <v>5</v>
      </c>
      <c r="E12" s="342">
        <v>10</v>
      </c>
      <c r="F12" s="343">
        <v>10</v>
      </c>
      <c r="G12" s="343">
        <v>10</v>
      </c>
      <c r="H12" s="342">
        <v>10</v>
      </c>
      <c r="I12" s="343">
        <v>0</v>
      </c>
      <c r="J12" s="343">
        <v>0</v>
      </c>
      <c r="K12" s="342">
        <v>0</v>
      </c>
      <c r="L12" s="343">
        <v>0</v>
      </c>
      <c r="M12" s="343" t="s">
        <v>65</v>
      </c>
      <c r="N12" s="343">
        <v>0</v>
      </c>
      <c r="O12" s="394">
        <f>SUM(R12,V12,Z12,AM12,AR12,AU12)</f>
        <v>190.245</v>
      </c>
      <c r="P12" s="394">
        <f>SUM(S12,W12,AA12,AC12,AN12,AV12)</f>
        <v>142.215</v>
      </c>
      <c r="Q12" s="394">
        <f>SUM(T12,X12,AB12,AD12,AO12)</f>
        <v>98.759999999999991</v>
      </c>
      <c r="R12" s="345">
        <f>30*R6</f>
        <v>75.599999999999994</v>
      </c>
      <c r="S12" s="345">
        <f>30*S6</f>
        <v>48</v>
      </c>
      <c r="T12" s="345">
        <f>30*T6</f>
        <v>33</v>
      </c>
      <c r="U12" s="345">
        <v>0</v>
      </c>
      <c r="V12" s="346">
        <f>30*V6</f>
        <v>59.4</v>
      </c>
      <c r="W12" s="346">
        <f>30*W6</f>
        <v>36.299999999999997</v>
      </c>
      <c r="X12" s="346">
        <f>30*X6</f>
        <v>19.8</v>
      </c>
      <c r="Y12" s="346">
        <v>0</v>
      </c>
      <c r="Z12" s="347">
        <f>30*Z6</f>
        <v>3.5999999999999996</v>
      </c>
      <c r="AA12" s="347">
        <f>30*AA6</f>
        <v>1.65</v>
      </c>
      <c r="AB12" s="347">
        <f>30*AB6</f>
        <v>0.65999999999999992</v>
      </c>
      <c r="AC12" s="348">
        <f>30*AC6</f>
        <v>39.6</v>
      </c>
      <c r="AD12" s="348">
        <f>30*AD6</f>
        <v>29.7</v>
      </c>
      <c r="AE12" s="342">
        <v>0</v>
      </c>
      <c r="AF12" s="342">
        <v>0</v>
      </c>
      <c r="AG12" s="342">
        <v>2</v>
      </c>
      <c r="AH12" s="342">
        <v>6</v>
      </c>
      <c r="AI12" s="342">
        <v>0</v>
      </c>
      <c r="AJ12" s="342">
        <v>0</v>
      </c>
      <c r="AK12" s="342">
        <v>0</v>
      </c>
      <c r="AL12" s="342">
        <v>0</v>
      </c>
      <c r="AM12" s="349">
        <f>30*AM6</f>
        <v>49.5</v>
      </c>
      <c r="AN12" s="349">
        <f>30*AN6</f>
        <v>16.5</v>
      </c>
      <c r="AO12" s="349">
        <f>30*AO6</f>
        <v>15.600000000000001</v>
      </c>
      <c r="AP12" s="349">
        <v>0</v>
      </c>
      <c r="AQ12" s="349">
        <v>0</v>
      </c>
      <c r="AR12" s="350">
        <f>30*AR6</f>
        <v>1.65</v>
      </c>
      <c r="AS12" s="350">
        <v>3</v>
      </c>
      <c r="AT12" s="361"/>
      <c r="AU12" s="176">
        <f>30*AU6</f>
        <v>0.495</v>
      </c>
      <c r="AV12" s="350">
        <f>30*AV6</f>
        <v>0.16499999999999998</v>
      </c>
      <c r="AW12" s="350" t="s">
        <v>65</v>
      </c>
      <c r="AX12" s="350">
        <v>0</v>
      </c>
      <c r="AY12" s="350" t="s">
        <v>65</v>
      </c>
      <c r="AZ12" s="350">
        <v>0</v>
      </c>
      <c r="BA12" s="350" t="s">
        <v>65</v>
      </c>
      <c r="BB12" s="350" t="s">
        <v>65</v>
      </c>
      <c r="BC12" s="350" t="s">
        <v>65</v>
      </c>
      <c r="BD12" s="362">
        <v>1</v>
      </c>
      <c r="BE12" s="372" t="s">
        <v>169</v>
      </c>
      <c r="BF12" s="362">
        <v>1350</v>
      </c>
      <c r="BG12" s="362">
        <v>1.5</v>
      </c>
      <c r="BH12" s="373" t="s">
        <v>66</v>
      </c>
      <c r="BI12" s="362">
        <v>1260</v>
      </c>
      <c r="BJ12" s="362">
        <v>0</v>
      </c>
      <c r="BK12" s="362" t="s">
        <v>65</v>
      </c>
      <c r="BL12" s="362">
        <v>0</v>
      </c>
      <c r="BM12" s="362" t="s">
        <v>65</v>
      </c>
      <c r="BN12" s="363" t="s">
        <v>67</v>
      </c>
      <c r="BO12" s="363" t="s">
        <v>67</v>
      </c>
      <c r="BP12" s="364" t="s">
        <v>67</v>
      </c>
      <c r="BQ12" s="364" t="s">
        <v>67</v>
      </c>
      <c r="BR12" s="66">
        <v>0</v>
      </c>
      <c r="BS12" s="66">
        <v>0</v>
      </c>
      <c r="BT12" s="369" t="s">
        <v>67</v>
      </c>
      <c r="BU12" s="369" t="s">
        <v>175</v>
      </c>
      <c r="BV12" s="357"/>
    </row>
    <row r="13" spans="1:74" s="340" customFormat="1" ht="17.25" customHeight="1" thickBot="1" x14ac:dyDescent="0.3">
      <c r="A13" s="180"/>
      <c r="B13" s="351"/>
      <c r="C13" s="352"/>
      <c r="D13" s="352"/>
      <c r="E13" s="353"/>
      <c r="F13" s="353"/>
      <c r="G13" s="353"/>
      <c r="H13" s="353"/>
      <c r="I13" s="353"/>
      <c r="J13" s="353"/>
      <c r="K13" s="353"/>
      <c r="L13" s="353"/>
      <c r="M13" s="353"/>
      <c r="N13" s="353"/>
      <c r="O13" s="353">
        <v>4027</v>
      </c>
      <c r="P13" s="353">
        <v>3821</v>
      </c>
      <c r="Q13" s="353">
        <v>3003</v>
      </c>
      <c r="R13" s="353">
        <v>1810</v>
      </c>
      <c r="S13" s="353">
        <v>1316</v>
      </c>
      <c r="T13" s="353">
        <v>1140</v>
      </c>
      <c r="U13" s="353"/>
      <c r="V13" s="353">
        <v>1510</v>
      </c>
      <c r="W13" s="353">
        <v>1110</v>
      </c>
      <c r="X13" s="353">
        <v>840</v>
      </c>
      <c r="Y13" s="353"/>
      <c r="Z13" s="353">
        <v>110</v>
      </c>
      <c r="AA13" s="353">
        <v>60</v>
      </c>
      <c r="AB13" s="353">
        <v>10</v>
      </c>
      <c r="AC13" s="353">
        <v>1010</v>
      </c>
      <c r="AD13" s="353">
        <v>790</v>
      </c>
      <c r="AE13" s="353"/>
      <c r="AF13" s="353"/>
      <c r="AG13" s="353"/>
      <c r="AH13" s="353"/>
      <c r="AI13" s="353"/>
      <c r="AJ13" s="353"/>
      <c r="AK13" s="353"/>
      <c r="AL13" s="353"/>
      <c r="AM13" s="353">
        <v>520</v>
      </c>
      <c r="AN13" s="353">
        <v>310</v>
      </c>
      <c r="AO13" s="353">
        <v>240</v>
      </c>
      <c r="AP13" s="353"/>
      <c r="AQ13" s="353"/>
      <c r="AR13" s="353">
        <v>60</v>
      </c>
      <c r="AS13" s="353"/>
      <c r="AT13" s="365"/>
      <c r="AU13" s="353">
        <v>30</v>
      </c>
      <c r="AV13" s="353">
        <v>20</v>
      </c>
      <c r="AW13" s="353"/>
      <c r="AX13" s="353"/>
      <c r="AY13" s="353"/>
      <c r="AZ13" s="353"/>
      <c r="BA13" s="353"/>
      <c r="BB13" s="353"/>
      <c r="BC13" s="353"/>
      <c r="BD13" s="366"/>
      <c r="BE13" s="366"/>
      <c r="BF13" s="366"/>
      <c r="BG13" s="366"/>
      <c r="BH13" s="366"/>
      <c r="BI13" s="366"/>
      <c r="BJ13" s="366"/>
      <c r="BK13" s="366"/>
      <c r="BL13" s="366"/>
      <c r="BM13" s="366"/>
      <c r="BN13" s="366"/>
      <c r="BO13" s="366"/>
      <c r="BP13" s="366"/>
      <c r="BQ13" s="366"/>
      <c r="BR13" s="367"/>
      <c r="BS13" s="367"/>
      <c r="BT13" s="188"/>
      <c r="BU13" s="188"/>
    </row>
    <row r="14" spans="1:74" ht="35.25" customHeight="1" thickBot="1" x14ac:dyDescent="0.3">
      <c r="A14" s="50">
        <v>50</v>
      </c>
      <c r="B14" s="397" t="s">
        <v>121</v>
      </c>
      <c r="C14" s="341">
        <v>4</v>
      </c>
      <c r="D14" s="354">
        <v>4</v>
      </c>
      <c r="E14" s="342">
        <v>8</v>
      </c>
      <c r="F14" s="343">
        <v>4</v>
      </c>
      <c r="G14" s="343">
        <v>4</v>
      </c>
      <c r="H14" s="342">
        <v>8</v>
      </c>
      <c r="I14" s="343">
        <v>0</v>
      </c>
      <c r="J14" s="343">
        <v>0</v>
      </c>
      <c r="K14" s="342">
        <v>0</v>
      </c>
      <c r="L14" s="343">
        <v>0</v>
      </c>
      <c r="M14" s="343" t="s">
        <v>65</v>
      </c>
      <c r="N14" s="343">
        <v>0</v>
      </c>
      <c r="O14" s="394">
        <f>SUM(R14,V14,Z14,AM14,AR14,AU14)</f>
        <v>169.29</v>
      </c>
      <c r="P14" s="394">
        <f>SUM(S14,W14,AA14,AC14,AN14,AV14)</f>
        <v>113.664</v>
      </c>
      <c r="Q14" s="394">
        <f>SUM(T14,X14,AB14,AD14,AO14)</f>
        <v>68.279999999999987</v>
      </c>
      <c r="R14" s="345">
        <f>30*R8</f>
        <v>69</v>
      </c>
      <c r="S14" s="345">
        <f>30*S8</f>
        <v>39.6</v>
      </c>
      <c r="T14" s="345">
        <f>30*T8</f>
        <v>26.4</v>
      </c>
      <c r="U14" s="345">
        <v>0</v>
      </c>
      <c r="V14" s="346">
        <f>30*V8</f>
        <v>52.2</v>
      </c>
      <c r="W14" s="346">
        <f>30*W8</f>
        <v>29.7</v>
      </c>
      <c r="X14" s="346">
        <f>30*X8</f>
        <v>13.2</v>
      </c>
      <c r="Y14" s="346">
        <v>0</v>
      </c>
      <c r="Z14" s="347">
        <f>30*Z8</f>
        <v>3.3</v>
      </c>
      <c r="AA14" s="347">
        <f>30*AA8</f>
        <v>1.2</v>
      </c>
      <c r="AB14" s="347">
        <f>30*AB8</f>
        <v>0.48</v>
      </c>
      <c r="AC14" s="348">
        <f>30*AC8</f>
        <v>33</v>
      </c>
      <c r="AD14" s="348">
        <f>30*AD8</f>
        <v>19.2</v>
      </c>
      <c r="AE14" s="342">
        <v>0</v>
      </c>
      <c r="AF14" s="342">
        <v>0</v>
      </c>
      <c r="AG14" s="342">
        <v>1</v>
      </c>
      <c r="AH14" s="342">
        <v>1.6</v>
      </c>
      <c r="AI14" s="342">
        <v>0</v>
      </c>
      <c r="AJ14" s="342">
        <v>0</v>
      </c>
      <c r="AK14" s="342">
        <v>0</v>
      </c>
      <c r="AL14" s="342">
        <v>0</v>
      </c>
      <c r="AM14" s="349">
        <f>30*AM8</f>
        <v>42.9</v>
      </c>
      <c r="AN14" s="349">
        <f>30*AN8</f>
        <v>9.9</v>
      </c>
      <c r="AO14" s="349">
        <f>30*AO8</f>
        <v>9</v>
      </c>
      <c r="AP14" s="349">
        <v>0</v>
      </c>
      <c r="AQ14" s="349">
        <v>0</v>
      </c>
      <c r="AR14" s="350">
        <f>30*AR8</f>
        <v>1.3199999999999998</v>
      </c>
      <c r="AS14" s="350">
        <v>1</v>
      </c>
      <c r="AT14" s="361"/>
      <c r="AU14" s="350">
        <f>30*AU8</f>
        <v>0.56999999999999995</v>
      </c>
      <c r="AV14" s="350">
        <f>30*AV8</f>
        <v>0.26400000000000001</v>
      </c>
      <c r="AW14" s="350" t="s">
        <v>65</v>
      </c>
      <c r="AX14" s="350">
        <v>0</v>
      </c>
      <c r="AY14" s="350" t="s">
        <v>65</v>
      </c>
      <c r="AZ14" s="350">
        <v>0</v>
      </c>
      <c r="BA14" s="350" t="s">
        <v>65</v>
      </c>
      <c r="BB14" s="350" t="s">
        <v>65</v>
      </c>
      <c r="BC14" s="350" t="s">
        <v>67</v>
      </c>
      <c r="BD14" s="362">
        <v>1</v>
      </c>
      <c r="BE14" s="372" t="s">
        <v>170</v>
      </c>
      <c r="BF14" s="362">
        <v>15617.8</v>
      </c>
      <c r="BG14" s="368">
        <v>1.6</v>
      </c>
      <c r="BH14" s="362" t="s">
        <v>72</v>
      </c>
      <c r="BI14" s="362">
        <v>800</v>
      </c>
      <c r="BJ14" s="362">
        <v>0</v>
      </c>
      <c r="BK14" s="362" t="s">
        <v>65</v>
      </c>
      <c r="BL14" s="362">
        <v>0</v>
      </c>
      <c r="BM14" s="362" t="s">
        <v>65</v>
      </c>
      <c r="BN14" s="363" t="s">
        <v>67</v>
      </c>
      <c r="BO14" s="363" t="s">
        <v>67</v>
      </c>
      <c r="BP14" s="364" t="s">
        <v>65</v>
      </c>
      <c r="BQ14" s="364" t="s">
        <v>65</v>
      </c>
      <c r="BR14" s="66">
        <v>0</v>
      </c>
      <c r="BS14" s="66">
        <v>0</v>
      </c>
      <c r="BT14" s="370" t="s">
        <v>122</v>
      </c>
      <c r="BU14" s="371">
        <v>0</v>
      </c>
    </row>
    <row r="15" spans="1:74" ht="29.25" customHeight="1" x14ac:dyDescent="0.25">
      <c r="O15" s="416">
        <v>169</v>
      </c>
      <c r="P15" s="416">
        <v>114</v>
      </c>
      <c r="Q15" s="416">
        <v>68</v>
      </c>
    </row>
    <row r="20" spans="22:24" x14ac:dyDescent="0.25">
      <c r="V20">
        <v>33</v>
      </c>
      <c r="X20" s="417">
        <f>V20/100*70</f>
        <v>23.1</v>
      </c>
    </row>
    <row r="21" spans="22:24" x14ac:dyDescent="0.25">
      <c r="V21">
        <v>39.6</v>
      </c>
      <c r="X21" s="417">
        <v>25</v>
      </c>
    </row>
    <row r="22" spans="22:24" x14ac:dyDescent="0.25">
      <c r="V22">
        <v>29.7</v>
      </c>
      <c r="X22" s="417">
        <v>18</v>
      </c>
    </row>
    <row r="23" spans="22:24" x14ac:dyDescent="0.25">
      <c r="V23">
        <v>8</v>
      </c>
      <c r="X23" s="417">
        <f>V23/100*20</f>
        <v>1.6</v>
      </c>
    </row>
    <row r="24" spans="22:24" x14ac:dyDescent="0.25">
      <c r="V24">
        <v>3.7</v>
      </c>
      <c r="X24" s="417"/>
    </row>
    <row r="25" spans="22:24" x14ac:dyDescent="0.25">
      <c r="V25">
        <f>SUM(V20:V24)</f>
        <v>114</v>
      </c>
      <c r="X25" s="417">
        <f>SUM(X20:X24)</f>
        <v>67.699999999999989</v>
      </c>
    </row>
  </sheetData>
  <mergeCells count="23">
    <mergeCell ref="L1:L2"/>
    <mergeCell ref="A9:XFD9"/>
    <mergeCell ref="A1:A3"/>
    <mergeCell ref="B1:B3"/>
    <mergeCell ref="C1:E2"/>
    <mergeCell ref="F1:H2"/>
    <mergeCell ref="I1:K2"/>
    <mergeCell ref="M1:M2"/>
    <mergeCell ref="N1:N2"/>
    <mergeCell ref="O1:Q1"/>
    <mergeCell ref="R1:U1"/>
    <mergeCell ref="V1:Y1"/>
    <mergeCell ref="AC1:AD1"/>
    <mergeCell ref="AE1:AL1"/>
    <mergeCell ref="AM1:AQ1"/>
    <mergeCell ref="AR1:AT1"/>
    <mergeCell ref="Z1:AB1"/>
    <mergeCell ref="BN1:BO1"/>
    <mergeCell ref="BP1:BQ1"/>
    <mergeCell ref="BR1:BS1"/>
    <mergeCell ref="BT1:BU1"/>
    <mergeCell ref="AU1:BC1"/>
    <mergeCell ref="BD1:BM1"/>
  </mergeCell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17"/>
  <sheetViews>
    <sheetView workbookViewId="0">
      <selection activeCell="I5" sqref="I5:J12"/>
    </sheetView>
  </sheetViews>
  <sheetFormatPr defaultRowHeight="15" x14ac:dyDescent="0.25"/>
  <cols>
    <col min="3" max="3" width="3.5703125" bestFit="1" customWidth="1"/>
    <col min="4" max="4" width="33.28515625" bestFit="1" customWidth="1"/>
    <col min="5" max="5" width="16.5703125" customWidth="1"/>
    <col min="9" max="9" width="21.7109375" customWidth="1"/>
  </cols>
  <sheetData>
    <row r="4" spans="3:10" ht="15.75" thickBot="1" x14ac:dyDescent="0.3"/>
    <row r="5" spans="3:10" ht="15.75" thickBot="1" x14ac:dyDescent="0.3">
      <c r="C5" s="262" t="s">
        <v>138</v>
      </c>
      <c r="D5" s="263" t="s">
        <v>139</v>
      </c>
      <c r="E5" s="264" t="s">
        <v>140</v>
      </c>
      <c r="I5" s="383" t="s">
        <v>9</v>
      </c>
      <c r="J5" s="383">
        <v>45</v>
      </c>
    </row>
    <row r="6" spans="3:10" ht="15.75" thickBot="1" x14ac:dyDescent="0.3">
      <c r="C6" s="265">
        <v>1</v>
      </c>
      <c r="D6" s="266" t="s">
        <v>141</v>
      </c>
      <c r="E6" s="268" t="s">
        <v>142</v>
      </c>
      <c r="I6" s="383" t="s">
        <v>10</v>
      </c>
      <c r="J6" s="383">
        <v>35</v>
      </c>
    </row>
    <row r="7" spans="3:10" ht="15.75" thickBot="1" x14ac:dyDescent="0.3">
      <c r="C7" s="265">
        <v>2</v>
      </c>
      <c r="D7" s="266" t="s">
        <v>143</v>
      </c>
      <c r="E7" s="268" t="s">
        <v>144</v>
      </c>
      <c r="I7" s="383" t="s">
        <v>11</v>
      </c>
      <c r="J7" s="383">
        <v>3</v>
      </c>
    </row>
    <row r="8" spans="3:10" ht="15.75" thickBot="1" x14ac:dyDescent="0.3">
      <c r="C8" s="265">
        <v>3</v>
      </c>
      <c r="D8" s="266" t="s">
        <v>145</v>
      </c>
      <c r="E8" s="270" t="s">
        <v>146</v>
      </c>
      <c r="I8" s="383" t="s">
        <v>12</v>
      </c>
      <c r="J8" s="383">
        <v>5</v>
      </c>
    </row>
    <row r="9" spans="3:10" ht="15.75" thickBot="1" x14ac:dyDescent="0.3">
      <c r="C9" s="265" t="s">
        <v>147</v>
      </c>
      <c r="D9" s="266" t="s">
        <v>148</v>
      </c>
      <c r="E9" s="268">
        <v>3.3</v>
      </c>
      <c r="I9" s="383" t="s">
        <v>99</v>
      </c>
      <c r="J9" s="383">
        <v>10</v>
      </c>
    </row>
    <row r="10" spans="3:10" ht="15.75" thickBot="1" x14ac:dyDescent="0.3">
      <c r="C10" s="265" t="s">
        <v>149</v>
      </c>
      <c r="D10" s="266" t="s">
        <v>150</v>
      </c>
      <c r="E10" s="268">
        <v>3.6</v>
      </c>
      <c r="I10" s="383" t="s">
        <v>100</v>
      </c>
      <c r="J10" s="383">
        <v>1</v>
      </c>
    </row>
    <row r="11" spans="3:10" ht="15.75" thickBot="1" x14ac:dyDescent="0.3">
      <c r="C11" s="265" t="s">
        <v>151</v>
      </c>
      <c r="D11" s="266" t="s">
        <v>152</v>
      </c>
      <c r="E11" s="268" t="s">
        <v>123</v>
      </c>
      <c r="I11" s="383" t="s">
        <v>101</v>
      </c>
      <c r="J11" s="383">
        <v>1</v>
      </c>
    </row>
    <row r="12" spans="3:10" ht="15.75" thickBot="1" x14ac:dyDescent="0.3">
      <c r="C12" s="265" t="s">
        <v>153</v>
      </c>
      <c r="D12" s="266" t="s">
        <v>154</v>
      </c>
      <c r="E12" s="268">
        <v>0.22</v>
      </c>
      <c r="J12">
        <f>SUM(J5:J11)</f>
        <v>100</v>
      </c>
    </row>
    <row r="13" spans="3:10" ht="15.75" thickBot="1" x14ac:dyDescent="0.3">
      <c r="C13" s="265">
        <v>4</v>
      </c>
      <c r="D13" s="266" t="s">
        <v>155</v>
      </c>
      <c r="E13" s="268">
        <v>5.5E-2</v>
      </c>
    </row>
    <row r="14" spans="3:10" ht="15.75" thickBot="1" x14ac:dyDescent="0.3">
      <c r="C14" s="265">
        <v>5</v>
      </c>
      <c r="D14" s="266" t="s">
        <v>156</v>
      </c>
      <c r="E14" s="268">
        <v>0.66</v>
      </c>
    </row>
    <row r="15" spans="3:10" ht="15.75" thickBot="1" x14ac:dyDescent="0.3">
      <c r="C15" s="265">
        <v>6</v>
      </c>
      <c r="D15" s="267" t="s">
        <v>157</v>
      </c>
      <c r="E15" s="269" t="s">
        <v>159</v>
      </c>
    </row>
    <row r="16" spans="3:10" ht="15.75" thickBot="1" x14ac:dyDescent="0.3">
      <c r="C16" s="265">
        <v>8</v>
      </c>
      <c r="D16" s="266" t="s">
        <v>158</v>
      </c>
      <c r="E16" s="268" t="s">
        <v>160</v>
      </c>
    </row>
    <row r="17" spans="5:5" x14ac:dyDescent="0.25">
      <c r="E17">
        <f>SUM(E9,E10,E12,E13,E14)</f>
        <v>7.835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5"/>
  <sheetViews>
    <sheetView topLeftCell="N4" workbookViewId="0">
      <selection activeCell="AG8" sqref="AG8"/>
    </sheetView>
  </sheetViews>
  <sheetFormatPr defaultRowHeight="15" x14ac:dyDescent="0.25"/>
  <cols>
    <col min="2" max="2" width="23.42578125" customWidth="1"/>
    <col min="26" max="26" width="10" bestFit="1" customWidth="1"/>
    <col min="58" max="58" width="9.5703125" bestFit="1" customWidth="1"/>
  </cols>
  <sheetData>
    <row r="1" spans="1:74" ht="75" customHeight="1" x14ac:dyDescent="0.25">
      <c r="A1" s="1265" t="s">
        <v>0</v>
      </c>
      <c r="B1" s="1266" t="s">
        <v>1</v>
      </c>
      <c r="C1" s="1207" t="s">
        <v>2</v>
      </c>
      <c r="D1" s="1207"/>
      <c r="E1" s="1207"/>
      <c r="F1" s="1207" t="s">
        <v>3</v>
      </c>
      <c r="G1" s="1207"/>
      <c r="H1" s="1207"/>
      <c r="I1" s="1207" t="s">
        <v>4</v>
      </c>
      <c r="J1" s="1207"/>
      <c r="K1" s="1207"/>
      <c r="L1" s="1207" t="s">
        <v>5</v>
      </c>
      <c r="M1" s="1207" t="s">
        <v>6</v>
      </c>
      <c r="N1" s="1207" t="s">
        <v>7</v>
      </c>
      <c r="O1" s="1213" t="s">
        <v>8</v>
      </c>
      <c r="P1" s="1213"/>
      <c r="Q1" s="1213"/>
      <c r="R1" s="1214" t="s">
        <v>9</v>
      </c>
      <c r="S1" s="1214"/>
      <c r="T1" s="1214"/>
      <c r="U1" s="1214"/>
      <c r="V1" s="1215" t="s">
        <v>10</v>
      </c>
      <c r="W1" s="1215"/>
      <c r="X1" s="1215"/>
      <c r="Y1" s="1215"/>
      <c r="Z1" s="1206" t="s">
        <v>11</v>
      </c>
      <c r="AA1" s="1206"/>
      <c r="AB1" s="1206"/>
      <c r="AC1" s="1210" t="s">
        <v>12</v>
      </c>
      <c r="AD1" s="1210"/>
      <c r="AE1" s="1277" t="s">
        <v>13</v>
      </c>
      <c r="AF1" s="1277"/>
      <c r="AG1" s="1277"/>
      <c r="AH1" s="1277"/>
      <c r="AI1" s="1277"/>
      <c r="AJ1" s="1277"/>
      <c r="AK1" s="1277"/>
      <c r="AL1" s="1277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212" t="s">
        <v>14</v>
      </c>
      <c r="BE1" s="1212"/>
      <c r="BF1" s="1212"/>
      <c r="BG1" s="1212"/>
      <c r="BH1" s="1212"/>
      <c r="BI1" s="1212"/>
      <c r="BJ1" s="1212"/>
      <c r="BK1" s="1212"/>
      <c r="BL1" s="1212"/>
      <c r="BM1" s="1212"/>
      <c r="BN1" s="1208" t="s">
        <v>15</v>
      </c>
      <c r="BO1" s="1208"/>
      <c r="BP1" s="1209" t="s">
        <v>16</v>
      </c>
      <c r="BQ1" s="1209"/>
      <c r="BR1" s="1305" t="s">
        <v>130</v>
      </c>
      <c r="BS1" s="1306"/>
      <c r="BT1" s="1323" t="s">
        <v>171</v>
      </c>
      <c r="BU1" s="1324"/>
    </row>
    <row r="2" spans="1:74" ht="225" x14ac:dyDescent="0.25">
      <c r="A2" s="1265"/>
      <c r="B2" s="1266"/>
      <c r="C2" s="1207"/>
      <c r="D2" s="1207"/>
      <c r="E2" s="1207"/>
      <c r="F2" s="1207"/>
      <c r="G2" s="1207"/>
      <c r="H2" s="1207"/>
      <c r="I2" s="1207"/>
      <c r="J2" s="1207"/>
      <c r="K2" s="1207"/>
      <c r="L2" s="1207"/>
      <c r="M2" s="1207"/>
      <c r="N2" s="1207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422" t="s">
        <v>23</v>
      </c>
      <c r="V2" s="42" t="s">
        <v>24</v>
      </c>
      <c r="W2" s="217" t="s">
        <v>25</v>
      </c>
      <c r="X2" s="218" t="s">
        <v>26</v>
      </c>
      <c r="Y2" s="423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420" t="s">
        <v>105</v>
      </c>
      <c r="AQ2" s="420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421" t="s">
        <v>14</v>
      </c>
      <c r="BE2" s="421" t="s">
        <v>167</v>
      </c>
      <c r="BF2" s="421" t="s">
        <v>39</v>
      </c>
      <c r="BG2" s="421" t="s">
        <v>40</v>
      </c>
      <c r="BH2" s="421" t="s">
        <v>41</v>
      </c>
      <c r="BI2" s="421" t="s">
        <v>42</v>
      </c>
      <c r="BJ2" s="421" t="s">
        <v>43</v>
      </c>
      <c r="BK2" s="421" t="s">
        <v>44</v>
      </c>
      <c r="BL2" s="421" t="s">
        <v>45</v>
      </c>
      <c r="BM2" s="421" t="s">
        <v>46</v>
      </c>
      <c r="BN2" s="419" t="s">
        <v>47</v>
      </c>
      <c r="BO2" s="419" t="s">
        <v>48</v>
      </c>
      <c r="BP2" s="420" t="s">
        <v>49</v>
      </c>
      <c r="BQ2" s="420" t="s">
        <v>50</v>
      </c>
      <c r="BR2" s="419" t="s">
        <v>131</v>
      </c>
      <c r="BS2" s="419" t="s">
        <v>132</v>
      </c>
      <c r="BT2" s="359" t="s">
        <v>172</v>
      </c>
      <c r="BU2" s="359" t="s">
        <v>173</v>
      </c>
    </row>
    <row r="3" spans="1:74" ht="75" x14ac:dyDescent="0.25">
      <c r="A3" s="1265"/>
      <c r="B3" s="1266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29" t="s">
        <v>62</v>
      </c>
      <c r="BM3" s="107" t="s">
        <v>127</v>
      </c>
      <c r="BN3" s="107" t="s">
        <v>120</v>
      </c>
      <c r="BO3" s="107" t="s">
        <v>120</v>
      </c>
      <c r="BP3" s="107" t="s">
        <v>120</v>
      </c>
      <c r="BQ3" s="107" t="s">
        <v>120</v>
      </c>
      <c r="BR3" s="107" t="s">
        <v>54</v>
      </c>
      <c r="BS3" s="107" t="s">
        <v>54</v>
      </c>
      <c r="BT3" s="360" t="s">
        <v>120</v>
      </c>
      <c r="BU3" s="360" t="s">
        <v>174</v>
      </c>
    </row>
    <row r="4" spans="1:74" ht="15.75" x14ac:dyDescent="0.25">
      <c r="A4" s="424">
        <v>1</v>
      </c>
      <c r="B4" s="425">
        <v>2</v>
      </c>
      <c r="C4" s="29">
        <v>3</v>
      </c>
      <c r="D4" s="424">
        <v>4</v>
      </c>
      <c r="E4" s="425">
        <v>5</v>
      </c>
      <c r="F4" s="29">
        <v>6</v>
      </c>
      <c r="G4" s="424">
        <v>7</v>
      </c>
      <c r="H4" s="425">
        <v>8</v>
      </c>
      <c r="I4" s="29">
        <v>9</v>
      </c>
      <c r="J4" s="424">
        <v>10</v>
      </c>
      <c r="K4" s="425">
        <v>11</v>
      </c>
      <c r="L4" s="29">
        <v>12</v>
      </c>
      <c r="M4" s="424">
        <v>13</v>
      </c>
      <c r="N4" s="425">
        <v>14</v>
      </c>
      <c r="O4" s="29">
        <v>15</v>
      </c>
      <c r="P4" s="424">
        <v>16</v>
      </c>
      <c r="Q4" s="425">
        <v>17</v>
      </c>
      <c r="R4" s="29">
        <v>18</v>
      </c>
      <c r="S4" s="424">
        <v>19</v>
      </c>
      <c r="T4" s="425">
        <v>20</v>
      </c>
      <c r="U4" s="29">
        <v>21</v>
      </c>
      <c r="V4" s="424">
        <v>22</v>
      </c>
      <c r="W4" s="425">
        <v>23</v>
      </c>
      <c r="X4" s="29">
        <v>24</v>
      </c>
      <c r="Y4" s="424">
        <v>25</v>
      </c>
      <c r="Z4" s="425">
        <v>26</v>
      </c>
      <c r="AA4" s="29">
        <v>27</v>
      </c>
      <c r="AB4" s="424">
        <v>28</v>
      </c>
      <c r="AC4" s="425">
        <v>29</v>
      </c>
      <c r="AD4" s="29">
        <v>30</v>
      </c>
      <c r="AE4" s="424">
        <v>31</v>
      </c>
      <c r="AF4" s="425">
        <v>32</v>
      </c>
      <c r="AG4" s="29">
        <v>33</v>
      </c>
      <c r="AH4" s="424">
        <v>34</v>
      </c>
      <c r="AI4" s="425">
        <v>35</v>
      </c>
      <c r="AJ4" s="29">
        <v>36</v>
      </c>
      <c r="AK4" s="424">
        <v>37</v>
      </c>
      <c r="AL4" s="425">
        <v>38</v>
      </c>
      <c r="AM4" s="29">
        <v>39</v>
      </c>
      <c r="AN4" s="424">
        <v>40</v>
      </c>
      <c r="AO4" s="425">
        <v>41</v>
      </c>
      <c r="AP4" s="29">
        <v>42</v>
      </c>
      <c r="AQ4" s="424">
        <v>43</v>
      </c>
      <c r="AR4" s="425">
        <v>44</v>
      </c>
      <c r="AS4" s="29">
        <v>45</v>
      </c>
      <c r="AT4" s="424">
        <v>46</v>
      </c>
      <c r="AU4" s="425">
        <v>47</v>
      </c>
      <c r="AV4" s="29">
        <v>48</v>
      </c>
      <c r="AW4" s="424">
        <v>49</v>
      </c>
      <c r="AX4" s="425">
        <v>50</v>
      </c>
      <c r="AY4" s="29">
        <v>51</v>
      </c>
      <c r="AZ4" s="424">
        <v>52</v>
      </c>
      <c r="BA4" s="425">
        <v>53</v>
      </c>
      <c r="BB4" s="29">
        <v>54</v>
      </c>
      <c r="BC4" s="424">
        <v>55</v>
      </c>
      <c r="BD4" s="425">
        <v>56</v>
      </c>
      <c r="BE4" s="29">
        <v>57</v>
      </c>
      <c r="BF4" s="424">
        <v>58</v>
      </c>
      <c r="BG4" s="425">
        <v>59</v>
      </c>
      <c r="BH4" s="29">
        <v>60</v>
      </c>
      <c r="BI4" s="424">
        <v>61</v>
      </c>
      <c r="BJ4" s="425">
        <v>62</v>
      </c>
      <c r="BK4" s="29">
        <v>63</v>
      </c>
      <c r="BL4" s="424">
        <v>64</v>
      </c>
      <c r="BM4" s="425">
        <v>65</v>
      </c>
      <c r="BN4" s="29">
        <v>66</v>
      </c>
      <c r="BO4" s="424">
        <v>67</v>
      </c>
      <c r="BP4" s="425">
        <v>68</v>
      </c>
      <c r="BQ4" s="29">
        <v>69</v>
      </c>
      <c r="BR4" s="424">
        <v>70</v>
      </c>
      <c r="BS4" s="425">
        <v>71</v>
      </c>
      <c r="BT4" s="29">
        <v>72</v>
      </c>
      <c r="BU4" s="424">
        <v>73</v>
      </c>
    </row>
    <row r="5" spans="1:74" ht="16.5" thickBot="1" x14ac:dyDescent="0.3">
      <c r="A5" s="426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5561</v>
      </c>
      <c r="P5" s="426">
        <v>4745</v>
      </c>
      <c r="Q5" s="426">
        <v>2886</v>
      </c>
      <c r="R5" s="426">
        <v>2300</v>
      </c>
      <c r="S5" s="426">
        <v>1450</v>
      </c>
      <c r="T5" s="426">
        <v>900</v>
      </c>
      <c r="U5" s="426"/>
      <c r="V5" s="426">
        <v>1800</v>
      </c>
      <c r="W5" s="426">
        <v>1100</v>
      </c>
      <c r="X5" s="426">
        <v>550</v>
      </c>
      <c r="Y5" s="426"/>
      <c r="Z5" s="426">
        <v>115</v>
      </c>
      <c r="AA5" s="426">
        <v>50</v>
      </c>
      <c r="AB5" s="426">
        <v>20</v>
      </c>
      <c r="AC5" s="426">
        <v>1200</v>
      </c>
      <c r="AD5" s="426">
        <v>800</v>
      </c>
      <c r="AE5" s="339"/>
      <c r="AF5" s="426"/>
      <c r="AG5" s="339"/>
      <c r="AH5" s="426"/>
      <c r="AI5" s="339"/>
      <c r="AJ5" s="426"/>
      <c r="AK5" s="339"/>
      <c r="AL5" s="426"/>
      <c r="AM5" s="426">
        <v>1500</v>
      </c>
      <c r="AN5" s="426">
        <v>500</v>
      </c>
      <c r="AO5" s="426">
        <v>450</v>
      </c>
      <c r="AP5" s="339"/>
      <c r="AQ5" s="426"/>
      <c r="AR5" s="426">
        <v>50</v>
      </c>
      <c r="AS5" s="339"/>
      <c r="AT5" s="426"/>
      <c r="AU5" s="426">
        <v>12</v>
      </c>
      <c r="AV5" s="426">
        <v>4</v>
      </c>
      <c r="AW5" s="426"/>
      <c r="AX5" s="426"/>
      <c r="AY5" s="426"/>
      <c r="AZ5" s="426"/>
      <c r="BA5" s="426"/>
      <c r="BB5" s="426"/>
      <c r="BC5" s="426"/>
      <c r="BD5" s="339"/>
      <c r="BE5" s="339"/>
      <c r="BF5" s="339"/>
      <c r="BG5" s="339"/>
      <c r="BH5" s="339"/>
      <c r="BI5" s="426"/>
      <c r="BJ5" s="339"/>
      <c r="BK5" s="426"/>
      <c r="BL5" s="339"/>
      <c r="BM5" s="426"/>
      <c r="BN5" s="426"/>
      <c r="BO5" s="426"/>
      <c r="BP5" s="426"/>
      <c r="BQ5" s="426"/>
      <c r="BR5" s="426"/>
      <c r="BS5" s="426"/>
      <c r="BT5" s="188"/>
      <c r="BU5" s="188"/>
    </row>
    <row r="6" spans="1:74" ht="30.75" customHeight="1" thickBot="1" x14ac:dyDescent="0.3">
      <c r="A6" s="50">
        <v>60</v>
      </c>
      <c r="B6" s="418" t="s">
        <v>161</v>
      </c>
      <c r="C6" s="341">
        <v>5</v>
      </c>
      <c r="D6" s="341">
        <v>5</v>
      </c>
      <c r="E6" s="342">
        <v>10</v>
      </c>
      <c r="F6" s="343">
        <v>10</v>
      </c>
      <c r="G6" s="343">
        <v>10</v>
      </c>
      <c r="H6" s="342">
        <v>10</v>
      </c>
      <c r="I6" s="343">
        <v>0</v>
      </c>
      <c r="J6" s="343">
        <v>0</v>
      </c>
      <c r="K6" s="342">
        <v>0</v>
      </c>
      <c r="L6" s="343">
        <v>0</v>
      </c>
      <c r="M6" s="343" t="s">
        <v>65</v>
      </c>
      <c r="N6" s="343">
        <v>0</v>
      </c>
      <c r="O6" s="344">
        <f>SUM(R6,V6,Z6,AM6,AR6,AU6)</f>
        <v>6.3082276999999998</v>
      </c>
      <c r="P6" s="344">
        <f>SUM(S6,W6,AA6,AC6,AN6,AV6)</f>
        <v>4.6749999999999998</v>
      </c>
      <c r="Q6" s="344">
        <f>SUM(T6,X6,AB6,AD6,AO6)</f>
        <v>2.94</v>
      </c>
      <c r="R6" s="345">
        <v>2.5099999999999998</v>
      </c>
      <c r="S6" s="345">
        <v>1.59</v>
      </c>
      <c r="T6" s="345">
        <v>0.99</v>
      </c>
      <c r="U6" s="345">
        <v>0</v>
      </c>
      <c r="V6" s="346">
        <v>1.97</v>
      </c>
      <c r="W6" s="346">
        <v>1.21</v>
      </c>
      <c r="X6" s="346">
        <v>0.6</v>
      </c>
      <c r="Y6" s="346">
        <v>0</v>
      </c>
      <c r="Z6" s="347">
        <v>0.11</v>
      </c>
      <c r="AA6" s="347">
        <v>0.05</v>
      </c>
      <c r="AB6" s="347">
        <v>0.02</v>
      </c>
      <c r="AC6" s="348">
        <v>1.32</v>
      </c>
      <c r="AD6" s="348">
        <v>0.88</v>
      </c>
      <c r="AE6" s="342">
        <v>0</v>
      </c>
      <c r="AF6" s="342">
        <v>0</v>
      </c>
      <c r="AG6" s="342">
        <v>2</v>
      </c>
      <c r="AH6" s="342">
        <v>6</v>
      </c>
      <c r="AI6" s="342">
        <v>0</v>
      </c>
      <c r="AJ6" s="342">
        <v>0</v>
      </c>
      <c r="AK6" s="342">
        <v>0</v>
      </c>
      <c r="AL6" s="342">
        <v>0</v>
      </c>
      <c r="AM6" s="349">
        <v>1.65</v>
      </c>
      <c r="AN6" s="349">
        <v>0.5</v>
      </c>
      <c r="AO6" s="349">
        <v>0.45</v>
      </c>
      <c r="AP6" s="349">
        <v>0</v>
      </c>
      <c r="AQ6" s="349">
        <v>0</v>
      </c>
      <c r="AR6" s="350">
        <v>5.5E-2</v>
      </c>
      <c r="AS6" s="350">
        <v>3</v>
      </c>
      <c r="AT6" s="361"/>
      <c r="AU6" s="176">
        <v>1.32277E-2</v>
      </c>
      <c r="AV6" s="350">
        <v>5.0000000000000001E-3</v>
      </c>
      <c r="AW6" s="350" t="s">
        <v>65</v>
      </c>
      <c r="AX6" s="350">
        <v>0</v>
      </c>
      <c r="AY6" s="350" t="s">
        <v>65</v>
      </c>
      <c r="AZ6" s="350">
        <v>0</v>
      </c>
      <c r="BA6" s="350" t="s">
        <v>65</v>
      </c>
      <c r="BB6" s="350" t="s">
        <v>65</v>
      </c>
      <c r="BC6" s="350" t="s">
        <v>65</v>
      </c>
      <c r="BD6" s="362">
        <v>1</v>
      </c>
      <c r="BE6" s="372" t="s">
        <v>169</v>
      </c>
      <c r="BF6" s="362">
        <v>26756.07</v>
      </c>
      <c r="BG6" s="362">
        <v>1.6</v>
      </c>
      <c r="BH6" s="373" t="s">
        <v>66</v>
      </c>
      <c r="BI6" s="362">
        <v>1450</v>
      </c>
      <c r="BJ6" s="362">
        <v>0</v>
      </c>
      <c r="BK6" s="362" t="s">
        <v>65</v>
      </c>
      <c r="BL6" s="362">
        <v>0</v>
      </c>
      <c r="BM6" s="362" t="s">
        <v>65</v>
      </c>
      <c r="BN6" s="363" t="s">
        <v>67</v>
      </c>
      <c r="BO6" s="363" t="s">
        <v>67</v>
      </c>
      <c r="BP6" s="364" t="s">
        <v>67</v>
      </c>
      <c r="BQ6" s="364" t="s">
        <v>67</v>
      </c>
      <c r="BR6" s="66">
        <v>0</v>
      </c>
      <c r="BS6" s="66">
        <v>0</v>
      </c>
      <c r="BT6" s="369" t="s">
        <v>67</v>
      </c>
      <c r="BU6" s="369" t="s">
        <v>175</v>
      </c>
      <c r="BV6" s="357"/>
    </row>
    <row r="7" spans="1:74" s="413" customFormat="1" ht="17.25" customHeight="1" thickBot="1" x14ac:dyDescent="0.3">
      <c r="A7" s="426"/>
      <c r="B7" s="351"/>
      <c r="C7" s="407"/>
      <c r="D7" s="407"/>
      <c r="E7" s="408"/>
      <c r="F7" s="408"/>
      <c r="G7" s="408"/>
      <c r="H7" s="408"/>
      <c r="I7" s="408"/>
      <c r="J7" s="408"/>
      <c r="K7" s="408"/>
      <c r="L7" s="408"/>
      <c r="M7" s="408"/>
      <c r="N7" s="408"/>
      <c r="O7" s="408">
        <v>4946</v>
      </c>
      <c r="P7" s="408">
        <v>3836</v>
      </c>
      <c r="Q7" s="408">
        <v>1983</v>
      </c>
      <c r="R7" s="408">
        <v>2100</v>
      </c>
      <c r="S7" s="408">
        <v>1200</v>
      </c>
      <c r="T7" s="408">
        <v>800</v>
      </c>
      <c r="U7" s="408"/>
      <c r="V7" s="408">
        <v>1600</v>
      </c>
      <c r="W7" s="408">
        <v>800</v>
      </c>
      <c r="X7" s="408">
        <v>400</v>
      </c>
      <c r="Y7" s="408"/>
      <c r="Z7" s="408">
        <v>100</v>
      </c>
      <c r="AA7" s="408">
        <v>45</v>
      </c>
      <c r="AB7" s="408">
        <v>15</v>
      </c>
      <c r="AC7" s="408">
        <v>1000</v>
      </c>
      <c r="AD7" s="408">
        <v>550</v>
      </c>
      <c r="AE7" s="408"/>
      <c r="AF7" s="408"/>
      <c r="AG7" s="408"/>
      <c r="AH7" s="408"/>
      <c r="AI7" s="408"/>
      <c r="AJ7" s="408"/>
      <c r="AK7" s="408"/>
      <c r="AL7" s="408"/>
      <c r="AM7" s="408">
        <v>1300</v>
      </c>
      <c r="AN7" s="408">
        <v>250</v>
      </c>
      <c r="AO7" s="408">
        <v>200</v>
      </c>
      <c r="AP7" s="408"/>
      <c r="AQ7" s="408"/>
      <c r="AR7" s="408">
        <v>40</v>
      </c>
      <c r="AS7" s="408"/>
      <c r="AT7" s="409"/>
      <c r="AU7" s="408">
        <v>18</v>
      </c>
      <c r="AV7" s="408">
        <v>8</v>
      </c>
      <c r="AW7" s="408"/>
      <c r="AX7" s="408"/>
      <c r="AY7" s="408"/>
      <c r="AZ7" s="408"/>
      <c r="BA7" s="408"/>
      <c r="BB7" s="408"/>
      <c r="BC7" s="408"/>
      <c r="BD7" s="410"/>
      <c r="BE7" s="410"/>
      <c r="BF7" s="410"/>
      <c r="BG7" s="410"/>
      <c r="BH7" s="410"/>
      <c r="BI7" s="410"/>
      <c r="BJ7" s="410"/>
      <c r="BK7" s="410"/>
      <c r="BL7" s="410"/>
      <c r="BM7" s="410"/>
      <c r="BN7" s="410"/>
      <c r="BO7" s="410"/>
      <c r="BP7" s="410"/>
      <c r="BQ7" s="410"/>
      <c r="BR7" s="411"/>
      <c r="BS7" s="411"/>
      <c r="BT7" s="412"/>
      <c r="BU7" s="412"/>
    </row>
    <row r="8" spans="1:74" ht="35.25" customHeight="1" thickBot="1" x14ac:dyDescent="0.3">
      <c r="A8" s="50">
        <v>50</v>
      </c>
      <c r="B8" s="418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0</v>
      </c>
      <c r="J8" s="343">
        <v>0</v>
      </c>
      <c r="K8" s="342">
        <v>0</v>
      </c>
      <c r="L8" s="343">
        <v>0</v>
      </c>
      <c r="M8" s="343" t="s">
        <v>65</v>
      </c>
      <c r="N8" s="343">
        <v>0</v>
      </c>
      <c r="O8" s="344">
        <f>SUM(R8,V8,Z8,AM8,AR8,AU8)</f>
        <v>5.6139999999999999</v>
      </c>
      <c r="P8" s="344">
        <f>SUM(S8,W8,AA8,AC8,AN8,AV8)</f>
        <v>3.5935000000000006</v>
      </c>
      <c r="Q8" s="344">
        <f>SUM(T8,X8,AB8,AD8,AO8)</f>
        <v>1.9810000000000001</v>
      </c>
      <c r="R8" s="345">
        <v>2.29</v>
      </c>
      <c r="S8" s="345">
        <v>1.3</v>
      </c>
      <c r="T8" s="345">
        <v>0.8</v>
      </c>
      <c r="U8" s="345">
        <v>0</v>
      </c>
      <c r="V8" s="346">
        <v>1.75</v>
      </c>
      <c r="W8" s="346">
        <v>0.88</v>
      </c>
      <c r="X8" s="346">
        <v>0.4</v>
      </c>
      <c r="Y8" s="346">
        <v>0</v>
      </c>
      <c r="Z8" s="347">
        <v>9.9000000000000005E-2</v>
      </c>
      <c r="AA8" s="347">
        <v>3.5000000000000003E-2</v>
      </c>
      <c r="AB8" s="347">
        <v>1.0999999999999999E-2</v>
      </c>
      <c r="AC8" s="348">
        <v>1.1000000000000001</v>
      </c>
      <c r="AD8" s="348">
        <v>0.55000000000000004</v>
      </c>
      <c r="AE8" s="342">
        <v>0</v>
      </c>
      <c r="AF8" s="342">
        <v>0</v>
      </c>
      <c r="AG8" s="342">
        <v>1</v>
      </c>
      <c r="AH8" s="342">
        <v>1.6</v>
      </c>
      <c r="AI8" s="342">
        <v>0</v>
      </c>
      <c r="AJ8" s="342">
        <v>0</v>
      </c>
      <c r="AK8" s="342">
        <v>0</v>
      </c>
      <c r="AL8" s="342">
        <v>0</v>
      </c>
      <c r="AM8" s="349">
        <v>1.42</v>
      </c>
      <c r="AN8" s="349">
        <v>0.27</v>
      </c>
      <c r="AO8" s="349">
        <v>0.22</v>
      </c>
      <c r="AP8" s="349">
        <v>0</v>
      </c>
      <c r="AQ8" s="349">
        <v>0</v>
      </c>
      <c r="AR8" s="350">
        <v>0.04</v>
      </c>
      <c r="AS8" s="350">
        <v>1</v>
      </c>
      <c r="AT8" s="361"/>
      <c r="AU8" s="350">
        <v>1.4999999999999999E-2</v>
      </c>
      <c r="AV8" s="350">
        <v>8.5000000000000006E-3</v>
      </c>
      <c r="AW8" s="350" t="s">
        <v>65</v>
      </c>
      <c r="AX8" s="350">
        <v>0</v>
      </c>
      <c r="AY8" s="350" t="s">
        <v>65</v>
      </c>
      <c r="AZ8" s="350">
        <v>0</v>
      </c>
      <c r="BA8" s="350" t="s">
        <v>65</v>
      </c>
      <c r="BB8" s="350" t="s">
        <v>65</v>
      </c>
      <c r="BC8" s="350" t="s">
        <v>67</v>
      </c>
      <c r="BD8" s="362">
        <v>1</v>
      </c>
      <c r="BE8" s="372" t="s">
        <v>170</v>
      </c>
      <c r="BF8" s="362">
        <v>15617.8</v>
      </c>
      <c r="BG8" s="368">
        <v>1.6</v>
      </c>
      <c r="BH8" s="362" t="s">
        <v>72</v>
      </c>
      <c r="BI8" s="362">
        <v>820</v>
      </c>
      <c r="BJ8" s="362">
        <v>0</v>
      </c>
      <c r="BK8" s="362" t="s">
        <v>65</v>
      </c>
      <c r="BL8" s="362">
        <v>0</v>
      </c>
      <c r="BM8" s="362" t="s">
        <v>65</v>
      </c>
      <c r="BN8" s="363" t="s">
        <v>67</v>
      </c>
      <c r="BO8" s="363" t="s">
        <v>67</v>
      </c>
      <c r="BP8" s="364" t="s">
        <v>65</v>
      </c>
      <c r="BQ8" s="364" t="s">
        <v>65</v>
      </c>
      <c r="BR8" s="66">
        <v>0</v>
      </c>
      <c r="BS8" s="66">
        <v>0</v>
      </c>
      <c r="BT8" s="370" t="s">
        <v>122</v>
      </c>
      <c r="BU8" s="371">
        <v>0</v>
      </c>
    </row>
    <row r="9" spans="1:74" s="1143" customFormat="1" ht="45" customHeight="1" x14ac:dyDescent="0.25"/>
    <row r="10" spans="1:74" s="427" customFormat="1" ht="45" customHeight="1" x14ac:dyDescent="0.25">
      <c r="O10" s="415">
        <v>190</v>
      </c>
      <c r="P10" s="415">
        <v>142</v>
      </c>
      <c r="Q10" s="415">
        <v>99</v>
      </c>
    </row>
    <row r="11" spans="1:74" ht="16.5" thickBot="1" x14ac:dyDescent="0.3">
      <c r="A11" s="426"/>
      <c r="B11" s="189"/>
      <c r="C11" s="339"/>
      <c r="D11" s="339"/>
      <c r="E11" s="339"/>
      <c r="F11" s="339"/>
      <c r="G11" s="339"/>
      <c r="H11" s="339"/>
      <c r="I11" s="339"/>
      <c r="J11" s="339"/>
      <c r="K11" s="339"/>
      <c r="L11" s="339"/>
      <c r="M11" s="339"/>
      <c r="N11" s="339"/>
      <c r="O11" s="339">
        <v>5014</v>
      </c>
      <c r="P11" s="426">
        <v>4555</v>
      </c>
      <c r="Q11" s="426">
        <v>3654</v>
      </c>
      <c r="R11" s="426">
        <v>2160</v>
      </c>
      <c r="S11" s="426">
        <v>1560</v>
      </c>
      <c r="T11" s="426">
        <v>1330</v>
      </c>
      <c r="U11" s="426"/>
      <c r="V11" s="426">
        <v>1960</v>
      </c>
      <c r="W11" s="426">
        <v>1360</v>
      </c>
      <c r="X11" s="426">
        <v>1140</v>
      </c>
      <c r="Y11" s="426"/>
      <c r="Z11" s="426">
        <v>165</v>
      </c>
      <c r="AA11" s="426">
        <v>95</v>
      </c>
      <c r="AB11" s="426">
        <v>35</v>
      </c>
      <c r="AC11" s="426">
        <v>1216</v>
      </c>
      <c r="AD11" s="426">
        <v>880</v>
      </c>
      <c r="AE11" s="339"/>
      <c r="AF11" s="426"/>
      <c r="AG11" s="339"/>
      <c r="AH11" s="426"/>
      <c r="AI11" s="339"/>
      <c r="AJ11" s="426"/>
      <c r="AK11" s="339"/>
      <c r="AL11" s="426"/>
      <c r="AM11" s="426">
        <v>620</v>
      </c>
      <c r="AN11" s="426">
        <v>310</v>
      </c>
      <c r="AO11" s="426">
        <v>270</v>
      </c>
      <c r="AP11" s="339"/>
      <c r="AQ11" s="426"/>
      <c r="AR11" s="426">
        <v>90</v>
      </c>
      <c r="AS11" s="339"/>
      <c r="AT11" s="426"/>
      <c r="AU11" s="426">
        <v>26</v>
      </c>
      <c r="AV11" s="426">
        <v>20</v>
      </c>
      <c r="AW11" s="426"/>
      <c r="AX11" s="426"/>
      <c r="AY11" s="426"/>
      <c r="AZ11" s="426"/>
      <c r="BA11" s="426"/>
      <c r="BB11" s="426"/>
      <c r="BC11" s="426"/>
      <c r="BD11" s="339"/>
      <c r="BE11" s="339"/>
      <c r="BF11" s="339"/>
      <c r="BG11" s="339"/>
      <c r="BH11" s="339"/>
      <c r="BI11" s="426"/>
      <c r="BJ11" s="339"/>
      <c r="BK11" s="426"/>
      <c r="BL11" s="339"/>
      <c r="BM11" s="426"/>
      <c r="BN11" s="426"/>
      <c r="BO11" s="426"/>
      <c r="BP11" s="426"/>
      <c r="BQ11" s="426"/>
      <c r="BR11" s="426"/>
      <c r="BS11" s="426"/>
      <c r="BT11" s="188"/>
      <c r="BU11" s="188"/>
    </row>
    <row r="12" spans="1:74" ht="30.75" customHeight="1" thickBot="1" x14ac:dyDescent="0.3">
      <c r="A12" s="50">
        <v>60</v>
      </c>
      <c r="B12" s="418" t="s">
        <v>161</v>
      </c>
      <c r="C12" s="341">
        <v>5</v>
      </c>
      <c r="D12" s="341">
        <v>5</v>
      </c>
      <c r="E12" s="342">
        <v>10</v>
      </c>
      <c r="F12" s="343">
        <v>10</v>
      </c>
      <c r="G12" s="343">
        <v>10</v>
      </c>
      <c r="H12" s="342">
        <v>10</v>
      </c>
      <c r="I12" s="343">
        <v>0</v>
      </c>
      <c r="J12" s="343">
        <v>0</v>
      </c>
      <c r="K12" s="342">
        <v>0</v>
      </c>
      <c r="L12" s="343">
        <v>0</v>
      </c>
      <c r="M12" s="343" t="s">
        <v>65</v>
      </c>
      <c r="N12" s="343">
        <v>0</v>
      </c>
      <c r="O12" s="394">
        <f>SUM(R12,V12,Z12,AM12,AR12,AU12)</f>
        <v>189.24683100000001</v>
      </c>
      <c r="P12" s="394">
        <f>SUM(S12,W12,AA12,AC12,AN12,AV12)</f>
        <v>140.25</v>
      </c>
      <c r="Q12" s="394">
        <f>SUM(T12,X12,AB12,AD12,AO12)</f>
        <v>88.2</v>
      </c>
      <c r="R12" s="345">
        <f>30*R6</f>
        <v>75.3</v>
      </c>
      <c r="S12" s="345">
        <f>30*S6</f>
        <v>47.7</v>
      </c>
      <c r="T12" s="345">
        <f>30*T6</f>
        <v>29.7</v>
      </c>
      <c r="U12" s="345">
        <v>0</v>
      </c>
      <c r="V12" s="346">
        <f>30*V6</f>
        <v>59.1</v>
      </c>
      <c r="W12" s="346">
        <f>30*W6</f>
        <v>36.299999999999997</v>
      </c>
      <c r="X12" s="346">
        <f>30*X6</f>
        <v>18</v>
      </c>
      <c r="Y12" s="346">
        <v>0</v>
      </c>
      <c r="Z12" s="347">
        <f>30*Z6</f>
        <v>3.3</v>
      </c>
      <c r="AA12" s="347">
        <f>30*AA6</f>
        <v>1.5</v>
      </c>
      <c r="AB12" s="347">
        <f>30*AB6</f>
        <v>0.6</v>
      </c>
      <c r="AC12" s="348">
        <f>30*AC6</f>
        <v>39.6</v>
      </c>
      <c r="AD12" s="348">
        <f>30*AD6</f>
        <v>26.4</v>
      </c>
      <c r="AE12" s="342">
        <v>0</v>
      </c>
      <c r="AF12" s="342">
        <v>0</v>
      </c>
      <c r="AG12" s="342">
        <v>2</v>
      </c>
      <c r="AH12" s="342">
        <v>6</v>
      </c>
      <c r="AI12" s="342">
        <v>0</v>
      </c>
      <c r="AJ12" s="342">
        <v>0</v>
      </c>
      <c r="AK12" s="342">
        <v>0</v>
      </c>
      <c r="AL12" s="342">
        <v>0</v>
      </c>
      <c r="AM12" s="349">
        <f>30*AM6</f>
        <v>49.5</v>
      </c>
      <c r="AN12" s="349">
        <f>30*AN6</f>
        <v>15</v>
      </c>
      <c r="AO12" s="349">
        <f>30*AO6</f>
        <v>13.5</v>
      </c>
      <c r="AP12" s="349">
        <v>0</v>
      </c>
      <c r="AQ12" s="349">
        <v>0</v>
      </c>
      <c r="AR12" s="350">
        <f>30*AR6</f>
        <v>1.65</v>
      </c>
      <c r="AS12" s="350">
        <v>3</v>
      </c>
      <c r="AT12" s="361"/>
      <c r="AU12" s="176">
        <f>30*AU6</f>
        <v>0.39683099999999999</v>
      </c>
      <c r="AV12" s="350">
        <f>30*AV6</f>
        <v>0.15</v>
      </c>
      <c r="AW12" s="350" t="s">
        <v>65</v>
      </c>
      <c r="AX12" s="350">
        <v>0</v>
      </c>
      <c r="AY12" s="350" t="s">
        <v>65</v>
      </c>
      <c r="AZ12" s="350">
        <v>0</v>
      </c>
      <c r="BA12" s="350" t="s">
        <v>65</v>
      </c>
      <c r="BB12" s="350" t="s">
        <v>65</v>
      </c>
      <c r="BC12" s="350" t="s">
        <v>65</v>
      </c>
      <c r="BD12" s="362">
        <v>1</v>
      </c>
      <c r="BE12" s="372" t="s">
        <v>169</v>
      </c>
      <c r="BF12" s="362">
        <v>1350</v>
      </c>
      <c r="BG12" s="362">
        <v>1.5</v>
      </c>
      <c r="BH12" s="373" t="s">
        <v>66</v>
      </c>
      <c r="BI12" s="362">
        <v>1260</v>
      </c>
      <c r="BJ12" s="362">
        <v>0</v>
      </c>
      <c r="BK12" s="362" t="s">
        <v>65</v>
      </c>
      <c r="BL12" s="362">
        <v>0</v>
      </c>
      <c r="BM12" s="362" t="s">
        <v>65</v>
      </c>
      <c r="BN12" s="363" t="s">
        <v>67</v>
      </c>
      <c r="BO12" s="363" t="s">
        <v>67</v>
      </c>
      <c r="BP12" s="364" t="s">
        <v>67</v>
      </c>
      <c r="BQ12" s="364" t="s">
        <v>67</v>
      </c>
      <c r="BR12" s="66">
        <v>0</v>
      </c>
      <c r="BS12" s="66">
        <v>0</v>
      </c>
      <c r="BT12" s="369" t="s">
        <v>67</v>
      </c>
      <c r="BU12" s="369" t="s">
        <v>175</v>
      </c>
      <c r="BV12" s="357"/>
    </row>
    <row r="13" spans="1:74" s="340" customFormat="1" ht="17.25" customHeight="1" thickBot="1" x14ac:dyDescent="0.3">
      <c r="A13" s="180"/>
      <c r="B13" s="351"/>
      <c r="C13" s="352"/>
      <c r="D13" s="352"/>
      <c r="E13" s="353"/>
      <c r="F13" s="353"/>
      <c r="G13" s="353"/>
      <c r="H13" s="353"/>
      <c r="I13" s="353"/>
      <c r="J13" s="353"/>
      <c r="K13" s="353"/>
      <c r="L13" s="353"/>
      <c r="M13" s="353"/>
      <c r="N13" s="353"/>
      <c r="O13" s="353">
        <v>4027</v>
      </c>
      <c r="P13" s="353">
        <v>3821</v>
      </c>
      <c r="Q13" s="353">
        <v>3003</v>
      </c>
      <c r="R13" s="353">
        <v>1810</v>
      </c>
      <c r="S13" s="353">
        <v>1316</v>
      </c>
      <c r="T13" s="353">
        <v>1140</v>
      </c>
      <c r="U13" s="353"/>
      <c r="V13" s="353">
        <v>1510</v>
      </c>
      <c r="W13" s="353">
        <v>1110</v>
      </c>
      <c r="X13" s="353">
        <v>840</v>
      </c>
      <c r="Y13" s="353"/>
      <c r="Z13" s="353">
        <v>110</v>
      </c>
      <c r="AA13" s="353">
        <v>60</v>
      </c>
      <c r="AB13" s="353">
        <v>10</v>
      </c>
      <c r="AC13" s="353">
        <v>1010</v>
      </c>
      <c r="AD13" s="353">
        <v>790</v>
      </c>
      <c r="AE13" s="353"/>
      <c r="AF13" s="353"/>
      <c r="AG13" s="353"/>
      <c r="AH13" s="353"/>
      <c r="AI13" s="353"/>
      <c r="AJ13" s="353"/>
      <c r="AK13" s="353"/>
      <c r="AL13" s="353"/>
      <c r="AM13" s="353">
        <v>520</v>
      </c>
      <c r="AN13" s="353">
        <v>310</v>
      </c>
      <c r="AO13" s="353">
        <v>240</v>
      </c>
      <c r="AP13" s="353"/>
      <c r="AQ13" s="353"/>
      <c r="AR13" s="353">
        <v>60</v>
      </c>
      <c r="AS13" s="353"/>
      <c r="AT13" s="365"/>
      <c r="AU13" s="353">
        <v>30</v>
      </c>
      <c r="AV13" s="353">
        <v>20</v>
      </c>
      <c r="AW13" s="353"/>
      <c r="AX13" s="353"/>
      <c r="AY13" s="353"/>
      <c r="AZ13" s="353"/>
      <c r="BA13" s="353"/>
      <c r="BB13" s="353"/>
      <c r="BC13" s="353"/>
      <c r="BD13" s="366"/>
      <c r="BE13" s="366"/>
      <c r="BF13" s="366"/>
      <c r="BG13" s="366"/>
      <c r="BH13" s="366"/>
      <c r="BI13" s="366"/>
      <c r="BJ13" s="366"/>
      <c r="BK13" s="366"/>
      <c r="BL13" s="366"/>
      <c r="BM13" s="366"/>
      <c r="BN13" s="366"/>
      <c r="BO13" s="366"/>
      <c r="BP13" s="366"/>
      <c r="BQ13" s="366"/>
      <c r="BR13" s="367"/>
      <c r="BS13" s="367"/>
      <c r="BT13" s="188"/>
      <c r="BU13" s="188"/>
    </row>
    <row r="14" spans="1:74" ht="35.25" customHeight="1" thickBot="1" x14ac:dyDescent="0.3">
      <c r="A14" s="50">
        <v>50</v>
      </c>
      <c r="B14" s="418" t="s">
        <v>121</v>
      </c>
      <c r="C14" s="341">
        <v>4</v>
      </c>
      <c r="D14" s="354">
        <v>4</v>
      </c>
      <c r="E14" s="342">
        <v>8</v>
      </c>
      <c r="F14" s="343">
        <v>4</v>
      </c>
      <c r="G14" s="343">
        <v>4</v>
      </c>
      <c r="H14" s="342">
        <v>8</v>
      </c>
      <c r="I14" s="343">
        <v>0</v>
      </c>
      <c r="J14" s="343">
        <v>0</v>
      </c>
      <c r="K14" s="342">
        <v>0</v>
      </c>
      <c r="L14" s="343">
        <v>0</v>
      </c>
      <c r="M14" s="343" t="s">
        <v>65</v>
      </c>
      <c r="N14" s="343">
        <v>0</v>
      </c>
      <c r="O14" s="394">
        <f>SUM(R14,V14,Z14,AM14,AR14,AU14)</f>
        <v>168.41999999999996</v>
      </c>
      <c r="P14" s="394">
        <f>SUM(S14,W14,AA14,AC14,AN14,AV14)</f>
        <v>107.80500000000001</v>
      </c>
      <c r="Q14" s="394">
        <f>SUM(T14,X14,AB14,AD14,AO14)</f>
        <v>59.43</v>
      </c>
      <c r="R14" s="345">
        <f>30*R8</f>
        <v>68.7</v>
      </c>
      <c r="S14" s="345">
        <f>30*S8</f>
        <v>39</v>
      </c>
      <c r="T14" s="345">
        <f>30*T8</f>
        <v>24</v>
      </c>
      <c r="U14" s="345">
        <v>0</v>
      </c>
      <c r="V14" s="346">
        <f>30*V8</f>
        <v>52.5</v>
      </c>
      <c r="W14" s="346">
        <f>30*W8</f>
        <v>26.4</v>
      </c>
      <c r="X14" s="346">
        <f>30*X8</f>
        <v>12</v>
      </c>
      <c r="Y14" s="346">
        <v>0</v>
      </c>
      <c r="Z14" s="347">
        <f>30*Z8</f>
        <v>2.97</v>
      </c>
      <c r="AA14" s="347">
        <f>30*AA8</f>
        <v>1.05</v>
      </c>
      <c r="AB14" s="347">
        <f>30*AB8</f>
        <v>0.32999999999999996</v>
      </c>
      <c r="AC14" s="348">
        <f>30*AC8</f>
        <v>33</v>
      </c>
      <c r="AD14" s="348">
        <f>30*AD8</f>
        <v>16.5</v>
      </c>
      <c r="AE14" s="342">
        <v>0</v>
      </c>
      <c r="AF14" s="342">
        <v>0</v>
      </c>
      <c r="AG14" s="342">
        <v>1</v>
      </c>
      <c r="AH14" s="342">
        <v>1.6</v>
      </c>
      <c r="AI14" s="342">
        <v>0</v>
      </c>
      <c r="AJ14" s="342">
        <v>0</v>
      </c>
      <c r="AK14" s="342">
        <v>0</v>
      </c>
      <c r="AL14" s="342">
        <v>0</v>
      </c>
      <c r="AM14" s="349">
        <f>30*AM8</f>
        <v>42.599999999999994</v>
      </c>
      <c r="AN14" s="349">
        <f>30*AN8</f>
        <v>8.1000000000000014</v>
      </c>
      <c r="AO14" s="349">
        <f>30*AO8</f>
        <v>6.6</v>
      </c>
      <c r="AP14" s="349">
        <v>0</v>
      </c>
      <c r="AQ14" s="349">
        <v>0</v>
      </c>
      <c r="AR14" s="350">
        <f>30*AR8</f>
        <v>1.2</v>
      </c>
      <c r="AS14" s="350">
        <v>1</v>
      </c>
      <c r="AT14" s="361"/>
      <c r="AU14" s="350">
        <f>30*AU8</f>
        <v>0.44999999999999996</v>
      </c>
      <c r="AV14" s="350">
        <f>30*AV8</f>
        <v>0.255</v>
      </c>
      <c r="AW14" s="350" t="s">
        <v>65</v>
      </c>
      <c r="AX14" s="350">
        <v>0</v>
      </c>
      <c r="AY14" s="350" t="s">
        <v>65</v>
      </c>
      <c r="AZ14" s="350">
        <v>0</v>
      </c>
      <c r="BA14" s="350" t="s">
        <v>65</v>
      </c>
      <c r="BB14" s="350" t="s">
        <v>65</v>
      </c>
      <c r="BC14" s="350" t="s">
        <v>67</v>
      </c>
      <c r="BD14" s="362">
        <v>1</v>
      </c>
      <c r="BE14" s="372" t="s">
        <v>170</v>
      </c>
      <c r="BF14" s="362">
        <v>15617.8</v>
      </c>
      <c r="BG14" s="368">
        <v>1.6</v>
      </c>
      <c r="BH14" s="362" t="s">
        <v>72</v>
      </c>
      <c r="BI14" s="362">
        <v>800</v>
      </c>
      <c r="BJ14" s="362">
        <v>0</v>
      </c>
      <c r="BK14" s="362" t="s">
        <v>65</v>
      </c>
      <c r="BL14" s="362">
        <v>0</v>
      </c>
      <c r="BM14" s="362" t="s">
        <v>65</v>
      </c>
      <c r="BN14" s="363" t="s">
        <v>67</v>
      </c>
      <c r="BO14" s="363" t="s">
        <v>67</v>
      </c>
      <c r="BP14" s="364" t="s">
        <v>65</v>
      </c>
      <c r="BQ14" s="364" t="s">
        <v>65</v>
      </c>
      <c r="BR14" s="66">
        <v>0</v>
      </c>
      <c r="BS14" s="66">
        <v>0</v>
      </c>
      <c r="BT14" s="370" t="s">
        <v>122</v>
      </c>
      <c r="BU14" s="371">
        <v>0</v>
      </c>
    </row>
    <row r="15" spans="1:74" ht="29.25" customHeight="1" x14ac:dyDescent="0.25">
      <c r="O15" s="416">
        <v>169</v>
      </c>
      <c r="P15" s="416">
        <v>114</v>
      </c>
      <c r="Q15" s="416">
        <v>68</v>
      </c>
    </row>
    <row r="20" spans="22:24" x14ac:dyDescent="0.25">
      <c r="V20">
        <v>33</v>
      </c>
      <c r="X20" s="417">
        <f>V20/100*70</f>
        <v>23.1</v>
      </c>
    </row>
    <row r="21" spans="22:24" x14ac:dyDescent="0.25">
      <c r="V21">
        <v>39.6</v>
      </c>
      <c r="X21" s="417">
        <v>25</v>
      </c>
    </row>
    <row r="22" spans="22:24" x14ac:dyDescent="0.25">
      <c r="V22">
        <v>29.7</v>
      </c>
      <c r="X22" s="417">
        <v>18</v>
      </c>
    </row>
    <row r="23" spans="22:24" x14ac:dyDescent="0.25">
      <c r="V23">
        <v>8</v>
      </c>
      <c r="X23" s="417">
        <f>V23/100*20</f>
        <v>1.6</v>
      </c>
    </row>
    <row r="24" spans="22:24" x14ac:dyDescent="0.25">
      <c r="V24">
        <v>3.7</v>
      </c>
      <c r="X24" s="417"/>
    </row>
    <row r="25" spans="22:24" x14ac:dyDescent="0.25">
      <c r="V25">
        <f>SUM(V20:V24)</f>
        <v>114</v>
      </c>
      <c r="X25" s="417">
        <f>SUM(X20:X24)</f>
        <v>67.699999999999989</v>
      </c>
    </row>
  </sheetData>
  <mergeCells count="23">
    <mergeCell ref="Z1:AB1"/>
    <mergeCell ref="A1:A3"/>
    <mergeCell ref="B1:B3"/>
    <mergeCell ref="C1:E2"/>
    <mergeCell ref="F1:H2"/>
    <mergeCell ref="I1:K2"/>
    <mergeCell ref="L1:L2"/>
    <mergeCell ref="BN1:BO1"/>
    <mergeCell ref="BP1:BQ1"/>
    <mergeCell ref="BR1:BS1"/>
    <mergeCell ref="BT1:BU1"/>
    <mergeCell ref="A9:XFD9"/>
    <mergeCell ref="AC1:AD1"/>
    <mergeCell ref="AE1:AL1"/>
    <mergeCell ref="AM1:AQ1"/>
    <mergeCell ref="AR1:AT1"/>
    <mergeCell ref="AU1:BC1"/>
    <mergeCell ref="BD1:BM1"/>
    <mergeCell ref="M1:M2"/>
    <mergeCell ref="N1:N2"/>
    <mergeCell ref="O1:Q1"/>
    <mergeCell ref="R1:U1"/>
    <mergeCell ref="V1:Y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5"/>
  <sheetViews>
    <sheetView topLeftCell="M6" workbookViewId="0">
      <selection activeCell="M6" sqref="M6"/>
    </sheetView>
  </sheetViews>
  <sheetFormatPr defaultRowHeight="15" x14ac:dyDescent="0.25"/>
  <cols>
    <col min="2" max="2" width="23.42578125" customWidth="1"/>
    <col min="26" max="26" width="10" bestFit="1" customWidth="1"/>
    <col min="58" max="58" width="9.5703125" bestFit="1" customWidth="1"/>
  </cols>
  <sheetData>
    <row r="1" spans="1:73" ht="75" customHeight="1" x14ac:dyDescent="0.25">
      <c r="A1" s="1282" t="s">
        <v>0</v>
      </c>
      <c r="B1" s="1285" t="s">
        <v>1</v>
      </c>
      <c r="C1" s="1288" t="s">
        <v>2</v>
      </c>
      <c r="D1" s="1289"/>
      <c r="E1" s="1290"/>
      <c r="F1" s="1288" t="s">
        <v>3</v>
      </c>
      <c r="G1" s="1289"/>
      <c r="H1" s="1290"/>
      <c r="I1" s="1288" t="s">
        <v>4</v>
      </c>
      <c r="J1" s="1289"/>
      <c r="K1" s="1290"/>
      <c r="L1" s="1294" t="s">
        <v>5</v>
      </c>
      <c r="M1" s="1294" t="s">
        <v>6</v>
      </c>
      <c r="N1" s="1294" t="s">
        <v>7</v>
      </c>
      <c r="O1" s="1296" t="s">
        <v>8</v>
      </c>
      <c r="P1" s="1297"/>
      <c r="Q1" s="1298"/>
      <c r="R1" s="1299" t="s">
        <v>9</v>
      </c>
      <c r="S1" s="1300"/>
      <c r="T1" s="1300"/>
      <c r="U1" s="1301"/>
      <c r="V1" s="1302" t="s">
        <v>10</v>
      </c>
      <c r="W1" s="1303"/>
      <c r="X1" s="1303"/>
      <c r="Y1" s="1304"/>
      <c r="Z1" s="1279" t="s">
        <v>11</v>
      </c>
      <c r="AA1" s="1280"/>
      <c r="AB1" s="1281"/>
      <c r="AC1" s="1309" t="s">
        <v>12</v>
      </c>
      <c r="AD1" s="1310"/>
      <c r="AE1" s="1311" t="s">
        <v>13</v>
      </c>
      <c r="AF1" s="1312"/>
      <c r="AG1" s="1312"/>
      <c r="AH1" s="1312"/>
      <c r="AI1" s="1312"/>
      <c r="AJ1" s="1312"/>
      <c r="AK1" s="1312"/>
      <c r="AL1" s="1313"/>
      <c r="AM1" s="1314" t="s">
        <v>99</v>
      </c>
      <c r="AN1" s="1315"/>
      <c r="AO1" s="1315"/>
      <c r="AP1" s="1315"/>
      <c r="AQ1" s="1316"/>
      <c r="AR1" s="1317" t="s">
        <v>100</v>
      </c>
      <c r="AS1" s="1318"/>
      <c r="AT1" s="1319"/>
      <c r="AU1" s="1317" t="s">
        <v>101</v>
      </c>
      <c r="AV1" s="1318"/>
      <c r="AW1" s="1318"/>
      <c r="AX1" s="1318"/>
      <c r="AY1" s="1318"/>
      <c r="AZ1" s="1318"/>
      <c r="BA1" s="1318"/>
      <c r="BB1" s="1318"/>
      <c r="BC1" s="1319"/>
      <c r="BD1" s="1320" t="s">
        <v>14</v>
      </c>
      <c r="BE1" s="1321"/>
      <c r="BF1" s="1321"/>
      <c r="BG1" s="1321"/>
      <c r="BH1" s="1321"/>
      <c r="BI1" s="1321"/>
      <c r="BJ1" s="1321"/>
      <c r="BK1" s="1321"/>
      <c r="BL1" s="1322"/>
      <c r="BM1" s="1305" t="s">
        <v>15</v>
      </c>
      <c r="BN1" s="1306"/>
      <c r="BO1" s="1307" t="s">
        <v>16</v>
      </c>
      <c r="BP1" s="1308"/>
      <c r="BQ1" s="1305" t="s">
        <v>130</v>
      </c>
      <c r="BR1" s="1306"/>
      <c r="BS1" s="1323" t="s">
        <v>171</v>
      </c>
      <c r="BT1" s="1324"/>
    </row>
    <row r="2" spans="1:73" ht="225" x14ac:dyDescent="0.25">
      <c r="A2" s="1283"/>
      <c r="B2" s="1286"/>
      <c r="C2" s="1291"/>
      <c r="D2" s="1292"/>
      <c r="E2" s="1293"/>
      <c r="F2" s="1291"/>
      <c r="G2" s="1292"/>
      <c r="H2" s="1293"/>
      <c r="I2" s="1291"/>
      <c r="J2" s="1292"/>
      <c r="K2" s="1293"/>
      <c r="L2" s="1295"/>
      <c r="M2" s="1295"/>
      <c r="N2" s="1295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429" t="s">
        <v>23</v>
      </c>
      <c r="V2" s="42" t="s">
        <v>24</v>
      </c>
      <c r="W2" s="217" t="s">
        <v>25</v>
      </c>
      <c r="X2" s="218" t="s">
        <v>26</v>
      </c>
      <c r="Y2" s="430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432" t="s">
        <v>105</v>
      </c>
      <c r="AQ2" s="432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433" t="s">
        <v>14</v>
      </c>
      <c r="BE2" s="433" t="s">
        <v>167</v>
      </c>
      <c r="BF2" s="433" t="s">
        <v>39</v>
      </c>
      <c r="BG2" s="433" t="s">
        <v>40</v>
      </c>
      <c r="BH2" s="433" t="s">
        <v>41</v>
      </c>
      <c r="BI2" s="433" t="s">
        <v>42</v>
      </c>
      <c r="BJ2" s="433" t="s">
        <v>43</v>
      </c>
      <c r="BK2" s="433" t="s">
        <v>44</v>
      </c>
      <c r="BL2" s="433" t="s">
        <v>46</v>
      </c>
      <c r="BM2" s="431" t="s">
        <v>47</v>
      </c>
      <c r="BN2" s="431" t="s">
        <v>48</v>
      </c>
      <c r="BO2" s="432" t="s">
        <v>49</v>
      </c>
      <c r="BP2" s="432" t="s">
        <v>50</v>
      </c>
      <c r="BQ2" s="431" t="s">
        <v>131</v>
      </c>
      <c r="BR2" s="431" t="s">
        <v>132</v>
      </c>
      <c r="BS2" s="359" t="s">
        <v>172</v>
      </c>
      <c r="BT2" s="359" t="s">
        <v>173</v>
      </c>
    </row>
    <row r="3" spans="1:73" ht="75" x14ac:dyDescent="0.25">
      <c r="A3" s="1284"/>
      <c r="B3" s="1287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107" t="s">
        <v>54</v>
      </c>
      <c r="BR3" s="107" t="s">
        <v>54</v>
      </c>
      <c r="BS3" s="360" t="s">
        <v>120</v>
      </c>
      <c r="BT3" s="360" t="s">
        <v>174</v>
      </c>
    </row>
    <row r="4" spans="1:73" ht="15.75" x14ac:dyDescent="0.25">
      <c r="A4" s="435">
        <v>1</v>
      </c>
      <c r="B4" s="436">
        <v>2</v>
      </c>
      <c r="C4" s="29">
        <v>3</v>
      </c>
      <c r="D4" s="435">
        <v>4</v>
      </c>
      <c r="E4" s="436">
        <v>5</v>
      </c>
      <c r="F4" s="29">
        <v>6</v>
      </c>
      <c r="G4" s="435">
        <v>7</v>
      </c>
      <c r="H4" s="436">
        <v>8</v>
      </c>
      <c r="I4" s="29">
        <v>9</v>
      </c>
      <c r="J4" s="435">
        <v>10</v>
      </c>
      <c r="K4" s="436">
        <v>11</v>
      </c>
      <c r="L4" s="29">
        <v>12</v>
      </c>
      <c r="M4" s="435">
        <v>13</v>
      </c>
      <c r="N4" s="436">
        <v>14</v>
      </c>
      <c r="O4" s="29">
        <v>15</v>
      </c>
      <c r="P4" s="435">
        <v>16</v>
      </c>
      <c r="Q4" s="436">
        <v>17</v>
      </c>
      <c r="R4" s="29">
        <v>18</v>
      </c>
      <c r="S4" s="435">
        <v>19</v>
      </c>
      <c r="T4" s="436">
        <v>20</v>
      </c>
      <c r="U4" s="29">
        <v>21</v>
      </c>
      <c r="V4" s="435">
        <v>22</v>
      </c>
      <c r="W4" s="436">
        <v>23</v>
      </c>
      <c r="X4" s="29">
        <v>24</v>
      </c>
      <c r="Y4" s="435">
        <v>25</v>
      </c>
      <c r="Z4" s="436">
        <v>26</v>
      </c>
      <c r="AA4" s="29">
        <v>27</v>
      </c>
      <c r="AB4" s="435">
        <v>28</v>
      </c>
      <c r="AC4" s="436">
        <v>29</v>
      </c>
      <c r="AD4" s="29">
        <v>30</v>
      </c>
      <c r="AE4" s="435">
        <v>31</v>
      </c>
      <c r="AF4" s="436">
        <v>32</v>
      </c>
      <c r="AG4" s="29">
        <v>33</v>
      </c>
      <c r="AH4" s="435">
        <v>34</v>
      </c>
      <c r="AI4" s="436">
        <v>35</v>
      </c>
      <c r="AJ4" s="29">
        <v>36</v>
      </c>
      <c r="AK4" s="435">
        <v>37</v>
      </c>
      <c r="AL4" s="436">
        <v>38</v>
      </c>
      <c r="AM4" s="29">
        <v>39</v>
      </c>
      <c r="AN4" s="435">
        <v>40</v>
      </c>
      <c r="AO4" s="436">
        <v>41</v>
      </c>
      <c r="AP4" s="29">
        <v>42</v>
      </c>
      <c r="AQ4" s="435">
        <v>43</v>
      </c>
      <c r="AR4" s="436">
        <v>44</v>
      </c>
      <c r="AS4" s="29">
        <v>45</v>
      </c>
      <c r="AT4" s="435">
        <v>46</v>
      </c>
      <c r="AU4" s="436">
        <v>47</v>
      </c>
      <c r="AV4" s="29">
        <v>48</v>
      </c>
      <c r="AW4" s="435">
        <v>49</v>
      </c>
      <c r="AX4" s="436">
        <v>50</v>
      </c>
      <c r="AY4" s="29">
        <v>51</v>
      </c>
      <c r="AZ4" s="435">
        <v>52</v>
      </c>
      <c r="BA4" s="436">
        <v>53</v>
      </c>
      <c r="BB4" s="29">
        <v>54</v>
      </c>
      <c r="BC4" s="435">
        <v>55</v>
      </c>
      <c r="BD4" s="436">
        <v>56</v>
      </c>
      <c r="BE4" s="29">
        <v>57</v>
      </c>
      <c r="BF4" s="435">
        <v>58</v>
      </c>
      <c r="BG4" s="436">
        <v>59</v>
      </c>
      <c r="BH4" s="29">
        <v>60</v>
      </c>
      <c r="BI4" s="435">
        <v>61</v>
      </c>
      <c r="BJ4" s="436">
        <v>62</v>
      </c>
      <c r="BK4" s="29">
        <v>63</v>
      </c>
      <c r="BL4" s="436">
        <v>65</v>
      </c>
      <c r="BM4" s="29">
        <v>66</v>
      </c>
      <c r="BN4" s="435">
        <v>67</v>
      </c>
      <c r="BO4" s="436">
        <v>68</v>
      </c>
      <c r="BP4" s="29">
        <v>69</v>
      </c>
      <c r="BQ4" s="435">
        <v>70</v>
      </c>
      <c r="BR4" s="436">
        <v>71</v>
      </c>
      <c r="BS4" s="29">
        <v>72</v>
      </c>
      <c r="BT4" s="435">
        <v>73</v>
      </c>
    </row>
    <row r="5" spans="1:73" ht="16.5" thickBot="1" x14ac:dyDescent="0.3">
      <c r="A5" s="434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5561</v>
      </c>
      <c r="P5" s="434">
        <v>4745</v>
      </c>
      <c r="Q5" s="434">
        <v>2886</v>
      </c>
      <c r="R5" s="434">
        <v>2300</v>
      </c>
      <c r="S5" s="434">
        <v>1450</v>
      </c>
      <c r="T5" s="434">
        <v>900</v>
      </c>
      <c r="U5" s="434"/>
      <c r="V5" s="434">
        <v>1800</v>
      </c>
      <c r="W5" s="434">
        <v>1100</v>
      </c>
      <c r="X5" s="434">
        <v>550</v>
      </c>
      <c r="Y5" s="434"/>
      <c r="Z5" s="434">
        <v>115</v>
      </c>
      <c r="AA5" s="434">
        <v>50</v>
      </c>
      <c r="AB5" s="434">
        <v>20</v>
      </c>
      <c r="AC5" s="434">
        <v>1200</v>
      </c>
      <c r="AD5" s="434">
        <v>800</v>
      </c>
      <c r="AE5" s="339"/>
      <c r="AF5" s="434"/>
      <c r="AG5" s="339"/>
      <c r="AH5" s="434"/>
      <c r="AI5" s="339"/>
      <c r="AJ5" s="434"/>
      <c r="AK5" s="339"/>
      <c r="AL5" s="434"/>
      <c r="AM5" s="434">
        <v>1500</v>
      </c>
      <c r="AN5" s="434">
        <v>500</v>
      </c>
      <c r="AO5" s="434">
        <v>450</v>
      </c>
      <c r="AP5" s="339"/>
      <c r="AQ5" s="434"/>
      <c r="AR5" s="434">
        <v>50</v>
      </c>
      <c r="AS5" s="339"/>
      <c r="AT5" s="434"/>
      <c r="AU5" s="434">
        <v>12</v>
      </c>
      <c r="AV5" s="434">
        <v>4</v>
      </c>
      <c r="AW5" s="434"/>
      <c r="AX5" s="434"/>
      <c r="AY5" s="434"/>
      <c r="AZ5" s="434"/>
      <c r="BA5" s="434"/>
      <c r="BB5" s="434"/>
      <c r="BC5" s="434"/>
      <c r="BD5" s="339"/>
      <c r="BE5" s="339"/>
      <c r="BF5" s="339"/>
      <c r="BG5" s="339"/>
      <c r="BH5" s="339"/>
      <c r="BI5" s="434"/>
      <c r="BJ5" s="339"/>
      <c r="BK5" s="434"/>
      <c r="BL5" s="434"/>
      <c r="BM5" s="434"/>
      <c r="BN5" s="434"/>
      <c r="BO5" s="434"/>
      <c r="BP5" s="434"/>
      <c r="BQ5" s="434"/>
      <c r="BR5" s="434"/>
      <c r="BS5" s="188"/>
      <c r="BT5" s="188"/>
    </row>
    <row r="6" spans="1:73" ht="30.75" customHeight="1" thickBot="1" x14ac:dyDescent="0.3">
      <c r="A6" s="50">
        <v>60</v>
      </c>
      <c r="B6" s="428" t="s">
        <v>161</v>
      </c>
      <c r="C6" s="341">
        <v>5</v>
      </c>
      <c r="D6" s="341">
        <v>5</v>
      </c>
      <c r="E6" s="342">
        <v>10</v>
      </c>
      <c r="F6" s="343">
        <v>10</v>
      </c>
      <c r="G6" s="343">
        <v>10</v>
      </c>
      <c r="H6" s="342">
        <v>10</v>
      </c>
      <c r="I6" s="343">
        <v>0</v>
      </c>
      <c r="J6" s="343">
        <v>0</v>
      </c>
      <c r="K6" s="342">
        <v>0</v>
      </c>
      <c r="L6" s="343">
        <v>0</v>
      </c>
      <c r="M6" s="343" t="s">
        <v>65</v>
      </c>
      <c r="N6" s="343">
        <v>0</v>
      </c>
      <c r="O6" s="438">
        <f>SUM(R6,V6,Z6,AM6,AR6,AU6)</f>
        <v>6.5509999999999993</v>
      </c>
      <c r="P6" s="438">
        <f>SUM(S6,W6,AA6,AC6,AN6,AV6)</f>
        <v>4.9523000000000001</v>
      </c>
      <c r="Q6" s="438">
        <f>SUM(T6,X6,AB6,AD6,AO6)</f>
        <v>3.1420000000000003</v>
      </c>
      <c r="R6" s="345">
        <v>2.5499999999999998</v>
      </c>
      <c r="S6" s="345">
        <v>1.68</v>
      </c>
      <c r="T6" s="345">
        <v>1.04</v>
      </c>
      <c r="U6" s="345">
        <v>0</v>
      </c>
      <c r="V6" s="346">
        <v>2.0299999999999998</v>
      </c>
      <c r="W6" s="346">
        <v>1.29</v>
      </c>
      <c r="X6" s="346">
        <v>0.71</v>
      </c>
      <c r="Y6" s="346">
        <v>0</v>
      </c>
      <c r="Z6" s="347">
        <v>0.14000000000000001</v>
      </c>
      <c r="AA6" s="347">
        <v>5.6000000000000001E-2</v>
      </c>
      <c r="AB6" s="347">
        <v>2.1999999999999999E-2</v>
      </c>
      <c r="AC6" s="348">
        <v>1.32</v>
      </c>
      <c r="AD6" s="348">
        <v>0.88</v>
      </c>
      <c r="AE6" s="342">
        <v>0</v>
      </c>
      <c r="AF6" s="342">
        <v>0</v>
      </c>
      <c r="AG6" s="342">
        <v>2</v>
      </c>
      <c r="AH6" s="342">
        <v>6</v>
      </c>
      <c r="AI6" s="342">
        <v>0</v>
      </c>
      <c r="AJ6" s="342">
        <v>0</v>
      </c>
      <c r="AK6" s="342">
        <v>0</v>
      </c>
      <c r="AL6" s="342">
        <v>0</v>
      </c>
      <c r="AM6" s="349">
        <v>1.76</v>
      </c>
      <c r="AN6" s="349">
        <v>0.6</v>
      </c>
      <c r="AO6" s="349">
        <v>0.49</v>
      </c>
      <c r="AP6" s="349">
        <v>0</v>
      </c>
      <c r="AQ6" s="349">
        <v>0</v>
      </c>
      <c r="AR6" s="350">
        <v>5.8000000000000003E-2</v>
      </c>
      <c r="AS6" s="350">
        <v>4</v>
      </c>
      <c r="AT6" s="361"/>
      <c r="AU6" s="176">
        <v>1.2999999999999999E-2</v>
      </c>
      <c r="AV6" s="350">
        <v>6.3E-3</v>
      </c>
      <c r="AW6" s="350" t="s">
        <v>65</v>
      </c>
      <c r="AX6" s="350">
        <v>0</v>
      </c>
      <c r="AY6" s="350" t="s">
        <v>65</v>
      </c>
      <c r="AZ6" s="350">
        <v>0</v>
      </c>
      <c r="BA6" s="350" t="s">
        <v>65</v>
      </c>
      <c r="BB6" s="350" t="s">
        <v>65</v>
      </c>
      <c r="BC6" s="350" t="s">
        <v>65</v>
      </c>
      <c r="BD6" s="362">
        <v>1</v>
      </c>
      <c r="BE6" s="372" t="s">
        <v>169</v>
      </c>
      <c r="BF6" s="362">
        <v>26756.07</v>
      </c>
      <c r="BG6" s="362">
        <v>1.6</v>
      </c>
      <c r="BH6" s="373" t="s">
        <v>66</v>
      </c>
      <c r="BI6" s="362">
        <v>1450</v>
      </c>
      <c r="BJ6" s="362">
        <v>0</v>
      </c>
      <c r="BK6" s="362" t="s">
        <v>65</v>
      </c>
      <c r="BL6" s="362" t="s">
        <v>65</v>
      </c>
      <c r="BM6" s="363" t="s">
        <v>67</v>
      </c>
      <c r="BN6" s="363" t="s">
        <v>67</v>
      </c>
      <c r="BO6" s="364" t="s">
        <v>67</v>
      </c>
      <c r="BP6" s="364" t="s">
        <v>67</v>
      </c>
      <c r="BQ6" s="66">
        <v>0</v>
      </c>
      <c r="BR6" s="66">
        <v>0</v>
      </c>
      <c r="BS6" s="369" t="s">
        <v>67</v>
      </c>
      <c r="BT6" s="369" t="s">
        <v>175</v>
      </c>
      <c r="BU6" s="357"/>
    </row>
    <row r="7" spans="1:73" s="413" customFormat="1" ht="17.25" customHeight="1" thickBot="1" x14ac:dyDescent="0.3">
      <c r="A7" s="434"/>
      <c r="B7" s="351"/>
      <c r="C7" s="407"/>
      <c r="D7" s="407"/>
      <c r="E7" s="408"/>
      <c r="F7" s="408"/>
      <c r="G7" s="408"/>
      <c r="H7" s="408"/>
      <c r="I7" s="408"/>
      <c r="J7" s="408"/>
      <c r="K7" s="408"/>
      <c r="L7" s="408"/>
      <c r="M7" s="408"/>
      <c r="N7" s="408"/>
      <c r="O7" s="408">
        <v>4946</v>
      </c>
      <c r="P7" s="408">
        <v>3836</v>
      </c>
      <c r="Q7" s="408">
        <v>1983</v>
      </c>
      <c r="R7" s="408">
        <v>2100</v>
      </c>
      <c r="S7" s="408">
        <v>1200</v>
      </c>
      <c r="T7" s="408">
        <v>800</v>
      </c>
      <c r="U7" s="408"/>
      <c r="V7" s="408">
        <v>1600</v>
      </c>
      <c r="W7" s="408">
        <v>800</v>
      </c>
      <c r="X7" s="408">
        <v>400</v>
      </c>
      <c r="Y7" s="408"/>
      <c r="Z7" s="408">
        <v>100</v>
      </c>
      <c r="AA7" s="408">
        <v>45</v>
      </c>
      <c r="AB7" s="408">
        <v>15</v>
      </c>
      <c r="AC7" s="408">
        <v>1000</v>
      </c>
      <c r="AD7" s="408">
        <v>550</v>
      </c>
      <c r="AE7" s="408"/>
      <c r="AF7" s="408"/>
      <c r="AG7" s="408"/>
      <c r="AH7" s="408"/>
      <c r="AI7" s="408"/>
      <c r="AJ7" s="408"/>
      <c r="AK7" s="408"/>
      <c r="AL7" s="408"/>
      <c r="AM7" s="408">
        <v>1300</v>
      </c>
      <c r="AN7" s="408">
        <v>250</v>
      </c>
      <c r="AO7" s="408">
        <v>200</v>
      </c>
      <c r="AP7" s="408"/>
      <c r="AQ7" s="408"/>
      <c r="AR7" s="408">
        <v>40</v>
      </c>
      <c r="AS7" s="408"/>
      <c r="AT7" s="409"/>
      <c r="AU7" s="408">
        <v>18</v>
      </c>
      <c r="AV7" s="408">
        <v>8</v>
      </c>
      <c r="AW7" s="408"/>
      <c r="AX7" s="408"/>
      <c r="AY7" s="408"/>
      <c r="AZ7" s="408"/>
      <c r="BA7" s="408"/>
      <c r="BB7" s="408"/>
      <c r="BC7" s="408"/>
      <c r="BD7" s="410"/>
      <c r="BE7" s="410"/>
      <c r="BF7" s="410"/>
      <c r="BG7" s="410"/>
      <c r="BH7" s="410"/>
      <c r="BI7" s="410"/>
      <c r="BJ7" s="410"/>
      <c r="BK7" s="410"/>
      <c r="BL7" s="410"/>
      <c r="BM7" s="410"/>
      <c r="BN7" s="410"/>
      <c r="BO7" s="410"/>
      <c r="BP7" s="410"/>
      <c r="BQ7" s="411"/>
      <c r="BR7" s="411"/>
      <c r="BS7" s="412"/>
      <c r="BT7" s="412"/>
    </row>
    <row r="8" spans="1:73" ht="35.25" customHeight="1" thickBot="1" x14ac:dyDescent="0.3">
      <c r="A8" s="50">
        <v>50</v>
      </c>
      <c r="B8" s="428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0</v>
      </c>
      <c r="J8" s="343">
        <v>0</v>
      </c>
      <c r="K8" s="342">
        <v>0</v>
      </c>
      <c r="L8" s="343">
        <v>0</v>
      </c>
      <c r="M8" s="343" t="s">
        <v>65</v>
      </c>
      <c r="N8" s="343">
        <v>0</v>
      </c>
      <c r="O8" s="438">
        <f>SUM(R8,V8,Z8,AM8,AR8,AU8)</f>
        <v>5.8490000000000002</v>
      </c>
      <c r="P8" s="438">
        <f>SUM(S8,W8,AA8,AC8,AN8,AV8)</f>
        <v>3.8437999999999999</v>
      </c>
      <c r="Q8" s="438">
        <f>SUM(T8,X8,AB8,AD8,AO8)</f>
        <v>2.1700000000000004</v>
      </c>
      <c r="R8" s="345">
        <v>2.35</v>
      </c>
      <c r="S8" s="345">
        <v>1.39</v>
      </c>
      <c r="T8" s="345">
        <v>0.92</v>
      </c>
      <c r="U8" s="345">
        <v>0</v>
      </c>
      <c r="V8" s="346">
        <v>1.79</v>
      </c>
      <c r="W8" s="346">
        <v>0.93</v>
      </c>
      <c r="X8" s="346">
        <v>0.47</v>
      </c>
      <c r="Y8" s="346">
        <v>0</v>
      </c>
      <c r="Z8" s="347">
        <v>9.9000000000000005E-2</v>
      </c>
      <c r="AA8" s="347">
        <v>3.5000000000000003E-2</v>
      </c>
      <c r="AB8" s="347">
        <v>0.01</v>
      </c>
      <c r="AC8" s="348">
        <v>1.1499999999999999</v>
      </c>
      <c r="AD8" s="348">
        <v>0.55000000000000004</v>
      </c>
      <c r="AE8" s="342">
        <v>0</v>
      </c>
      <c r="AF8" s="342">
        <v>0</v>
      </c>
      <c r="AG8" s="342">
        <v>1</v>
      </c>
      <c r="AH8" s="342">
        <v>1.6</v>
      </c>
      <c r="AI8" s="342">
        <v>0</v>
      </c>
      <c r="AJ8" s="342">
        <v>0</v>
      </c>
      <c r="AK8" s="342">
        <v>0</v>
      </c>
      <c r="AL8" s="342">
        <v>0</v>
      </c>
      <c r="AM8" s="349">
        <v>1.55</v>
      </c>
      <c r="AN8" s="349">
        <v>0.33</v>
      </c>
      <c r="AO8" s="349">
        <v>0.22</v>
      </c>
      <c r="AP8" s="349">
        <v>0</v>
      </c>
      <c r="AQ8" s="349">
        <v>0</v>
      </c>
      <c r="AR8" s="350">
        <v>4.3999999999999997E-2</v>
      </c>
      <c r="AS8" s="350">
        <v>1</v>
      </c>
      <c r="AT8" s="361"/>
      <c r="AU8" s="350">
        <v>1.6E-2</v>
      </c>
      <c r="AV8" s="350">
        <v>8.8000000000000005E-3</v>
      </c>
      <c r="AW8" s="350" t="s">
        <v>65</v>
      </c>
      <c r="AX8" s="350">
        <v>0</v>
      </c>
      <c r="AY8" s="350" t="s">
        <v>65</v>
      </c>
      <c r="AZ8" s="350">
        <v>0</v>
      </c>
      <c r="BA8" s="350" t="s">
        <v>65</v>
      </c>
      <c r="BB8" s="350" t="s">
        <v>65</v>
      </c>
      <c r="BC8" s="350" t="s">
        <v>67</v>
      </c>
      <c r="BD8" s="362">
        <v>1</v>
      </c>
      <c r="BE8" s="372" t="s">
        <v>170</v>
      </c>
      <c r="BF8" s="362">
        <v>15617.8</v>
      </c>
      <c r="BG8" s="368">
        <v>1.6</v>
      </c>
      <c r="BH8" s="362" t="s">
        <v>72</v>
      </c>
      <c r="BI8" s="362">
        <v>820</v>
      </c>
      <c r="BJ8" s="362">
        <v>0</v>
      </c>
      <c r="BK8" s="362" t="s">
        <v>65</v>
      </c>
      <c r="BL8" s="362" t="s">
        <v>65</v>
      </c>
      <c r="BM8" s="363" t="s">
        <v>67</v>
      </c>
      <c r="BN8" s="363" t="s">
        <v>67</v>
      </c>
      <c r="BO8" s="364" t="s">
        <v>65</v>
      </c>
      <c r="BP8" s="364" t="s">
        <v>65</v>
      </c>
      <c r="BQ8" s="66">
        <v>0</v>
      </c>
      <c r="BR8" s="66">
        <v>0</v>
      </c>
      <c r="BS8" s="370" t="s">
        <v>122</v>
      </c>
      <c r="BT8" s="371">
        <v>0</v>
      </c>
    </row>
    <row r="9" spans="1:73" s="1143" customFormat="1" ht="45" customHeight="1" x14ac:dyDescent="0.25"/>
    <row r="10" spans="1:73" s="437" customFormat="1" ht="45" customHeight="1" x14ac:dyDescent="0.25">
      <c r="O10" s="415">
        <v>196.54</v>
      </c>
      <c r="P10" s="415">
        <v>148.49</v>
      </c>
      <c r="Q10" s="415">
        <v>94.24</v>
      </c>
    </row>
    <row r="11" spans="1:73" ht="16.5" thickBot="1" x14ac:dyDescent="0.3">
      <c r="A11" s="434"/>
      <c r="B11" s="189"/>
      <c r="C11" s="339"/>
      <c r="D11" s="339"/>
      <c r="E11" s="339"/>
      <c r="F11" s="339"/>
      <c r="G11" s="339"/>
      <c r="H11" s="339"/>
      <c r="I11" s="339"/>
      <c r="J11" s="339"/>
      <c r="K11" s="339"/>
      <c r="L11" s="339"/>
      <c r="M11" s="339"/>
      <c r="N11" s="339"/>
      <c r="O11" s="339">
        <v>5014</v>
      </c>
      <c r="P11" s="434">
        <v>4555</v>
      </c>
      <c r="Q11" s="434">
        <v>3654</v>
      </c>
      <c r="R11" s="434">
        <v>2160</v>
      </c>
      <c r="S11" s="434">
        <v>1560</v>
      </c>
      <c r="T11" s="434">
        <v>1330</v>
      </c>
      <c r="U11" s="434"/>
      <c r="V11" s="434">
        <v>1960</v>
      </c>
      <c r="W11" s="434">
        <v>1360</v>
      </c>
      <c r="X11" s="434">
        <v>1140</v>
      </c>
      <c r="Y11" s="434"/>
      <c r="Z11" s="434">
        <v>165</v>
      </c>
      <c r="AA11" s="434">
        <v>95</v>
      </c>
      <c r="AB11" s="434">
        <v>35</v>
      </c>
      <c r="AC11" s="434">
        <v>1216</v>
      </c>
      <c r="AD11" s="434">
        <v>880</v>
      </c>
      <c r="AE11" s="339"/>
      <c r="AF11" s="434"/>
      <c r="AG11" s="339"/>
      <c r="AH11" s="434"/>
      <c r="AI11" s="339"/>
      <c r="AJ11" s="434"/>
      <c r="AK11" s="339"/>
      <c r="AL11" s="434"/>
      <c r="AM11" s="434">
        <v>620</v>
      </c>
      <c r="AN11" s="434">
        <v>310</v>
      </c>
      <c r="AO11" s="434">
        <v>270</v>
      </c>
      <c r="AP11" s="339"/>
      <c r="AQ11" s="434"/>
      <c r="AR11" s="434">
        <v>90</v>
      </c>
      <c r="AS11" s="339"/>
      <c r="AT11" s="434"/>
      <c r="AU11" s="434">
        <v>26</v>
      </c>
      <c r="AV11" s="434">
        <v>20</v>
      </c>
      <c r="AW11" s="434"/>
      <c r="AX11" s="434"/>
      <c r="AY11" s="434"/>
      <c r="AZ11" s="434"/>
      <c r="BA11" s="434"/>
      <c r="BB11" s="434"/>
      <c r="BC11" s="434"/>
      <c r="BD11" s="339"/>
      <c r="BE11" s="339"/>
      <c r="BF11" s="339"/>
      <c r="BG11" s="339"/>
      <c r="BH11" s="339"/>
      <c r="BI11" s="434"/>
      <c r="BJ11" s="339"/>
      <c r="BK11" s="434"/>
      <c r="BL11" s="434"/>
      <c r="BM11" s="434"/>
      <c r="BN11" s="434"/>
      <c r="BO11" s="434"/>
      <c r="BP11" s="434"/>
      <c r="BQ11" s="434"/>
      <c r="BR11" s="434"/>
      <c r="BS11" s="188"/>
      <c r="BT11" s="188"/>
    </row>
    <row r="12" spans="1:73" ht="30.75" customHeight="1" thickBot="1" x14ac:dyDescent="0.3">
      <c r="A12" s="50">
        <v>60</v>
      </c>
      <c r="B12" s="428" t="s">
        <v>161</v>
      </c>
      <c r="C12" s="341">
        <v>5</v>
      </c>
      <c r="D12" s="341">
        <v>5</v>
      </c>
      <c r="E12" s="342">
        <v>10</v>
      </c>
      <c r="F12" s="343">
        <v>10</v>
      </c>
      <c r="G12" s="343">
        <v>10</v>
      </c>
      <c r="H12" s="342">
        <v>10</v>
      </c>
      <c r="I12" s="343">
        <v>0</v>
      </c>
      <c r="J12" s="343">
        <v>0</v>
      </c>
      <c r="K12" s="342">
        <v>0</v>
      </c>
      <c r="L12" s="343">
        <v>0</v>
      </c>
      <c r="M12" s="343" t="s">
        <v>65</v>
      </c>
      <c r="N12" s="343">
        <v>0</v>
      </c>
      <c r="O12" s="438">
        <f>SUM(R12,V12,Z12,AM12,AR12,AU12)</f>
        <v>196.52999999999997</v>
      </c>
      <c r="P12" s="438">
        <f>SUM(S12,W12,AA12,AC12,AN12,AV12)</f>
        <v>148.56899999999999</v>
      </c>
      <c r="Q12" s="438">
        <f>SUM(T12,X12,AB12,AD12,AO12)</f>
        <v>94.26</v>
      </c>
      <c r="R12" s="345">
        <f>30*R6</f>
        <v>76.5</v>
      </c>
      <c r="S12" s="345">
        <f>30*S6</f>
        <v>50.4</v>
      </c>
      <c r="T12" s="345">
        <f>30*T6</f>
        <v>31.200000000000003</v>
      </c>
      <c r="U12" s="345">
        <v>0</v>
      </c>
      <c r="V12" s="346">
        <f>30*V6</f>
        <v>60.899999999999991</v>
      </c>
      <c r="W12" s="346">
        <f>30*W6</f>
        <v>38.700000000000003</v>
      </c>
      <c r="X12" s="346">
        <f>30*X6</f>
        <v>21.299999999999997</v>
      </c>
      <c r="Y12" s="346">
        <v>0</v>
      </c>
      <c r="Z12" s="347">
        <f>30*Z6</f>
        <v>4.2</v>
      </c>
      <c r="AA12" s="347">
        <f>30*AA6</f>
        <v>1.68</v>
      </c>
      <c r="AB12" s="347">
        <f>30*AB6</f>
        <v>0.65999999999999992</v>
      </c>
      <c r="AC12" s="348">
        <f>30*AC6</f>
        <v>39.6</v>
      </c>
      <c r="AD12" s="348">
        <f>30*AD6</f>
        <v>26.4</v>
      </c>
      <c r="AE12" s="342">
        <v>0</v>
      </c>
      <c r="AF12" s="342">
        <v>0</v>
      </c>
      <c r="AG12" s="342">
        <v>2</v>
      </c>
      <c r="AH12" s="342">
        <v>6</v>
      </c>
      <c r="AI12" s="342">
        <v>0</v>
      </c>
      <c r="AJ12" s="342">
        <v>0</v>
      </c>
      <c r="AK12" s="342">
        <v>0</v>
      </c>
      <c r="AL12" s="342">
        <v>0</v>
      </c>
      <c r="AM12" s="349">
        <f>30*AM6</f>
        <v>52.8</v>
      </c>
      <c r="AN12" s="349">
        <f>30*AN6</f>
        <v>18</v>
      </c>
      <c r="AO12" s="349">
        <f>30*AO6</f>
        <v>14.7</v>
      </c>
      <c r="AP12" s="349">
        <v>0</v>
      </c>
      <c r="AQ12" s="349">
        <v>0</v>
      </c>
      <c r="AR12" s="350">
        <f>30*AR6</f>
        <v>1.74</v>
      </c>
      <c r="AS12" s="350">
        <v>3</v>
      </c>
      <c r="AT12" s="361"/>
      <c r="AU12" s="176">
        <f>30*AU6</f>
        <v>0.38999999999999996</v>
      </c>
      <c r="AV12" s="350">
        <f>30*AV6</f>
        <v>0.189</v>
      </c>
      <c r="AW12" s="350" t="s">
        <v>65</v>
      </c>
      <c r="AX12" s="350">
        <v>0</v>
      </c>
      <c r="AY12" s="350" t="s">
        <v>65</v>
      </c>
      <c r="AZ12" s="350">
        <v>0</v>
      </c>
      <c r="BA12" s="350" t="s">
        <v>65</v>
      </c>
      <c r="BB12" s="350" t="s">
        <v>65</v>
      </c>
      <c r="BC12" s="350" t="s">
        <v>65</v>
      </c>
      <c r="BD12" s="362">
        <v>1</v>
      </c>
      <c r="BE12" s="372" t="s">
        <v>169</v>
      </c>
      <c r="BF12" s="362">
        <v>1350</v>
      </c>
      <c r="BG12" s="362">
        <v>1.5</v>
      </c>
      <c r="BH12" s="373" t="s">
        <v>66</v>
      </c>
      <c r="BI12" s="362">
        <v>1260</v>
      </c>
      <c r="BJ12" s="362">
        <v>0</v>
      </c>
      <c r="BK12" s="362" t="s">
        <v>65</v>
      </c>
      <c r="BL12" s="362" t="s">
        <v>65</v>
      </c>
      <c r="BM12" s="363" t="s">
        <v>67</v>
      </c>
      <c r="BN12" s="363" t="s">
        <v>67</v>
      </c>
      <c r="BO12" s="364" t="s">
        <v>67</v>
      </c>
      <c r="BP12" s="364" t="s">
        <v>67</v>
      </c>
      <c r="BQ12" s="66">
        <v>0</v>
      </c>
      <c r="BR12" s="66">
        <v>0</v>
      </c>
      <c r="BS12" s="369" t="s">
        <v>67</v>
      </c>
      <c r="BT12" s="369" t="s">
        <v>175</v>
      </c>
      <c r="BU12" s="357"/>
    </row>
    <row r="13" spans="1:73" s="340" customFormat="1" ht="17.25" customHeight="1" thickBot="1" x14ac:dyDescent="0.3">
      <c r="A13" s="180"/>
      <c r="B13" s="351"/>
      <c r="C13" s="352"/>
      <c r="D13" s="352"/>
      <c r="E13" s="353"/>
      <c r="F13" s="353"/>
      <c r="G13" s="353"/>
      <c r="H13" s="353"/>
      <c r="I13" s="353"/>
      <c r="J13" s="353"/>
      <c r="K13" s="353"/>
      <c r="L13" s="353"/>
      <c r="M13" s="353"/>
      <c r="N13" s="353"/>
      <c r="O13" s="353">
        <v>4027</v>
      </c>
      <c r="P13" s="353">
        <v>3821</v>
      </c>
      <c r="Q13" s="353">
        <v>3003</v>
      </c>
      <c r="R13" s="353">
        <v>1810</v>
      </c>
      <c r="S13" s="353">
        <v>1316</v>
      </c>
      <c r="T13" s="353">
        <v>1140</v>
      </c>
      <c r="U13" s="353"/>
      <c r="V13" s="353">
        <v>1510</v>
      </c>
      <c r="W13" s="353">
        <v>1110</v>
      </c>
      <c r="X13" s="353">
        <v>840</v>
      </c>
      <c r="Y13" s="353"/>
      <c r="Z13" s="353">
        <v>110</v>
      </c>
      <c r="AA13" s="353">
        <v>60</v>
      </c>
      <c r="AB13" s="353">
        <v>10</v>
      </c>
      <c r="AC13" s="353">
        <v>1010</v>
      </c>
      <c r="AD13" s="353">
        <v>790</v>
      </c>
      <c r="AE13" s="353"/>
      <c r="AF13" s="353"/>
      <c r="AG13" s="353"/>
      <c r="AH13" s="353"/>
      <c r="AI13" s="353"/>
      <c r="AJ13" s="353"/>
      <c r="AK13" s="353"/>
      <c r="AL13" s="353"/>
      <c r="AM13" s="353">
        <v>520</v>
      </c>
      <c r="AN13" s="353">
        <v>310</v>
      </c>
      <c r="AO13" s="353">
        <v>240</v>
      </c>
      <c r="AP13" s="353"/>
      <c r="AQ13" s="353"/>
      <c r="AR13" s="353">
        <v>60</v>
      </c>
      <c r="AS13" s="353"/>
      <c r="AT13" s="365"/>
      <c r="AU13" s="353">
        <v>30</v>
      </c>
      <c r="AV13" s="353">
        <v>20</v>
      </c>
      <c r="AW13" s="353"/>
      <c r="AX13" s="353"/>
      <c r="AY13" s="353"/>
      <c r="AZ13" s="353"/>
      <c r="BA13" s="353"/>
      <c r="BB13" s="353"/>
      <c r="BC13" s="353"/>
      <c r="BD13" s="366"/>
      <c r="BE13" s="366"/>
      <c r="BF13" s="366"/>
      <c r="BG13" s="366"/>
      <c r="BH13" s="366"/>
      <c r="BI13" s="366"/>
      <c r="BJ13" s="366"/>
      <c r="BK13" s="366"/>
      <c r="BL13" s="366"/>
      <c r="BM13" s="366"/>
      <c r="BN13" s="366"/>
      <c r="BO13" s="366"/>
      <c r="BP13" s="366"/>
      <c r="BQ13" s="367"/>
      <c r="BR13" s="367"/>
      <c r="BS13" s="188"/>
      <c r="BT13" s="188"/>
    </row>
    <row r="14" spans="1:73" ht="35.25" customHeight="1" thickBot="1" x14ac:dyDescent="0.3">
      <c r="A14" s="50">
        <v>50</v>
      </c>
      <c r="B14" s="428" t="s">
        <v>121</v>
      </c>
      <c r="C14" s="341">
        <v>4</v>
      </c>
      <c r="D14" s="354">
        <v>4</v>
      </c>
      <c r="E14" s="342">
        <v>8</v>
      </c>
      <c r="F14" s="343">
        <v>4</v>
      </c>
      <c r="G14" s="343">
        <v>4</v>
      </c>
      <c r="H14" s="342">
        <v>8</v>
      </c>
      <c r="I14" s="343">
        <v>0</v>
      </c>
      <c r="J14" s="343">
        <v>0</v>
      </c>
      <c r="K14" s="342">
        <v>0</v>
      </c>
      <c r="L14" s="343">
        <v>0</v>
      </c>
      <c r="M14" s="343" t="s">
        <v>65</v>
      </c>
      <c r="N14" s="343">
        <v>0</v>
      </c>
      <c r="O14" s="438">
        <f>SUM(R14,V14,Z14,AM14,AR14,AU14)</f>
        <v>175.47</v>
      </c>
      <c r="P14" s="438">
        <f>SUM(S14,W14,AA14,AC14,AN14,AV14)</f>
        <v>115.31399999999999</v>
      </c>
      <c r="Q14" s="438">
        <f>SUM(T14,X14,AB14,AD14,AO14)</f>
        <v>65.099999999999994</v>
      </c>
      <c r="R14" s="345">
        <f>30*R8</f>
        <v>70.5</v>
      </c>
      <c r="S14" s="345">
        <f>30*S8</f>
        <v>41.699999999999996</v>
      </c>
      <c r="T14" s="345">
        <f>30*T8</f>
        <v>27.6</v>
      </c>
      <c r="U14" s="345">
        <v>0</v>
      </c>
      <c r="V14" s="346">
        <f>30*V8</f>
        <v>53.7</v>
      </c>
      <c r="W14" s="346">
        <f>30*W8</f>
        <v>27.900000000000002</v>
      </c>
      <c r="X14" s="346">
        <f>30*X8</f>
        <v>14.1</v>
      </c>
      <c r="Y14" s="346">
        <v>0</v>
      </c>
      <c r="Z14" s="347">
        <f>30*Z8</f>
        <v>2.97</v>
      </c>
      <c r="AA14" s="347">
        <f>30*AA8</f>
        <v>1.05</v>
      </c>
      <c r="AB14" s="347">
        <f>30*AB8</f>
        <v>0.3</v>
      </c>
      <c r="AC14" s="348">
        <f>30*AC8</f>
        <v>34.5</v>
      </c>
      <c r="AD14" s="348">
        <f>30*AD8</f>
        <v>16.5</v>
      </c>
      <c r="AE14" s="342">
        <v>0</v>
      </c>
      <c r="AF14" s="342">
        <v>0</v>
      </c>
      <c r="AG14" s="342">
        <v>1</v>
      </c>
      <c r="AH14" s="342">
        <v>1.6</v>
      </c>
      <c r="AI14" s="342">
        <v>0</v>
      </c>
      <c r="AJ14" s="342">
        <v>0</v>
      </c>
      <c r="AK14" s="342">
        <v>0</v>
      </c>
      <c r="AL14" s="342">
        <v>0</v>
      </c>
      <c r="AM14" s="349">
        <f>30*AM8</f>
        <v>46.5</v>
      </c>
      <c r="AN14" s="349">
        <f>30*AN8</f>
        <v>9.9</v>
      </c>
      <c r="AO14" s="349">
        <f>30*AO8</f>
        <v>6.6</v>
      </c>
      <c r="AP14" s="349">
        <v>0</v>
      </c>
      <c r="AQ14" s="349">
        <v>0</v>
      </c>
      <c r="AR14" s="350">
        <f>30*AR8</f>
        <v>1.3199999999999998</v>
      </c>
      <c r="AS14" s="350">
        <v>1</v>
      </c>
      <c r="AT14" s="361"/>
      <c r="AU14" s="350">
        <f>30*AU8</f>
        <v>0.48</v>
      </c>
      <c r="AV14" s="350">
        <f>30*AV8</f>
        <v>0.26400000000000001</v>
      </c>
      <c r="AW14" s="350" t="s">
        <v>65</v>
      </c>
      <c r="AX14" s="350">
        <v>0</v>
      </c>
      <c r="AY14" s="350" t="s">
        <v>65</v>
      </c>
      <c r="AZ14" s="350">
        <v>0</v>
      </c>
      <c r="BA14" s="350" t="s">
        <v>65</v>
      </c>
      <c r="BB14" s="350" t="s">
        <v>65</v>
      </c>
      <c r="BC14" s="350" t="s">
        <v>67</v>
      </c>
      <c r="BD14" s="362">
        <v>1</v>
      </c>
      <c r="BE14" s="372" t="s">
        <v>170</v>
      </c>
      <c r="BF14" s="362">
        <v>15617.8</v>
      </c>
      <c r="BG14" s="368">
        <v>1.6</v>
      </c>
      <c r="BH14" s="362" t="s">
        <v>72</v>
      </c>
      <c r="BI14" s="362">
        <v>800</v>
      </c>
      <c r="BJ14" s="362">
        <v>0</v>
      </c>
      <c r="BK14" s="362" t="s">
        <v>65</v>
      </c>
      <c r="BL14" s="362" t="s">
        <v>65</v>
      </c>
      <c r="BM14" s="363" t="s">
        <v>67</v>
      </c>
      <c r="BN14" s="363" t="s">
        <v>67</v>
      </c>
      <c r="BO14" s="364" t="s">
        <v>65</v>
      </c>
      <c r="BP14" s="364" t="s">
        <v>65</v>
      </c>
      <c r="BQ14" s="66">
        <v>0</v>
      </c>
      <c r="BR14" s="66">
        <v>0</v>
      </c>
      <c r="BS14" s="370" t="s">
        <v>122</v>
      </c>
      <c r="BT14" s="371">
        <v>0</v>
      </c>
    </row>
    <row r="15" spans="1:73" ht="29.25" customHeight="1" x14ac:dyDescent="0.25">
      <c r="O15" s="416">
        <v>175.46</v>
      </c>
      <c r="P15" s="416">
        <v>115.32</v>
      </c>
      <c r="Q15" s="416">
        <v>65.099999999999994</v>
      </c>
    </row>
    <row r="20" spans="24:24" x14ac:dyDescent="0.25">
      <c r="X20" s="417"/>
    </row>
    <row r="21" spans="24:24" x14ac:dyDescent="0.25">
      <c r="X21" s="417"/>
    </row>
    <row r="22" spans="24:24" x14ac:dyDescent="0.25">
      <c r="X22" s="417"/>
    </row>
    <row r="23" spans="24:24" x14ac:dyDescent="0.25">
      <c r="X23" s="417"/>
    </row>
    <row r="24" spans="24:24" x14ac:dyDescent="0.25">
      <c r="X24" s="417"/>
    </row>
    <row r="25" spans="24:24" x14ac:dyDescent="0.25">
      <c r="X25" s="417"/>
    </row>
  </sheetData>
  <mergeCells count="23">
    <mergeCell ref="BM1:BN1"/>
    <mergeCell ref="BO1:BP1"/>
    <mergeCell ref="BQ1:BR1"/>
    <mergeCell ref="BS1:BT1"/>
    <mergeCell ref="A9:XFD9"/>
    <mergeCell ref="AC1:AD1"/>
    <mergeCell ref="AE1:AL1"/>
    <mergeCell ref="AM1:AQ1"/>
    <mergeCell ref="AR1:AT1"/>
    <mergeCell ref="AU1:BC1"/>
    <mergeCell ref="BD1:BL1"/>
    <mergeCell ref="M1:M2"/>
    <mergeCell ref="N1:N2"/>
    <mergeCell ref="O1:Q1"/>
    <mergeCell ref="R1:U1"/>
    <mergeCell ref="V1:Y1"/>
    <mergeCell ref="Z1:AB1"/>
    <mergeCell ref="A1:A3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8"/>
  <sheetViews>
    <sheetView topLeftCell="A4" workbookViewId="0">
      <selection activeCell="I17" sqref="A1:XFD1048576"/>
    </sheetView>
  </sheetViews>
  <sheetFormatPr defaultRowHeight="15" x14ac:dyDescent="0.25"/>
  <cols>
    <col min="1" max="1" width="9.42578125" bestFit="1" customWidth="1"/>
    <col min="3" max="12" width="9.42578125" bestFit="1" customWidth="1"/>
    <col min="14" max="14" width="9.5703125" bestFit="1" customWidth="1"/>
    <col min="15" max="45" width="9.42578125" bestFit="1" customWidth="1"/>
    <col min="47" max="48" width="9.42578125" bestFit="1" customWidth="1"/>
    <col min="50" max="50" width="9.42578125" bestFit="1" customWidth="1"/>
    <col min="52" max="52" width="9.42578125" bestFit="1" customWidth="1"/>
    <col min="56" max="56" width="9.42578125" bestFit="1" customWidth="1"/>
    <col min="58" max="58" width="11.85546875" bestFit="1" customWidth="1"/>
    <col min="59" max="59" width="9.42578125" bestFit="1" customWidth="1"/>
    <col min="61" max="61" width="10.7109375" bestFit="1" customWidth="1"/>
    <col min="62" max="62" width="9.42578125" bestFit="1" customWidth="1"/>
    <col min="69" max="70" width="9.42578125" bestFit="1" customWidth="1"/>
  </cols>
  <sheetData>
    <row r="1" spans="1:73" ht="75" customHeight="1" x14ac:dyDescent="0.25">
      <c r="A1" s="1282" t="s">
        <v>0</v>
      </c>
      <c r="B1" s="1285" t="s">
        <v>1</v>
      </c>
      <c r="C1" s="1288" t="s">
        <v>2</v>
      </c>
      <c r="D1" s="1289"/>
      <c r="E1" s="1290"/>
      <c r="F1" s="1288" t="s">
        <v>3</v>
      </c>
      <c r="G1" s="1289"/>
      <c r="H1" s="1290"/>
      <c r="I1" s="1288" t="s">
        <v>4</v>
      </c>
      <c r="J1" s="1289"/>
      <c r="K1" s="1290"/>
      <c r="L1" s="1294" t="s">
        <v>5</v>
      </c>
      <c r="M1" s="1294" t="s">
        <v>6</v>
      </c>
      <c r="N1" s="1294" t="s">
        <v>7</v>
      </c>
      <c r="O1" s="1296" t="s">
        <v>8</v>
      </c>
      <c r="P1" s="1297"/>
      <c r="Q1" s="1298"/>
      <c r="R1" s="1299" t="s">
        <v>9</v>
      </c>
      <c r="S1" s="1300"/>
      <c r="T1" s="1300"/>
      <c r="U1" s="1301"/>
      <c r="V1" s="1302" t="s">
        <v>10</v>
      </c>
      <c r="W1" s="1303"/>
      <c r="X1" s="1303"/>
      <c r="Y1" s="1304"/>
      <c r="Z1" s="1279" t="s">
        <v>11</v>
      </c>
      <c r="AA1" s="1280"/>
      <c r="AB1" s="1281"/>
      <c r="AC1" s="1309" t="s">
        <v>12</v>
      </c>
      <c r="AD1" s="1310"/>
      <c r="AE1" s="1311" t="s">
        <v>13</v>
      </c>
      <c r="AF1" s="1312"/>
      <c r="AG1" s="1312"/>
      <c r="AH1" s="1312"/>
      <c r="AI1" s="1312"/>
      <c r="AJ1" s="1312"/>
      <c r="AK1" s="1312"/>
      <c r="AL1" s="1313"/>
      <c r="AM1" s="1314" t="s">
        <v>99</v>
      </c>
      <c r="AN1" s="1315"/>
      <c r="AO1" s="1315"/>
      <c r="AP1" s="1315"/>
      <c r="AQ1" s="1316"/>
      <c r="AR1" s="1317" t="s">
        <v>100</v>
      </c>
      <c r="AS1" s="1318"/>
      <c r="AT1" s="1319"/>
      <c r="AU1" s="1317" t="s">
        <v>101</v>
      </c>
      <c r="AV1" s="1318"/>
      <c r="AW1" s="1318"/>
      <c r="AX1" s="1318"/>
      <c r="AY1" s="1318"/>
      <c r="AZ1" s="1318"/>
      <c r="BA1" s="1318"/>
      <c r="BB1" s="1318"/>
      <c r="BC1" s="1319"/>
      <c r="BD1" s="1320" t="s">
        <v>14</v>
      </c>
      <c r="BE1" s="1321"/>
      <c r="BF1" s="1321"/>
      <c r="BG1" s="1321"/>
      <c r="BH1" s="1321"/>
      <c r="BI1" s="1321"/>
      <c r="BJ1" s="1321"/>
      <c r="BK1" s="1321"/>
      <c r="BL1" s="1322"/>
      <c r="BM1" s="1305" t="s">
        <v>15</v>
      </c>
      <c r="BN1" s="1306"/>
      <c r="BO1" s="1307" t="s">
        <v>16</v>
      </c>
      <c r="BP1" s="1308"/>
      <c r="BQ1" s="1305" t="s">
        <v>130</v>
      </c>
      <c r="BR1" s="1306"/>
      <c r="BS1" s="1323" t="s">
        <v>171</v>
      </c>
      <c r="BT1" s="1324"/>
    </row>
    <row r="2" spans="1:73" ht="225" x14ac:dyDescent="0.25">
      <c r="A2" s="1283"/>
      <c r="B2" s="1286"/>
      <c r="C2" s="1291"/>
      <c r="D2" s="1292"/>
      <c r="E2" s="1293"/>
      <c r="F2" s="1291"/>
      <c r="G2" s="1292"/>
      <c r="H2" s="1293"/>
      <c r="I2" s="1291"/>
      <c r="J2" s="1292"/>
      <c r="K2" s="1293"/>
      <c r="L2" s="1295"/>
      <c r="M2" s="1295"/>
      <c r="N2" s="1295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443" t="s">
        <v>23</v>
      </c>
      <c r="V2" s="42" t="s">
        <v>24</v>
      </c>
      <c r="W2" s="217" t="s">
        <v>25</v>
      </c>
      <c r="X2" s="218" t="s">
        <v>26</v>
      </c>
      <c r="Y2" s="444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441" t="s">
        <v>105</v>
      </c>
      <c r="AQ2" s="441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442" t="s">
        <v>14</v>
      </c>
      <c r="BE2" s="442" t="s">
        <v>167</v>
      </c>
      <c r="BF2" s="442" t="s">
        <v>39</v>
      </c>
      <c r="BG2" s="442" t="s">
        <v>40</v>
      </c>
      <c r="BH2" s="442" t="s">
        <v>41</v>
      </c>
      <c r="BI2" s="442" t="s">
        <v>42</v>
      </c>
      <c r="BJ2" s="442" t="s">
        <v>43</v>
      </c>
      <c r="BK2" s="442" t="s">
        <v>44</v>
      </c>
      <c r="BL2" s="442" t="s">
        <v>46</v>
      </c>
      <c r="BM2" s="440" t="s">
        <v>47</v>
      </c>
      <c r="BN2" s="440" t="s">
        <v>48</v>
      </c>
      <c r="BO2" s="441" t="s">
        <v>49</v>
      </c>
      <c r="BP2" s="441" t="s">
        <v>50</v>
      </c>
      <c r="BQ2" s="440" t="s">
        <v>131</v>
      </c>
      <c r="BR2" s="440" t="s">
        <v>132</v>
      </c>
      <c r="BS2" s="359" t="s">
        <v>172</v>
      </c>
      <c r="BT2" s="359" t="s">
        <v>173</v>
      </c>
    </row>
    <row r="3" spans="1:73" ht="75" x14ac:dyDescent="0.25">
      <c r="A3" s="1284"/>
      <c r="B3" s="1287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107" t="s">
        <v>54</v>
      </c>
      <c r="BR3" s="107" t="s">
        <v>54</v>
      </c>
      <c r="BS3" s="360" t="s">
        <v>120</v>
      </c>
      <c r="BT3" s="360" t="s">
        <v>174</v>
      </c>
    </row>
    <row r="4" spans="1:73" ht="15.75" x14ac:dyDescent="0.25">
      <c r="A4" s="446">
        <v>1</v>
      </c>
      <c r="B4" s="447">
        <v>2</v>
      </c>
      <c r="C4" s="29">
        <v>3</v>
      </c>
      <c r="D4" s="446">
        <v>4</v>
      </c>
      <c r="E4" s="447">
        <v>5</v>
      </c>
      <c r="F4" s="29">
        <v>6</v>
      </c>
      <c r="G4" s="446">
        <v>7</v>
      </c>
      <c r="H4" s="447">
        <v>8</v>
      </c>
      <c r="I4" s="29">
        <v>9</v>
      </c>
      <c r="J4" s="446">
        <v>10</v>
      </c>
      <c r="K4" s="447">
        <v>11</v>
      </c>
      <c r="L4" s="29">
        <v>12</v>
      </c>
      <c r="M4" s="446">
        <v>13</v>
      </c>
      <c r="N4" s="447">
        <v>14</v>
      </c>
      <c r="O4" s="29">
        <v>15</v>
      </c>
      <c r="P4" s="446">
        <v>16</v>
      </c>
      <c r="Q4" s="447">
        <v>17</v>
      </c>
      <c r="R4" s="29">
        <v>18</v>
      </c>
      <c r="S4" s="446">
        <v>19</v>
      </c>
      <c r="T4" s="447">
        <v>20</v>
      </c>
      <c r="U4" s="29">
        <v>21</v>
      </c>
      <c r="V4" s="446">
        <v>22</v>
      </c>
      <c r="W4" s="447">
        <v>23</v>
      </c>
      <c r="X4" s="29">
        <v>24</v>
      </c>
      <c r="Y4" s="446">
        <v>25</v>
      </c>
      <c r="Z4" s="447">
        <v>26</v>
      </c>
      <c r="AA4" s="29">
        <v>27</v>
      </c>
      <c r="AB4" s="446">
        <v>28</v>
      </c>
      <c r="AC4" s="447">
        <v>29</v>
      </c>
      <c r="AD4" s="29">
        <v>30</v>
      </c>
      <c r="AE4" s="446">
        <v>31</v>
      </c>
      <c r="AF4" s="447">
        <v>32</v>
      </c>
      <c r="AG4" s="29">
        <v>33</v>
      </c>
      <c r="AH4" s="446">
        <v>34</v>
      </c>
      <c r="AI4" s="447">
        <v>35</v>
      </c>
      <c r="AJ4" s="29">
        <v>36</v>
      </c>
      <c r="AK4" s="446">
        <v>37</v>
      </c>
      <c r="AL4" s="447">
        <v>38</v>
      </c>
      <c r="AM4" s="29">
        <v>39</v>
      </c>
      <c r="AN4" s="446">
        <v>40</v>
      </c>
      <c r="AO4" s="447">
        <v>41</v>
      </c>
      <c r="AP4" s="29">
        <v>42</v>
      </c>
      <c r="AQ4" s="446">
        <v>43</v>
      </c>
      <c r="AR4" s="447">
        <v>44</v>
      </c>
      <c r="AS4" s="29">
        <v>45</v>
      </c>
      <c r="AT4" s="446">
        <v>46</v>
      </c>
      <c r="AU4" s="447">
        <v>47</v>
      </c>
      <c r="AV4" s="29">
        <v>48</v>
      </c>
      <c r="AW4" s="446">
        <v>49</v>
      </c>
      <c r="AX4" s="447">
        <v>50</v>
      </c>
      <c r="AY4" s="29">
        <v>51</v>
      </c>
      <c r="AZ4" s="446">
        <v>52</v>
      </c>
      <c r="BA4" s="447">
        <v>53</v>
      </c>
      <c r="BB4" s="29">
        <v>54</v>
      </c>
      <c r="BC4" s="446">
        <v>55</v>
      </c>
      <c r="BD4" s="447">
        <v>56</v>
      </c>
      <c r="BE4" s="29">
        <v>57</v>
      </c>
      <c r="BF4" s="446">
        <v>58</v>
      </c>
      <c r="BG4" s="447">
        <v>59</v>
      </c>
      <c r="BH4" s="29">
        <v>60</v>
      </c>
      <c r="BI4" s="446">
        <v>61</v>
      </c>
      <c r="BJ4" s="447">
        <v>62</v>
      </c>
      <c r="BK4" s="29">
        <v>63</v>
      </c>
      <c r="BL4" s="447">
        <v>65</v>
      </c>
      <c r="BM4" s="29">
        <v>66</v>
      </c>
      <c r="BN4" s="446">
        <v>67</v>
      </c>
      <c r="BO4" s="447">
        <v>68</v>
      </c>
      <c r="BP4" s="29">
        <v>69</v>
      </c>
      <c r="BQ4" s="446">
        <v>70</v>
      </c>
      <c r="BR4" s="447">
        <v>71</v>
      </c>
      <c r="BS4" s="29">
        <v>72</v>
      </c>
      <c r="BT4" s="446">
        <v>73</v>
      </c>
    </row>
    <row r="5" spans="1:73" ht="16.5" thickBot="1" x14ac:dyDescent="0.3">
      <c r="A5" s="445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6100</v>
      </c>
      <c r="P5" s="445">
        <v>4650</v>
      </c>
      <c r="Q5" s="445">
        <v>3066</v>
      </c>
      <c r="R5" s="445">
        <v>2350</v>
      </c>
      <c r="S5" s="445">
        <v>1542</v>
      </c>
      <c r="T5" s="445">
        <v>997</v>
      </c>
      <c r="U5" s="445"/>
      <c r="V5" s="445">
        <v>1896</v>
      </c>
      <c r="W5" s="445">
        <v>1206</v>
      </c>
      <c r="X5" s="445">
        <v>698</v>
      </c>
      <c r="Y5" s="445"/>
      <c r="Z5" s="445">
        <v>145</v>
      </c>
      <c r="AA5" s="445">
        <v>55</v>
      </c>
      <c r="AB5" s="445">
        <v>25</v>
      </c>
      <c r="AC5" s="445">
        <v>1250</v>
      </c>
      <c r="AD5" s="445">
        <v>850</v>
      </c>
      <c r="AE5" s="339"/>
      <c r="AF5" s="445"/>
      <c r="AG5" s="339"/>
      <c r="AH5" s="445"/>
      <c r="AI5" s="339"/>
      <c r="AJ5" s="445"/>
      <c r="AK5" s="339"/>
      <c r="AL5" s="445"/>
      <c r="AM5" s="445">
        <v>1650</v>
      </c>
      <c r="AN5" s="445">
        <v>600</v>
      </c>
      <c r="AO5" s="445">
        <v>500</v>
      </c>
      <c r="AP5" s="339"/>
      <c r="AQ5" s="445"/>
      <c r="AR5" s="445">
        <v>55</v>
      </c>
      <c r="AS5" s="339"/>
      <c r="AT5" s="445"/>
      <c r="AU5" s="445">
        <v>15</v>
      </c>
      <c r="AV5" s="445">
        <v>10</v>
      </c>
      <c r="AW5" s="445"/>
      <c r="AX5" s="445"/>
      <c r="AY5" s="445"/>
      <c r="AZ5" s="445"/>
      <c r="BA5" s="445"/>
      <c r="BB5" s="445"/>
      <c r="BC5" s="445"/>
      <c r="BD5" s="339"/>
      <c r="BE5" s="339"/>
      <c r="BF5" s="339"/>
      <c r="BG5" s="339"/>
      <c r="BH5" s="339"/>
      <c r="BI5" s="445"/>
      <c r="BJ5" s="339"/>
      <c r="BK5" s="445"/>
      <c r="BL5" s="445"/>
      <c r="BM5" s="445"/>
      <c r="BN5" s="445"/>
      <c r="BO5" s="445"/>
      <c r="BP5" s="445"/>
      <c r="BQ5" s="445"/>
      <c r="BR5" s="445"/>
      <c r="BS5" s="188"/>
      <c r="BT5" s="188"/>
    </row>
    <row r="6" spans="1:73" s="449" customFormat="1" ht="30.75" customHeight="1" thickBot="1" x14ac:dyDescent="0.3">
      <c r="A6" s="450">
        <v>60</v>
      </c>
      <c r="B6" s="451" t="s">
        <v>161</v>
      </c>
      <c r="C6" s="479">
        <v>5</v>
      </c>
      <c r="D6" s="479">
        <v>5</v>
      </c>
      <c r="E6" s="395">
        <v>10</v>
      </c>
      <c r="F6" s="480">
        <v>10</v>
      </c>
      <c r="G6" s="480">
        <v>10</v>
      </c>
      <c r="H6" s="395">
        <v>10</v>
      </c>
      <c r="I6" s="480">
        <v>0</v>
      </c>
      <c r="J6" s="480">
        <v>0</v>
      </c>
      <c r="K6" s="395">
        <v>0</v>
      </c>
      <c r="L6" s="480">
        <v>0</v>
      </c>
      <c r="M6" s="480" t="s">
        <v>176</v>
      </c>
      <c r="N6" s="480">
        <v>1900</v>
      </c>
      <c r="O6" s="438">
        <f>SUM(R6,V6,Z6,AM6,AR6,AU6)</f>
        <v>6.726</v>
      </c>
      <c r="P6" s="438">
        <f>SUM(S6,W6,AA6,AC6,AN6,AV6)</f>
        <v>5.1310000000000011</v>
      </c>
      <c r="Q6" s="438">
        <f>SUM(T6,X6,AB6,AD6,AO6)</f>
        <v>3.2270000000000003</v>
      </c>
      <c r="R6" s="453">
        <v>2.59</v>
      </c>
      <c r="S6" s="453">
        <v>1.7</v>
      </c>
      <c r="T6" s="453">
        <v>1</v>
      </c>
      <c r="U6" s="453">
        <v>0</v>
      </c>
      <c r="V6" s="454">
        <v>2.09</v>
      </c>
      <c r="W6" s="454">
        <v>1.33</v>
      </c>
      <c r="X6" s="454">
        <v>0.75</v>
      </c>
      <c r="Y6" s="454">
        <v>0</v>
      </c>
      <c r="Z6" s="455">
        <v>0.16</v>
      </c>
      <c r="AA6" s="455">
        <v>0.06</v>
      </c>
      <c r="AB6" s="455">
        <v>2.7E-2</v>
      </c>
      <c r="AC6" s="456">
        <v>1.37</v>
      </c>
      <c r="AD6" s="456">
        <v>0.9</v>
      </c>
      <c r="AE6" s="452">
        <v>0</v>
      </c>
      <c r="AF6" s="452">
        <v>0</v>
      </c>
      <c r="AG6" s="452">
        <v>2</v>
      </c>
      <c r="AH6" s="452">
        <v>6</v>
      </c>
      <c r="AI6" s="452">
        <v>0</v>
      </c>
      <c r="AJ6" s="452">
        <v>0</v>
      </c>
      <c r="AK6" s="452">
        <v>0</v>
      </c>
      <c r="AL6" s="452">
        <v>0</v>
      </c>
      <c r="AM6" s="457">
        <v>1.81</v>
      </c>
      <c r="AN6" s="457">
        <v>0.66</v>
      </c>
      <c r="AO6" s="457">
        <v>0.55000000000000004</v>
      </c>
      <c r="AP6" s="457">
        <v>0</v>
      </c>
      <c r="AQ6" s="457">
        <v>0</v>
      </c>
      <c r="AR6" s="458">
        <v>0.06</v>
      </c>
      <c r="AS6" s="469">
        <v>4</v>
      </c>
      <c r="AT6" s="459"/>
      <c r="AU6" s="460">
        <v>1.6E-2</v>
      </c>
      <c r="AV6" s="458">
        <v>1.0999999999999999E-2</v>
      </c>
      <c r="AW6" s="458" t="s">
        <v>65</v>
      </c>
      <c r="AX6" s="458">
        <v>0</v>
      </c>
      <c r="AY6" s="458" t="s">
        <v>65</v>
      </c>
      <c r="AZ6" s="458">
        <v>0</v>
      </c>
      <c r="BA6" s="458" t="s">
        <v>65</v>
      </c>
      <c r="BB6" s="458" t="s">
        <v>65</v>
      </c>
      <c r="BC6" s="458" t="s">
        <v>65</v>
      </c>
      <c r="BD6" s="461">
        <v>1</v>
      </c>
      <c r="BE6" s="462" t="s">
        <v>169</v>
      </c>
      <c r="BF6" s="461">
        <v>26756.07</v>
      </c>
      <c r="BG6" s="461">
        <v>1.6</v>
      </c>
      <c r="BH6" s="463" t="s">
        <v>66</v>
      </c>
      <c r="BI6" s="461">
        <v>1450</v>
      </c>
      <c r="BJ6" s="461">
        <v>0</v>
      </c>
      <c r="BK6" s="461" t="s">
        <v>65</v>
      </c>
      <c r="BL6" s="461" t="s">
        <v>65</v>
      </c>
      <c r="BM6" s="464" t="s">
        <v>67</v>
      </c>
      <c r="BN6" s="464" t="s">
        <v>67</v>
      </c>
      <c r="BO6" s="465" t="s">
        <v>67</v>
      </c>
      <c r="BP6" s="465" t="s">
        <v>67</v>
      </c>
      <c r="BQ6" s="466">
        <v>0</v>
      </c>
      <c r="BR6" s="466">
        <v>0</v>
      </c>
      <c r="BS6" s="467" t="s">
        <v>67</v>
      </c>
      <c r="BT6" s="467" t="s">
        <v>175</v>
      </c>
      <c r="BU6" s="468"/>
    </row>
    <row r="7" spans="1:73" s="413" customFormat="1" ht="17.25" customHeight="1" thickBot="1" x14ac:dyDescent="0.3">
      <c r="A7" s="445"/>
      <c r="B7" s="351"/>
      <c r="C7" s="407"/>
      <c r="D7" s="407"/>
      <c r="E7" s="408"/>
      <c r="F7" s="408"/>
      <c r="G7" s="408"/>
      <c r="H7" s="408"/>
      <c r="I7" s="408"/>
      <c r="J7" s="408"/>
      <c r="K7" s="408"/>
      <c r="L7" s="408"/>
      <c r="M7" s="408"/>
      <c r="N7" s="408"/>
      <c r="O7" s="408">
        <v>4946</v>
      </c>
      <c r="P7" s="408">
        <v>3836</v>
      </c>
      <c r="Q7" s="408">
        <v>1983</v>
      </c>
      <c r="R7" s="408">
        <v>2200</v>
      </c>
      <c r="S7" s="408">
        <v>1300</v>
      </c>
      <c r="T7" s="408">
        <v>850</v>
      </c>
      <c r="U7" s="408"/>
      <c r="V7" s="408">
        <v>1650</v>
      </c>
      <c r="W7" s="408">
        <v>900</v>
      </c>
      <c r="X7" s="408">
        <v>500</v>
      </c>
      <c r="Y7" s="408"/>
      <c r="Z7" s="408">
        <v>100</v>
      </c>
      <c r="AA7" s="408">
        <v>40</v>
      </c>
      <c r="AB7" s="408">
        <v>10</v>
      </c>
      <c r="AC7" s="408">
        <v>1100</v>
      </c>
      <c r="AD7" s="408">
        <v>550</v>
      </c>
      <c r="AE7" s="408"/>
      <c r="AF7" s="408"/>
      <c r="AG7" s="408"/>
      <c r="AH7" s="408"/>
      <c r="AI7" s="408"/>
      <c r="AJ7" s="408"/>
      <c r="AK7" s="408"/>
      <c r="AL7" s="408"/>
      <c r="AM7" s="408">
        <v>1450</v>
      </c>
      <c r="AN7" s="408">
        <v>350</v>
      </c>
      <c r="AO7" s="408">
        <v>250</v>
      </c>
      <c r="AP7" s="408"/>
      <c r="AQ7" s="408"/>
      <c r="AR7" s="408">
        <v>50</v>
      </c>
      <c r="AS7" s="408"/>
      <c r="AT7" s="409"/>
      <c r="AU7" s="408">
        <v>20</v>
      </c>
      <c r="AV7" s="408">
        <v>10</v>
      </c>
      <c r="AW7" s="408"/>
      <c r="AX7" s="408"/>
      <c r="AY7" s="408"/>
      <c r="AZ7" s="408"/>
      <c r="BA7" s="408"/>
      <c r="BB7" s="408"/>
      <c r="BC7" s="408"/>
      <c r="BD7" s="410"/>
      <c r="BE7" s="410"/>
      <c r="BF7" s="410"/>
      <c r="BG7" s="410"/>
      <c r="BH7" s="410"/>
      <c r="BI7" s="410"/>
      <c r="BJ7" s="410"/>
      <c r="BK7" s="410"/>
      <c r="BL7" s="410"/>
      <c r="BM7" s="410"/>
      <c r="BN7" s="410"/>
      <c r="BO7" s="410"/>
      <c r="BP7" s="410"/>
      <c r="BQ7" s="411"/>
      <c r="BR7" s="411"/>
      <c r="BS7" s="412"/>
      <c r="BT7" s="412"/>
    </row>
    <row r="8" spans="1:73" ht="35.25" customHeight="1" thickBot="1" x14ac:dyDescent="0.3">
      <c r="A8" s="50">
        <v>50</v>
      </c>
      <c r="B8" s="439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0</v>
      </c>
      <c r="J8" s="343">
        <v>0</v>
      </c>
      <c r="K8" s="342">
        <v>0</v>
      </c>
      <c r="L8" s="343">
        <v>0</v>
      </c>
      <c r="M8" s="343" t="s">
        <v>176</v>
      </c>
      <c r="N8" s="343">
        <v>900</v>
      </c>
      <c r="O8" s="438">
        <f>SUM(R8,V8,Z8,AM8,AR8,AU8)</f>
        <v>6.011000000000001</v>
      </c>
      <c r="P8" s="438">
        <f>SUM(S8,W8,AA8,AC8,AN8,AV8)</f>
        <v>3.9930999999999996</v>
      </c>
      <c r="Q8" s="438">
        <f>SUM(T8,X8,AB8,AD8,AO8)</f>
        <v>2.3009999999999997</v>
      </c>
      <c r="R8" s="345">
        <v>2.42</v>
      </c>
      <c r="S8" s="345">
        <v>1.4</v>
      </c>
      <c r="T8" s="345">
        <v>0.93</v>
      </c>
      <c r="U8" s="345">
        <v>0</v>
      </c>
      <c r="V8" s="346">
        <v>1.82</v>
      </c>
      <c r="W8" s="346">
        <v>0.95</v>
      </c>
      <c r="X8" s="346">
        <v>0.49</v>
      </c>
      <c r="Y8" s="346">
        <v>0</v>
      </c>
      <c r="Z8" s="347">
        <v>0.11</v>
      </c>
      <c r="AA8" s="347">
        <v>4.3999999999999997E-2</v>
      </c>
      <c r="AB8" s="347">
        <v>1.0999999999999999E-2</v>
      </c>
      <c r="AC8" s="348">
        <v>1.21</v>
      </c>
      <c r="AD8" s="348">
        <v>0.6</v>
      </c>
      <c r="AE8" s="342">
        <v>0</v>
      </c>
      <c r="AF8" s="342">
        <v>0</v>
      </c>
      <c r="AG8" s="342">
        <v>1</v>
      </c>
      <c r="AH8" s="342">
        <v>1.6</v>
      </c>
      <c r="AI8" s="342">
        <v>0</v>
      </c>
      <c r="AJ8" s="342">
        <v>0</v>
      </c>
      <c r="AK8" s="342">
        <v>0</v>
      </c>
      <c r="AL8" s="342">
        <v>0</v>
      </c>
      <c r="AM8" s="349">
        <v>1.59</v>
      </c>
      <c r="AN8" s="349">
        <v>0.38</v>
      </c>
      <c r="AO8" s="349">
        <v>0.27</v>
      </c>
      <c r="AP8" s="349">
        <v>0</v>
      </c>
      <c r="AQ8" s="349">
        <v>0</v>
      </c>
      <c r="AR8" s="350">
        <v>4.9000000000000002E-2</v>
      </c>
      <c r="AS8" s="350">
        <v>1</v>
      </c>
      <c r="AT8" s="361"/>
      <c r="AU8" s="350">
        <v>2.1999999999999999E-2</v>
      </c>
      <c r="AV8" s="350">
        <v>9.1000000000000004E-3</v>
      </c>
      <c r="AW8" s="350" t="s">
        <v>65</v>
      </c>
      <c r="AX8" s="350">
        <v>0</v>
      </c>
      <c r="AY8" s="350" t="s">
        <v>65</v>
      </c>
      <c r="AZ8" s="350">
        <v>0</v>
      </c>
      <c r="BA8" s="350" t="s">
        <v>65</v>
      </c>
      <c r="BB8" s="350" t="s">
        <v>65</v>
      </c>
      <c r="BC8" s="350" t="s">
        <v>67</v>
      </c>
      <c r="BD8" s="362">
        <v>1</v>
      </c>
      <c r="BE8" s="372" t="s">
        <v>170</v>
      </c>
      <c r="BF8" s="362">
        <v>15617.8</v>
      </c>
      <c r="BG8" s="368">
        <v>1.6</v>
      </c>
      <c r="BH8" s="362" t="s">
        <v>72</v>
      </c>
      <c r="BI8" s="362">
        <v>820</v>
      </c>
      <c r="BJ8" s="362">
        <v>0</v>
      </c>
      <c r="BK8" s="362" t="s">
        <v>65</v>
      </c>
      <c r="BL8" s="362" t="s">
        <v>65</v>
      </c>
      <c r="BM8" s="363" t="s">
        <v>67</v>
      </c>
      <c r="BN8" s="363" t="s">
        <v>67</v>
      </c>
      <c r="BO8" s="364" t="s">
        <v>65</v>
      </c>
      <c r="BP8" s="364" t="s">
        <v>65</v>
      </c>
      <c r="BQ8" s="66">
        <v>0</v>
      </c>
      <c r="BR8" s="66">
        <v>0</v>
      </c>
      <c r="BS8" s="370" t="s">
        <v>122</v>
      </c>
      <c r="BT8" s="371">
        <v>0</v>
      </c>
    </row>
    <row r="9" spans="1:73" s="1143" customFormat="1" ht="45" customHeight="1" x14ac:dyDescent="0.25"/>
    <row r="10" spans="1:73" s="448" customFormat="1" ht="45" customHeight="1" x14ac:dyDescent="0.25">
      <c r="O10" s="415">
        <v>196.54</v>
      </c>
      <c r="P10" s="415">
        <v>148.49</v>
      </c>
      <c r="Q10" s="415">
        <v>94.24</v>
      </c>
    </row>
    <row r="11" spans="1:73" ht="16.5" thickBot="1" x14ac:dyDescent="0.3">
      <c r="A11" s="445"/>
      <c r="B11" s="189"/>
      <c r="C11" s="339"/>
      <c r="D11" s="339"/>
      <c r="E11" s="339"/>
      <c r="F11" s="339"/>
      <c r="G11" s="339"/>
      <c r="H11" s="339"/>
      <c r="I11" s="339"/>
      <c r="J11" s="339"/>
      <c r="K11" s="339"/>
      <c r="L11" s="339"/>
      <c r="M11" s="339"/>
      <c r="N11" s="339"/>
      <c r="O11" s="339">
        <v>5014</v>
      </c>
      <c r="P11" s="445">
        <v>4555</v>
      </c>
      <c r="Q11" s="445">
        <v>3654</v>
      </c>
      <c r="R11" s="445">
        <v>2160</v>
      </c>
      <c r="S11" s="445">
        <v>1560</v>
      </c>
      <c r="T11" s="445">
        <v>1330</v>
      </c>
      <c r="U11" s="445"/>
      <c r="V11" s="445">
        <v>1960</v>
      </c>
      <c r="W11" s="445">
        <v>1360</v>
      </c>
      <c r="X11" s="445">
        <v>1140</v>
      </c>
      <c r="Y11" s="445"/>
      <c r="Z11" s="445">
        <v>165</v>
      </c>
      <c r="AA11" s="445">
        <v>95</v>
      </c>
      <c r="AB11" s="445">
        <v>35</v>
      </c>
      <c r="AC11" s="445">
        <v>1216</v>
      </c>
      <c r="AD11" s="445">
        <v>880</v>
      </c>
      <c r="AE11" s="339"/>
      <c r="AF11" s="445"/>
      <c r="AG11" s="339"/>
      <c r="AH11" s="445"/>
      <c r="AI11" s="339"/>
      <c r="AJ11" s="445"/>
      <c r="AK11" s="339"/>
      <c r="AL11" s="445"/>
      <c r="AM11" s="445">
        <v>620</v>
      </c>
      <c r="AN11" s="445">
        <v>310</v>
      </c>
      <c r="AO11" s="445">
        <v>270</v>
      </c>
      <c r="AP11" s="339"/>
      <c r="AQ11" s="445"/>
      <c r="AR11" s="445">
        <v>90</v>
      </c>
      <c r="AS11" s="339"/>
      <c r="AT11" s="445"/>
      <c r="AU11" s="445">
        <v>26</v>
      </c>
      <c r="AV11" s="445">
        <v>20</v>
      </c>
      <c r="AW11" s="445"/>
      <c r="AX11" s="445"/>
      <c r="AY11" s="445"/>
      <c r="AZ11" s="445"/>
      <c r="BA11" s="445"/>
      <c r="BB11" s="445"/>
      <c r="BC11" s="445"/>
      <c r="BD11" s="339"/>
      <c r="BE11" s="339"/>
      <c r="BF11" s="339"/>
      <c r="BG11" s="339"/>
      <c r="BH11" s="339"/>
      <c r="BI11" s="445"/>
      <c r="BJ11" s="339"/>
      <c r="BK11" s="445"/>
      <c r="BL11" s="445"/>
      <c r="BM11" s="445"/>
      <c r="BN11" s="445"/>
      <c r="BO11" s="445"/>
      <c r="BP11" s="445"/>
      <c r="BQ11" s="445"/>
      <c r="BR11" s="445"/>
      <c r="BS11" s="188"/>
      <c r="BT11" s="188"/>
    </row>
    <row r="12" spans="1:73" ht="30.75" customHeight="1" thickBot="1" x14ac:dyDescent="0.3">
      <c r="A12" s="50">
        <v>60</v>
      </c>
      <c r="B12" s="439" t="s">
        <v>161</v>
      </c>
      <c r="C12" s="341">
        <v>5</v>
      </c>
      <c r="D12" s="341">
        <v>5</v>
      </c>
      <c r="E12" s="342">
        <v>10</v>
      </c>
      <c r="F12" s="343">
        <v>10</v>
      </c>
      <c r="G12" s="343">
        <v>10</v>
      </c>
      <c r="H12" s="342">
        <v>10</v>
      </c>
      <c r="I12" s="343">
        <v>0</v>
      </c>
      <c r="J12" s="343">
        <v>0</v>
      </c>
      <c r="K12" s="342">
        <v>0</v>
      </c>
      <c r="L12" s="343">
        <v>0</v>
      </c>
      <c r="M12" s="343" t="s">
        <v>65</v>
      </c>
      <c r="N12" s="343">
        <v>0</v>
      </c>
      <c r="O12" s="438">
        <f>SUM(R12,V12,Z12,AM12,AR12,AU12)</f>
        <v>201.78</v>
      </c>
      <c r="P12" s="438">
        <f>SUM(S12,W12,AA12,AC12,AN12,AV12)</f>
        <v>153.93000000000004</v>
      </c>
      <c r="Q12" s="438">
        <f>SUM(T12,X12,AB12,AD12,AO12)</f>
        <v>96.81</v>
      </c>
      <c r="R12" s="345">
        <f>30*R6</f>
        <v>77.699999999999989</v>
      </c>
      <c r="S12" s="345">
        <f>30*S6</f>
        <v>51</v>
      </c>
      <c r="T12" s="345">
        <f>30*T6</f>
        <v>30</v>
      </c>
      <c r="U12" s="345">
        <v>0</v>
      </c>
      <c r="V12" s="346">
        <f>30*V6</f>
        <v>62.699999999999996</v>
      </c>
      <c r="W12" s="346">
        <f>30*W6</f>
        <v>39.900000000000006</v>
      </c>
      <c r="X12" s="346">
        <f>30*X6</f>
        <v>22.5</v>
      </c>
      <c r="Y12" s="346">
        <v>0</v>
      </c>
      <c r="Z12" s="347">
        <f>30*Z6</f>
        <v>4.8</v>
      </c>
      <c r="AA12" s="347">
        <f>30*AA6</f>
        <v>1.7999999999999998</v>
      </c>
      <c r="AB12" s="347">
        <f>30*AB6</f>
        <v>0.80999999999999994</v>
      </c>
      <c r="AC12" s="348">
        <f>30*AC6</f>
        <v>41.1</v>
      </c>
      <c r="AD12" s="348">
        <f>30*AD6</f>
        <v>27</v>
      </c>
      <c r="AE12" s="342">
        <v>0</v>
      </c>
      <c r="AF12" s="342">
        <v>0</v>
      </c>
      <c r="AG12" s="342">
        <v>2</v>
      </c>
      <c r="AH12" s="342">
        <v>6</v>
      </c>
      <c r="AI12" s="342">
        <v>0</v>
      </c>
      <c r="AJ12" s="342">
        <v>0</v>
      </c>
      <c r="AK12" s="342">
        <v>0</v>
      </c>
      <c r="AL12" s="342">
        <v>0</v>
      </c>
      <c r="AM12" s="349">
        <f>30*AM6</f>
        <v>54.300000000000004</v>
      </c>
      <c r="AN12" s="349">
        <f>30*AN6</f>
        <v>19.8</v>
      </c>
      <c r="AO12" s="349">
        <f>30*AO6</f>
        <v>16.5</v>
      </c>
      <c r="AP12" s="349">
        <v>0</v>
      </c>
      <c r="AQ12" s="349">
        <v>0</v>
      </c>
      <c r="AR12" s="350">
        <f>30*AR6</f>
        <v>1.7999999999999998</v>
      </c>
      <c r="AS12" s="350">
        <v>3</v>
      </c>
      <c r="AT12" s="361"/>
      <c r="AU12" s="176">
        <f>30*AU6</f>
        <v>0.48</v>
      </c>
      <c r="AV12" s="350">
        <f>30*AV6</f>
        <v>0.32999999999999996</v>
      </c>
      <c r="AW12" s="350" t="s">
        <v>65</v>
      </c>
      <c r="AX12" s="350">
        <v>0</v>
      </c>
      <c r="AY12" s="350" t="s">
        <v>65</v>
      </c>
      <c r="AZ12" s="350">
        <v>0</v>
      </c>
      <c r="BA12" s="350" t="s">
        <v>65</v>
      </c>
      <c r="BB12" s="350" t="s">
        <v>65</v>
      </c>
      <c r="BC12" s="350" t="s">
        <v>65</v>
      </c>
      <c r="BD12" s="362">
        <v>1</v>
      </c>
      <c r="BE12" s="372" t="s">
        <v>169</v>
      </c>
      <c r="BF12" s="362">
        <v>1350</v>
      </c>
      <c r="BG12" s="362">
        <v>1.5</v>
      </c>
      <c r="BH12" s="373" t="s">
        <v>66</v>
      </c>
      <c r="BI12" s="362">
        <v>1260</v>
      </c>
      <c r="BJ12" s="362">
        <v>0</v>
      </c>
      <c r="BK12" s="362" t="s">
        <v>65</v>
      </c>
      <c r="BL12" s="362" t="s">
        <v>65</v>
      </c>
      <c r="BM12" s="363" t="s">
        <v>67</v>
      </c>
      <c r="BN12" s="363" t="s">
        <v>67</v>
      </c>
      <c r="BO12" s="364" t="s">
        <v>67</v>
      </c>
      <c r="BP12" s="364" t="s">
        <v>67</v>
      </c>
      <c r="BQ12" s="66">
        <v>0</v>
      </c>
      <c r="BR12" s="66">
        <v>0</v>
      </c>
      <c r="BS12" s="369" t="s">
        <v>67</v>
      </c>
      <c r="BT12" s="369" t="s">
        <v>175</v>
      </c>
      <c r="BU12" s="357"/>
    </row>
    <row r="13" spans="1:73" s="340" customFormat="1" ht="17.25" customHeight="1" thickBot="1" x14ac:dyDescent="0.3">
      <c r="A13" s="180"/>
      <c r="B13" s="351"/>
      <c r="C13" s="352"/>
      <c r="D13" s="352"/>
      <c r="E13" s="353"/>
      <c r="F13" s="353"/>
      <c r="G13" s="353"/>
      <c r="H13" s="353"/>
      <c r="I13" s="353"/>
      <c r="J13" s="353"/>
      <c r="K13" s="353"/>
      <c r="L13" s="353"/>
      <c r="M13" s="353"/>
      <c r="N13" s="353"/>
      <c r="O13" s="353">
        <v>4027</v>
      </c>
      <c r="P13" s="353">
        <v>3821</v>
      </c>
      <c r="Q13" s="353">
        <v>3003</v>
      </c>
      <c r="R13" s="353">
        <v>1810</v>
      </c>
      <c r="S13" s="353">
        <v>1316</v>
      </c>
      <c r="T13" s="353">
        <v>1140</v>
      </c>
      <c r="U13" s="353"/>
      <c r="V13" s="353">
        <v>1510</v>
      </c>
      <c r="W13" s="353">
        <v>1110</v>
      </c>
      <c r="X13" s="353">
        <v>840</v>
      </c>
      <c r="Y13" s="353"/>
      <c r="Z13" s="353">
        <v>110</v>
      </c>
      <c r="AA13" s="353">
        <v>60</v>
      </c>
      <c r="AB13" s="353">
        <v>10</v>
      </c>
      <c r="AC13" s="353">
        <v>1010</v>
      </c>
      <c r="AD13" s="353">
        <v>790</v>
      </c>
      <c r="AE13" s="353"/>
      <c r="AF13" s="353"/>
      <c r="AG13" s="353"/>
      <c r="AH13" s="353"/>
      <c r="AI13" s="353"/>
      <c r="AJ13" s="353"/>
      <c r="AK13" s="353"/>
      <c r="AL13" s="353"/>
      <c r="AM13" s="353">
        <v>520</v>
      </c>
      <c r="AN13" s="353">
        <v>310</v>
      </c>
      <c r="AO13" s="353">
        <v>240</v>
      </c>
      <c r="AP13" s="353"/>
      <c r="AQ13" s="353"/>
      <c r="AR13" s="353">
        <v>60</v>
      </c>
      <c r="AS13" s="353"/>
      <c r="AT13" s="365"/>
      <c r="AU13" s="353">
        <v>30</v>
      </c>
      <c r="AV13" s="353">
        <v>20</v>
      </c>
      <c r="AW13" s="353"/>
      <c r="AX13" s="353"/>
      <c r="AY13" s="353"/>
      <c r="AZ13" s="353"/>
      <c r="BA13" s="353"/>
      <c r="BB13" s="353"/>
      <c r="BC13" s="353"/>
      <c r="BD13" s="366"/>
      <c r="BE13" s="366"/>
      <c r="BF13" s="366"/>
      <c r="BG13" s="366"/>
      <c r="BH13" s="366"/>
      <c r="BI13" s="366"/>
      <c r="BJ13" s="366"/>
      <c r="BK13" s="366"/>
      <c r="BL13" s="366"/>
      <c r="BM13" s="366"/>
      <c r="BN13" s="366"/>
      <c r="BO13" s="366"/>
      <c r="BP13" s="366"/>
      <c r="BQ13" s="367"/>
      <c r="BR13" s="367"/>
      <c r="BS13" s="188"/>
      <c r="BT13" s="188"/>
    </row>
    <row r="14" spans="1:73" ht="35.25" customHeight="1" thickBot="1" x14ac:dyDescent="0.3">
      <c r="A14" s="50">
        <v>50</v>
      </c>
      <c r="B14" s="439" t="s">
        <v>121</v>
      </c>
      <c r="C14" s="341">
        <v>4</v>
      </c>
      <c r="D14" s="354">
        <v>4</v>
      </c>
      <c r="E14" s="342">
        <v>8</v>
      </c>
      <c r="F14" s="343">
        <v>4</v>
      </c>
      <c r="G14" s="343">
        <v>4</v>
      </c>
      <c r="H14" s="342">
        <v>8</v>
      </c>
      <c r="I14" s="343">
        <v>0</v>
      </c>
      <c r="J14" s="343">
        <v>0</v>
      </c>
      <c r="K14" s="342">
        <v>0</v>
      </c>
      <c r="L14" s="343">
        <v>0</v>
      </c>
      <c r="M14" s="343" t="s">
        <v>65</v>
      </c>
      <c r="N14" s="343">
        <v>0</v>
      </c>
      <c r="O14" s="438">
        <f>SUM(R14,V14,Z14,AM14,AR14,AU14)</f>
        <v>180.32999999999998</v>
      </c>
      <c r="P14" s="438">
        <f>SUM(S14,W14,AA14,AC14,AN14,AV14)</f>
        <v>119.79299999999999</v>
      </c>
      <c r="Q14" s="438">
        <f>SUM(T14,X14,AB14,AD14,AO14)</f>
        <v>69.03</v>
      </c>
      <c r="R14" s="345">
        <f>30*R8</f>
        <v>72.599999999999994</v>
      </c>
      <c r="S14" s="345">
        <f>30*S8</f>
        <v>42</v>
      </c>
      <c r="T14" s="345">
        <f>30*T8</f>
        <v>27.900000000000002</v>
      </c>
      <c r="U14" s="345">
        <v>0</v>
      </c>
      <c r="V14" s="346">
        <f>30*V8</f>
        <v>54.6</v>
      </c>
      <c r="W14" s="346">
        <f>30*W8</f>
        <v>28.5</v>
      </c>
      <c r="X14" s="346">
        <f>30*X8</f>
        <v>14.7</v>
      </c>
      <c r="Y14" s="346">
        <v>0</v>
      </c>
      <c r="Z14" s="347">
        <f>30*Z8</f>
        <v>3.3</v>
      </c>
      <c r="AA14" s="347">
        <f>30*AA8</f>
        <v>1.3199999999999998</v>
      </c>
      <c r="AB14" s="347">
        <f>30*AB8</f>
        <v>0.32999999999999996</v>
      </c>
      <c r="AC14" s="348">
        <f>30*AC8</f>
        <v>36.299999999999997</v>
      </c>
      <c r="AD14" s="348">
        <f>30*AD8</f>
        <v>18</v>
      </c>
      <c r="AE14" s="342">
        <v>0</v>
      </c>
      <c r="AF14" s="342">
        <v>0</v>
      </c>
      <c r="AG14" s="342">
        <v>1</v>
      </c>
      <c r="AH14" s="342">
        <v>1.6</v>
      </c>
      <c r="AI14" s="342">
        <v>0</v>
      </c>
      <c r="AJ14" s="342">
        <v>0</v>
      </c>
      <c r="AK14" s="342">
        <v>0</v>
      </c>
      <c r="AL14" s="342">
        <v>0</v>
      </c>
      <c r="AM14" s="349">
        <f>30*AM8</f>
        <v>47.7</v>
      </c>
      <c r="AN14" s="349">
        <f>30*AN8</f>
        <v>11.4</v>
      </c>
      <c r="AO14" s="349">
        <f>30*AO8</f>
        <v>8.1000000000000014</v>
      </c>
      <c r="AP14" s="349">
        <v>0</v>
      </c>
      <c r="AQ14" s="349">
        <v>0</v>
      </c>
      <c r="AR14" s="350">
        <f>30*AR8</f>
        <v>1.47</v>
      </c>
      <c r="AS14" s="350">
        <v>1</v>
      </c>
      <c r="AT14" s="361"/>
      <c r="AU14" s="350">
        <f>30*AU8</f>
        <v>0.65999999999999992</v>
      </c>
      <c r="AV14" s="350">
        <f>30*AV8</f>
        <v>0.27300000000000002</v>
      </c>
      <c r="AW14" s="350" t="s">
        <v>65</v>
      </c>
      <c r="AX14" s="350">
        <v>0</v>
      </c>
      <c r="AY14" s="350" t="s">
        <v>65</v>
      </c>
      <c r="AZ14" s="350">
        <v>0</v>
      </c>
      <c r="BA14" s="350" t="s">
        <v>65</v>
      </c>
      <c r="BB14" s="350" t="s">
        <v>65</v>
      </c>
      <c r="BC14" s="350" t="s">
        <v>67</v>
      </c>
      <c r="BD14" s="362">
        <v>1</v>
      </c>
      <c r="BE14" s="372" t="s">
        <v>170</v>
      </c>
      <c r="BF14" s="362">
        <v>15617.8</v>
      </c>
      <c r="BG14" s="368">
        <v>1.6</v>
      </c>
      <c r="BH14" s="362" t="s">
        <v>72</v>
      </c>
      <c r="BI14" s="362">
        <v>800</v>
      </c>
      <c r="BJ14" s="362">
        <v>0</v>
      </c>
      <c r="BK14" s="362" t="s">
        <v>65</v>
      </c>
      <c r="BL14" s="362" t="s">
        <v>65</v>
      </c>
      <c r="BM14" s="363" t="s">
        <v>67</v>
      </c>
      <c r="BN14" s="363" t="s">
        <v>67</v>
      </c>
      <c r="BO14" s="364" t="s">
        <v>65</v>
      </c>
      <c r="BP14" s="364" t="s">
        <v>65</v>
      </c>
      <c r="BQ14" s="66">
        <v>0</v>
      </c>
      <c r="BR14" s="66">
        <v>0</v>
      </c>
      <c r="BS14" s="370" t="s">
        <v>122</v>
      </c>
      <c r="BT14" s="371">
        <v>0</v>
      </c>
    </row>
    <row r="15" spans="1:73" ht="29.25" customHeight="1" x14ac:dyDescent="0.25">
      <c r="O15" s="416">
        <v>175.46</v>
      </c>
      <c r="P15" s="416">
        <v>115.32</v>
      </c>
      <c r="Q15" s="416">
        <v>65.099999999999994</v>
      </c>
    </row>
    <row r="17" spans="15:17" x14ac:dyDescent="0.25">
      <c r="O17" s="449">
        <f>O12-O10</f>
        <v>5.2400000000000091</v>
      </c>
      <c r="P17" s="449">
        <f>P12-P10</f>
        <v>5.4400000000000261</v>
      </c>
      <c r="Q17" s="449">
        <f>Q12-Q10</f>
        <v>2.5700000000000074</v>
      </c>
    </row>
    <row r="18" spans="15:17" x14ac:dyDescent="0.25">
      <c r="O18" s="449">
        <f>O14-O15</f>
        <v>4.8699999999999761</v>
      </c>
      <c r="P18" s="449">
        <f>P14-P15</f>
        <v>4.472999999999999</v>
      </c>
      <c r="Q18" s="449">
        <f>Q14-Q15</f>
        <v>3.9300000000000068</v>
      </c>
    </row>
  </sheetData>
  <mergeCells count="23">
    <mergeCell ref="BM1:BN1"/>
    <mergeCell ref="BO1:BP1"/>
    <mergeCell ref="BQ1:BR1"/>
    <mergeCell ref="BS1:BT1"/>
    <mergeCell ref="A9:XFD9"/>
    <mergeCell ref="AC1:AD1"/>
    <mergeCell ref="AE1:AL1"/>
    <mergeCell ref="AM1:AQ1"/>
    <mergeCell ref="AR1:AT1"/>
    <mergeCell ref="AU1:BC1"/>
    <mergeCell ref="BD1:BL1"/>
    <mergeCell ref="M1:M2"/>
    <mergeCell ref="N1:N2"/>
    <mergeCell ref="O1:Q1"/>
    <mergeCell ref="R1:U1"/>
    <mergeCell ref="V1:Y1"/>
    <mergeCell ref="Z1:AB1"/>
    <mergeCell ref="A1:A3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8"/>
  <sheetViews>
    <sheetView topLeftCell="E3" workbookViewId="0">
      <selection activeCell="R6" sqref="R6"/>
    </sheetView>
  </sheetViews>
  <sheetFormatPr defaultRowHeight="15" x14ac:dyDescent="0.25"/>
  <cols>
    <col min="2" max="2" width="21.28515625" customWidth="1"/>
  </cols>
  <sheetData>
    <row r="1" spans="1:72" ht="15.75" x14ac:dyDescent="0.25">
      <c r="A1" s="1282" t="s">
        <v>0</v>
      </c>
      <c r="B1" s="1285" t="s">
        <v>1</v>
      </c>
      <c r="C1" s="1288" t="s">
        <v>2</v>
      </c>
      <c r="D1" s="1289"/>
      <c r="E1" s="1290"/>
      <c r="F1" s="1288" t="s">
        <v>3</v>
      </c>
      <c r="G1" s="1289"/>
      <c r="H1" s="1290"/>
      <c r="I1" s="1288" t="s">
        <v>4</v>
      </c>
      <c r="J1" s="1289"/>
      <c r="K1" s="1290"/>
      <c r="L1" s="1294" t="s">
        <v>5</v>
      </c>
      <c r="M1" s="1294" t="s">
        <v>6</v>
      </c>
      <c r="N1" s="1294" t="s">
        <v>7</v>
      </c>
      <c r="O1" s="1296" t="s">
        <v>8</v>
      </c>
      <c r="P1" s="1297"/>
      <c r="Q1" s="1298"/>
      <c r="R1" s="1299" t="s">
        <v>9</v>
      </c>
      <c r="S1" s="1300"/>
      <c r="T1" s="1300"/>
      <c r="U1" s="1301"/>
      <c r="V1" s="1302" t="s">
        <v>10</v>
      </c>
      <c r="W1" s="1303"/>
      <c r="X1" s="1303"/>
      <c r="Y1" s="1304"/>
      <c r="Z1" s="1279" t="s">
        <v>11</v>
      </c>
      <c r="AA1" s="1280"/>
      <c r="AB1" s="1281"/>
      <c r="AC1" s="1309" t="s">
        <v>12</v>
      </c>
      <c r="AD1" s="1310"/>
      <c r="AE1" s="1311" t="s">
        <v>13</v>
      </c>
      <c r="AF1" s="1312"/>
      <c r="AG1" s="1312"/>
      <c r="AH1" s="1312"/>
      <c r="AI1" s="1312"/>
      <c r="AJ1" s="1312"/>
      <c r="AK1" s="1312"/>
      <c r="AL1" s="1313"/>
      <c r="AM1" s="1314" t="s">
        <v>99</v>
      </c>
      <c r="AN1" s="1315"/>
      <c r="AO1" s="1315"/>
      <c r="AP1" s="1315"/>
      <c r="AQ1" s="1316"/>
      <c r="AR1" s="1317" t="s">
        <v>100</v>
      </c>
      <c r="AS1" s="1318"/>
      <c r="AT1" s="1319"/>
      <c r="AU1" s="1317" t="s">
        <v>101</v>
      </c>
      <c r="AV1" s="1318"/>
      <c r="AW1" s="1318"/>
      <c r="AX1" s="1318"/>
      <c r="AY1" s="1318"/>
      <c r="AZ1" s="1318"/>
      <c r="BA1" s="1318"/>
      <c r="BB1" s="1318"/>
      <c r="BC1" s="1319"/>
      <c r="BD1" s="1320" t="s">
        <v>14</v>
      </c>
      <c r="BE1" s="1321"/>
      <c r="BF1" s="1321"/>
      <c r="BG1" s="1321"/>
      <c r="BH1" s="1321"/>
      <c r="BI1" s="1321"/>
      <c r="BJ1" s="1321"/>
      <c r="BK1" s="1321"/>
      <c r="BL1" s="1322"/>
      <c r="BM1" s="1305" t="s">
        <v>15</v>
      </c>
      <c r="BN1" s="1306"/>
      <c r="BO1" s="1307" t="s">
        <v>16</v>
      </c>
      <c r="BP1" s="1308"/>
      <c r="BQ1" s="1305" t="s">
        <v>130</v>
      </c>
      <c r="BR1" s="1306"/>
      <c r="BS1" s="1323" t="s">
        <v>171</v>
      </c>
      <c r="BT1" s="1324"/>
    </row>
    <row r="2" spans="1:72" ht="225" x14ac:dyDescent="0.25">
      <c r="A2" s="1283"/>
      <c r="B2" s="1286"/>
      <c r="C2" s="1291"/>
      <c r="D2" s="1292"/>
      <c r="E2" s="1293"/>
      <c r="F2" s="1291"/>
      <c r="G2" s="1292"/>
      <c r="H2" s="1293"/>
      <c r="I2" s="1291"/>
      <c r="J2" s="1292"/>
      <c r="K2" s="1293"/>
      <c r="L2" s="1295"/>
      <c r="M2" s="1295"/>
      <c r="N2" s="1295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474" t="s">
        <v>23</v>
      </c>
      <c r="V2" s="42" t="s">
        <v>24</v>
      </c>
      <c r="W2" s="217" t="s">
        <v>25</v>
      </c>
      <c r="X2" s="218" t="s">
        <v>26</v>
      </c>
      <c r="Y2" s="475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472" t="s">
        <v>105</v>
      </c>
      <c r="AQ2" s="472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473" t="s">
        <v>14</v>
      </c>
      <c r="BE2" s="473" t="s">
        <v>167</v>
      </c>
      <c r="BF2" s="473" t="s">
        <v>39</v>
      </c>
      <c r="BG2" s="473" t="s">
        <v>40</v>
      </c>
      <c r="BH2" s="473" t="s">
        <v>41</v>
      </c>
      <c r="BI2" s="473" t="s">
        <v>42</v>
      </c>
      <c r="BJ2" s="473" t="s">
        <v>43</v>
      </c>
      <c r="BK2" s="473" t="s">
        <v>44</v>
      </c>
      <c r="BL2" s="473" t="s">
        <v>46</v>
      </c>
      <c r="BM2" s="471" t="s">
        <v>47</v>
      </c>
      <c r="BN2" s="471" t="s">
        <v>48</v>
      </c>
      <c r="BO2" s="472" t="s">
        <v>49</v>
      </c>
      <c r="BP2" s="472" t="s">
        <v>50</v>
      </c>
      <c r="BQ2" s="471" t="s">
        <v>131</v>
      </c>
      <c r="BR2" s="471" t="s">
        <v>132</v>
      </c>
      <c r="BS2" s="359" t="s">
        <v>172</v>
      </c>
      <c r="BT2" s="359" t="s">
        <v>173</v>
      </c>
    </row>
    <row r="3" spans="1:72" ht="75" x14ac:dyDescent="0.25">
      <c r="A3" s="1284"/>
      <c r="B3" s="1287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107" t="s">
        <v>54</v>
      </c>
      <c r="BR3" s="107" t="s">
        <v>54</v>
      </c>
      <c r="BS3" s="360" t="s">
        <v>120</v>
      </c>
      <c r="BT3" s="360" t="s">
        <v>174</v>
      </c>
    </row>
    <row r="4" spans="1:72" ht="15.75" x14ac:dyDescent="0.25">
      <c r="A4" s="476">
        <v>1</v>
      </c>
      <c r="B4" s="477">
        <v>2</v>
      </c>
      <c r="C4" s="29">
        <v>3</v>
      </c>
      <c r="D4" s="476">
        <v>4</v>
      </c>
      <c r="E4" s="477">
        <v>5</v>
      </c>
      <c r="F4" s="29">
        <v>6</v>
      </c>
      <c r="G4" s="476">
        <v>7</v>
      </c>
      <c r="H4" s="477">
        <v>8</v>
      </c>
      <c r="I4" s="29">
        <v>9</v>
      </c>
      <c r="J4" s="476">
        <v>10</v>
      </c>
      <c r="K4" s="477">
        <v>11</v>
      </c>
      <c r="L4" s="29">
        <v>12</v>
      </c>
      <c r="M4" s="476">
        <v>13</v>
      </c>
      <c r="N4" s="477">
        <v>14</v>
      </c>
      <c r="O4" s="29">
        <v>15</v>
      </c>
      <c r="P4" s="476">
        <v>16</v>
      </c>
      <c r="Q4" s="477">
        <v>17</v>
      </c>
      <c r="R4" s="29">
        <v>18</v>
      </c>
      <c r="S4" s="476">
        <v>19</v>
      </c>
      <c r="T4" s="477">
        <v>20</v>
      </c>
      <c r="U4" s="29">
        <v>21</v>
      </c>
      <c r="V4" s="476">
        <v>22</v>
      </c>
      <c r="W4" s="477">
        <v>23</v>
      </c>
      <c r="X4" s="29">
        <v>24</v>
      </c>
      <c r="Y4" s="476">
        <v>25</v>
      </c>
      <c r="Z4" s="477">
        <v>26</v>
      </c>
      <c r="AA4" s="29">
        <v>27</v>
      </c>
      <c r="AB4" s="476">
        <v>28</v>
      </c>
      <c r="AC4" s="477">
        <v>29</v>
      </c>
      <c r="AD4" s="29">
        <v>30</v>
      </c>
      <c r="AE4" s="476">
        <v>31</v>
      </c>
      <c r="AF4" s="477">
        <v>32</v>
      </c>
      <c r="AG4" s="29">
        <v>33</v>
      </c>
      <c r="AH4" s="476">
        <v>34</v>
      </c>
      <c r="AI4" s="477">
        <v>35</v>
      </c>
      <c r="AJ4" s="29">
        <v>36</v>
      </c>
      <c r="AK4" s="476">
        <v>37</v>
      </c>
      <c r="AL4" s="477">
        <v>38</v>
      </c>
      <c r="AM4" s="29">
        <v>39</v>
      </c>
      <c r="AN4" s="476">
        <v>40</v>
      </c>
      <c r="AO4" s="477">
        <v>41</v>
      </c>
      <c r="AP4" s="29">
        <v>42</v>
      </c>
      <c r="AQ4" s="476">
        <v>43</v>
      </c>
      <c r="AR4" s="477">
        <v>44</v>
      </c>
      <c r="AS4" s="29">
        <v>45</v>
      </c>
      <c r="AT4" s="476">
        <v>46</v>
      </c>
      <c r="AU4" s="477">
        <v>47</v>
      </c>
      <c r="AV4" s="29">
        <v>48</v>
      </c>
      <c r="AW4" s="476">
        <v>49</v>
      </c>
      <c r="AX4" s="477">
        <v>50</v>
      </c>
      <c r="AY4" s="29">
        <v>51</v>
      </c>
      <c r="AZ4" s="476">
        <v>52</v>
      </c>
      <c r="BA4" s="477">
        <v>53</v>
      </c>
      <c r="BB4" s="29">
        <v>54</v>
      </c>
      <c r="BC4" s="476">
        <v>55</v>
      </c>
      <c r="BD4" s="477">
        <v>56</v>
      </c>
      <c r="BE4" s="29">
        <v>57</v>
      </c>
      <c r="BF4" s="476">
        <v>58</v>
      </c>
      <c r="BG4" s="477">
        <v>59</v>
      </c>
      <c r="BH4" s="29">
        <v>60</v>
      </c>
      <c r="BI4" s="476">
        <v>61</v>
      </c>
      <c r="BJ4" s="477">
        <v>62</v>
      </c>
      <c r="BK4" s="29">
        <v>63</v>
      </c>
      <c r="BL4" s="477">
        <v>65</v>
      </c>
      <c r="BM4" s="29">
        <v>66</v>
      </c>
      <c r="BN4" s="476">
        <v>67</v>
      </c>
      <c r="BO4" s="477">
        <v>68</v>
      </c>
      <c r="BP4" s="29">
        <v>69</v>
      </c>
      <c r="BQ4" s="476">
        <v>70</v>
      </c>
      <c r="BR4" s="477">
        <v>71</v>
      </c>
      <c r="BS4" s="29">
        <v>72</v>
      </c>
      <c r="BT4" s="476">
        <v>73</v>
      </c>
    </row>
    <row r="5" spans="1:72" ht="16.5" thickBot="1" x14ac:dyDescent="0.3">
      <c r="A5" s="478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6100</v>
      </c>
      <c r="P5" s="478">
        <v>4650</v>
      </c>
      <c r="Q5" s="478">
        <v>3066</v>
      </c>
      <c r="R5" s="478">
        <v>2350</v>
      </c>
      <c r="S5" s="478">
        <v>1542</v>
      </c>
      <c r="T5" s="478">
        <v>997</v>
      </c>
      <c r="U5" s="478"/>
      <c r="V5" s="478">
        <v>1896</v>
      </c>
      <c r="W5" s="478">
        <v>1206</v>
      </c>
      <c r="X5" s="478">
        <v>698</v>
      </c>
      <c r="Y5" s="478"/>
      <c r="Z5" s="478">
        <v>145</v>
      </c>
      <c r="AA5" s="478">
        <v>55</v>
      </c>
      <c r="AB5" s="478">
        <v>25</v>
      </c>
      <c r="AC5" s="478">
        <v>1250</v>
      </c>
      <c r="AD5" s="478">
        <v>850</v>
      </c>
      <c r="AE5" s="339"/>
      <c r="AF5" s="478"/>
      <c r="AG5" s="339"/>
      <c r="AH5" s="478"/>
      <c r="AI5" s="339"/>
      <c r="AJ5" s="478"/>
      <c r="AK5" s="339"/>
      <c r="AL5" s="478"/>
      <c r="AM5" s="478">
        <v>1650</v>
      </c>
      <c r="AN5" s="478">
        <v>600</v>
      </c>
      <c r="AO5" s="478">
        <v>500</v>
      </c>
      <c r="AP5" s="339"/>
      <c r="AQ5" s="478"/>
      <c r="AR5" s="478">
        <v>55</v>
      </c>
      <c r="AS5" s="339"/>
      <c r="AT5" s="478"/>
      <c r="AU5" s="478">
        <v>15</v>
      </c>
      <c r="AV5" s="478">
        <v>10</v>
      </c>
      <c r="AW5" s="478"/>
      <c r="AX5" s="478"/>
      <c r="AY5" s="478"/>
      <c r="AZ5" s="478"/>
      <c r="BA5" s="478"/>
      <c r="BB5" s="478"/>
      <c r="BC5" s="478"/>
      <c r="BD5" s="339"/>
      <c r="BE5" s="339"/>
      <c r="BF5" s="339"/>
      <c r="BG5" s="339"/>
      <c r="BH5" s="339"/>
      <c r="BI5" s="478"/>
      <c r="BJ5" s="339"/>
      <c r="BK5" s="478"/>
      <c r="BL5" s="478"/>
      <c r="BM5" s="478"/>
      <c r="BN5" s="478"/>
      <c r="BO5" s="478"/>
      <c r="BP5" s="478"/>
      <c r="BQ5" s="478"/>
      <c r="BR5" s="478"/>
      <c r="BS5" s="188"/>
      <c r="BT5" s="188"/>
    </row>
    <row r="6" spans="1:72" ht="31.5" customHeight="1" thickBot="1" x14ac:dyDescent="0.3">
      <c r="A6" s="450">
        <v>60</v>
      </c>
      <c r="B6" s="500" t="s">
        <v>64</v>
      </c>
      <c r="C6" s="501">
        <v>5</v>
      </c>
      <c r="D6" s="501">
        <v>5</v>
      </c>
      <c r="E6" s="502">
        <v>10</v>
      </c>
      <c r="F6" s="501">
        <v>10</v>
      </c>
      <c r="G6" s="501">
        <v>10</v>
      </c>
      <c r="H6" s="502">
        <v>10</v>
      </c>
      <c r="I6" s="501">
        <v>0</v>
      </c>
      <c r="J6" s="501">
        <v>0</v>
      </c>
      <c r="K6" s="502">
        <v>0</v>
      </c>
      <c r="L6" s="503">
        <v>0</v>
      </c>
      <c r="M6" s="503" t="s">
        <v>65</v>
      </c>
      <c r="N6" s="503">
        <v>0</v>
      </c>
      <c r="O6" s="504">
        <v>6.73</v>
      </c>
      <c r="P6" s="504">
        <v>5.13</v>
      </c>
      <c r="Q6" s="504">
        <v>3.23</v>
      </c>
      <c r="R6" s="505">
        <v>2.59</v>
      </c>
      <c r="S6" s="505">
        <v>1.7</v>
      </c>
      <c r="T6" s="505">
        <v>1</v>
      </c>
      <c r="U6" s="505">
        <v>0</v>
      </c>
      <c r="V6" s="506">
        <v>2.09</v>
      </c>
      <c r="W6" s="506">
        <v>1.33</v>
      </c>
      <c r="X6" s="506">
        <v>0.75</v>
      </c>
      <c r="Y6" s="506">
        <v>0</v>
      </c>
      <c r="Z6" s="507">
        <v>0.16</v>
      </c>
      <c r="AA6" s="507">
        <v>0.06</v>
      </c>
      <c r="AB6" s="507">
        <v>0.03</v>
      </c>
      <c r="AC6" s="501">
        <v>0.37</v>
      </c>
      <c r="AD6" s="501">
        <v>0.9</v>
      </c>
      <c r="AE6" s="502">
        <v>0</v>
      </c>
      <c r="AF6" s="502">
        <v>0</v>
      </c>
      <c r="AG6" s="502">
        <v>2</v>
      </c>
      <c r="AH6" s="502">
        <v>6</v>
      </c>
      <c r="AI6" s="502">
        <v>0</v>
      </c>
      <c r="AJ6" s="502">
        <v>0</v>
      </c>
      <c r="AK6" s="502">
        <v>0</v>
      </c>
      <c r="AL6" s="502">
        <v>0</v>
      </c>
      <c r="AM6" s="506">
        <v>1.81</v>
      </c>
      <c r="AN6" s="506">
        <v>0.66</v>
      </c>
      <c r="AO6" s="506">
        <v>0.55000000000000004</v>
      </c>
      <c r="AP6" s="506">
        <v>0</v>
      </c>
      <c r="AQ6" s="506">
        <v>0</v>
      </c>
      <c r="AR6" s="503">
        <v>0.06</v>
      </c>
      <c r="AS6" s="503">
        <v>4</v>
      </c>
      <c r="AT6" s="508"/>
      <c r="AU6" s="503">
        <v>0.02</v>
      </c>
      <c r="AV6" s="503">
        <v>0.01</v>
      </c>
      <c r="AW6" s="503" t="s">
        <v>65</v>
      </c>
      <c r="AX6" s="503">
        <v>0</v>
      </c>
      <c r="AY6" s="503" t="s">
        <v>65</v>
      </c>
      <c r="AZ6" s="503">
        <v>0</v>
      </c>
      <c r="BA6" s="509" t="s">
        <v>65</v>
      </c>
      <c r="BB6" s="492" t="s">
        <v>65</v>
      </c>
      <c r="BC6" s="492" t="s">
        <v>65</v>
      </c>
      <c r="BD6" s="510">
        <v>1</v>
      </c>
      <c r="BE6" s="511" t="s">
        <v>169</v>
      </c>
      <c r="BF6" s="501">
        <v>26756.07</v>
      </c>
      <c r="BG6" s="501">
        <v>1.6</v>
      </c>
      <c r="BH6" s="511" t="s">
        <v>66</v>
      </c>
      <c r="BI6" s="501">
        <v>1450</v>
      </c>
      <c r="BJ6" s="501">
        <v>0</v>
      </c>
      <c r="BK6" s="246" t="s">
        <v>65</v>
      </c>
      <c r="BL6" s="246" t="s">
        <v>65</v>
      </c>
      <c r="BM6" s="496" t="s">
        <v>67</v>
      </c>
      <c r="BN6" s="496" t="s">
        <v>67</v>
      </c>
      <c r="BO6" s="497" t="s">
        <v>67</v>
      </c>
      <c r="BP6" s="497" t="s">
        <v>67</v>
      </c>
      <c r="BQ6" s="505">
        <v>0</v>
      </c>
      <c r="BR6" s="505">
        <v>0</v>
      </c>
      <c r="BS6" s="498" t="s">
        <v>67</v>
      </c>
      <c r="BT6" s="512" t="s">
        <v>175</v>
      </c>
    </row>
    <row r="7" spans="1:72" ht="16.5" thickBot="1" x14ac:dyDescent="0.3">
      <c r="A7" s="478"/>
      <c r="B7" s="351"/>
      <c r="C7" s="407"/>
      <c r="D7" s="407"/>
      <c r="E7" s="408"/>
      <c r="F7" s="408"/>
      <c r="G7" s="408"/>
      <c r="H7" s="408"/>
      <c r="I7" s="408"/>
      <c r="J7" s="408"/>
      <c r="K7" s="408"/>
      <c r="L7" s="408"/>
      <c r="M7" s="408"/>
      <c r="N7" s="408"/>
      <c r="O7" s="408">
        <v>4946</v>
      </c>
      <c r="P7" s="408">
        <v>3836</v>
      </c>
      <c r="Q7" s="408">
        <v>1983</v>
      </c>
      <c r="R7" s="408">
        <v>2200</v>
      </c>
      <c r="S7" s="408">
        <v>1300</v>
      </c>
      <c r="T7" s="408">
        <v>850</v>
      </c>
      <c r="U7" s="408"/>
      <c r="V7" s="408">
        <v>1650</v>
      </c>
      <c r="W7" s="408">
        <v>900</v>
      </c>
      <c r="X7" s="408">
        <v>500</v>
      </c>
      <c r="Y7" s="408"/>
      <c r="Z7" s="408">
        <v>100</v>
      </c>
      <c r="AA7" s="408">
        <v>40</v>
      </c>
      <c r="AB7" s="408">
        <v>10</v>
      </c>
      <c r="AC7" s="408">
        <v>1100</v>
      </c>
      <c r="AD7" s="408">
        <v>550</v>
      </c>
      <c r="AE7" s="408"/>
      <c r="AF7" s="408"/>
      <c r="AG7" s="408"/>
      <c r="AH7" s="408"/>
      <c r="AI7" s="408"/>
      <c r="AJ7" s="408"/>
      <c r="AK7" s="408"/>
      <c r="AL7" s="408"/>
      <c r="AM7" s="408">
        <v>1450</v>
      </c>
      <c r="AN7" s="408">
        <v>350</v>
      </c>
      <c r="AO7" s="408">
        <v>250</v>
      </c>
      <c r="AP7" s="408"/>
      <c r="AQ7" s="408"/>
      <c r="AR7" s="408">
        <v>50</v>
      </c>
      <c r="AS7" s="408"/>
      <c r="AT7" s="409"/>
      <c r="AU7" s="408">
        <v>20</v>
      </c>
      <c r="AV7" s="408">
        <v>10</v>
      </c>
      <c r="AW7" s="408"/>
      <c r="AX7" s="408"/>
      <c r="AY7" s="408"/>
      <c r="AZ7" s="408"/>
      <c r="BA7" s="408"/>
      <c r="BB7" s="408"/>
      <c r="BC7" s="408"/>
      <c r="BD7" s="410"/>
      <c r="BE7" s="410"/>
      <c r="BF7" s="410"/>
      <c r="BG7" s="410"/>
      <c r="BH7" s="410"/>
      <c r="BI7" s="410"/>
      <c r="BJ7" s="410"/>
      <c r="BK7" s="410"/>
      <c r="BL7" s="410"/>
      <c r="BM7" s="410"/>
      <c r="BN7" s="410"/>
      <c r="BO7" s="410"/>
      <c r="BP7" s="410"/>
      <c r="BQ7" s="411"/>
      <c r="BR7" s="411"/>
      <c r="BS7" s="412"/>
      <c r="BT7" s="412"/>
    </row>
    <row r="8" spans="1:72" ht="30" thickBot="1" x14ac:dyDescent="0.3">
      <c r="A8" s="98">
        <v>52</v>
      </c>
      <c r="B8" s="481" t="s">
        <v>121</v>
      </c>
      <c r="C8" s="482">
        <v>5</v>
      </c>
      <c r="D8" s="483">
        <v>6</v>
      </c>
      <c r="E8" s="484">
        <v>11</v>
      </c>
      <c r="F8" s="485">
        <v>5</v>
      </c>
      <c r="G8" s="485">
        <v>6</v>
      </c>
      <c r="H8" s="484">
        <v>11</v>
      </c>
      <c r="I8" s="485">
        <v>0</v>
      </c>
      <c r="J8" s="485">
        <v>0</v>
      </c>
      <c r="K8" s="484">
        <v>0</v>
      </c>
      <c r="L8" s="485">
        <v>0</v>
      </c>
      <c r="M8" s="485" t="s">
        <v>67</v>
      </c>
      <c r="N8" s="485">
        <v>900</v>
      </c>
      <c r="O8" s="486">
        <v>6.01</v>
      </c>
      <c r="P8" s="486">
        <v>3.99</v>
      </c>
      <c r="Q8" s="486">
        <v>2.2999999999999998</v>
      </c>
      <c r="R8" s="487">
        <v>2.42</v>
      </c>
      <c r="S8" s="487">
        <v>1.4</v>
      </c>
      <c r="T8" s="487">
        <v>0.93</v>
      </c>
      <c r="U8" s="487">
        <v>0</v>
      </c>
      <c r="V8" s="488">
        <v>1.82</v>
      </c>
      <c r="W8" s="488">
        <v>0.95</v>
      </c>
      <c r="X8" s="488">
        <v>0.49</v>
      </c>
      <c r="Y8" s="488">
        <v>0</v>
      </c>
      <c r="Z8" s="489">
        <v>0.11</v>
      </c>
      <c r="AA8" s="489">
        <v>4.3999999999999997E-2</v>
      </c>
      <c r="AB8" s="489">
        <v>1.0999999999999999E-2</v>
      </c>
      <c r="AC8" s="490">
        <v>1.21</v>
      </c>
      <c r="AD8" s="490">
        <v>0.6</v>
      </c>
      <c r="AE8" s="484">
        <v>0</v>
      </c>
      <c r="AF8" s="484">
        <v>0</v>
      </c>
      <c r="AG8" s="484">
        <v>1</v>
      </c>
      <c r="AH8" s="484">
        <v>1.6</v>
      </c>
      <c r="AI8" s="484">
        <v>0</v>
      </c>
      <c r="AJ8" s="484">
        <v>0</v>
      </c>
      <c r="AK8" s="484">
        <v>0</v>
      </c>
      <c r="AL8" s="484">
        <v>0</v>
      </c>
      <c r="AM8" s="491">
        <v>1.59</v>
      </c>
      <c r="AN8" s="491">
        <v>0.38</v>
      </c>
      <c r="AO8" s="491">
        <v>0.27</v>
      </c>
      <c r="AP8" s="491">
        <v>0</v>
      </c>
      <c r="AQ8" s="491">
        <v>0</v>
      </c>
      <c r="AR8" s="492">
        <v>4.9000000000000002E-2</v>
      </c>
      <c r="AS8" s="492">
        <v>1</v>
      </c>
      <c r="AT8" s="493"/>
      <c r="AU8" s="492">
        <v>2.1999999999999999E-2</v>
      </c>
      <c r="AV8" s="492">
        <v>9.1000000000000004E-3</v>
      </c>
      <c r="AW8" s="492" t="s">
        <v>65</v>
      </c>
      <c r="AX8" s="492">
        <v>0</v>
      </c>
      <c r="AY8" s="492" t="s">
        <v>65</v>
      </c>
      <c r="AZ8" s="492">
        <v>0</v>
      </c>
      <c r="BA8" s="492" t="s">
        <v>65</v>
      </c>
      <c r="BB8" s="492" t="s">
        <v>65</v>
      </c>
      <c r="BC8" s="492" t="s">
        <v>67</v>
      </c>
      <c r="BD8" s="246">
        <v>1</v>
      </c>
      <c r="BE8" s="494" t="s">
        <v>170</v>
      </c>
      <c r="BF8" s="246">
        <v>15617.8</v>
      </c>
      <c r="BG8" s="495">
        <v>1.6</v>
      </c>
      <c r="BH8" s="246" t="s">
        <v>72</v>
      </c>
      <c r="BI8" s="246">
        <v>820</v>
      </c>
      <c r="BJ8" s="246">
        <v>0</v>
      </c>
      <c r="BK8" s="246" t="s">
        <v>65</v>
      </c>
      <c r="BL8" s="246" t="s">
        <v>65</v>
      </c>
      <c r="BM8" s="496" t="s">
        <v>67</v>
      </c>
      <c r="BN8" s="496" t="s">
        <v>67</v>
      </c>
      <c r="BO8" s="497" t="s">
        <v>65</v>
      </c>
      <c r="BP8" s="497" t="s">
        <v>65</v>
      </c>
      <c r="BQ8" s="246">
        <v>0</v>
      </c>
      <c r="BR8" s="246">
        <v>0</v>
      </c>
      <c r="BS8" s="498" t="s">
        <v>67</v>
      </c>
      <c r="BT8" s="499"/>
    </row>
  </sheetData>
  <mergeCells count="22">
    <mergeCell ref="Z1:AB1"/>
    <mergeCell ref="A1:A3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  <mergeCell ref="BM1:BN1"/>
    <mergeCell ref="BO1:BP1"/>
    <mergeCell ref="BQ1:BR1"/>
    <mergeCell ref="BS1:BT1"/>
    <mergeCell ref="AC1:AD1"/>
    <mergeCell ref="AE1:AL1"/>
    <mergeCell ref="AM1:AQ1"/>
    <mergeCell ref="AR1:AT1"/>
    <mergeCell ref="AU1:BC1"/>
    <mergeCell ref="BD1:BL1"/>
  </mergeCells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9"/>
  <sheetViews>
    <sheetView topLeftCell="M4" workbookViewId="0">
      <selection activeCell="R11" sqref="R11"/>
    </sheetView>
  </sheetViews>
  <sheetFormatPr defaultRowHeight="15" x14ac:dyDescent="0.25"/>
  <cols>
    <col min="1" max="1" width="9.42578125" bestFit="1" customWidth="1"/>
    <col min="2" max="2" width="19.28515625" customWidth="1"/>
    <col min="3" max="12" width="9.42578125" bestFit="1" customWidth="1"/>
    <col min="14" max="14" width="9.5703125" bestFit="1" customWidth="1"/>
    <col min="15" max="45" width="9.42578125" bestFit="1" customWidth="1"/>
    <col min="47" max="48" width="9.42578125" bestFit="1" customWidth="1"/>
    <col min="50" max="50" width="9.42578125" bestFit="1" customWidth="1"/>
    <col min="52" max="52" width="9.42578125" bestFit="1" customWidth="1"/>
    <col min="56" max="56" width="9.42578125" bestFit="1" customWidth="1"/>
    <col min="58" max="58" width="11.85546875" bestFit="1" customWidth="1"/>
    <col min="59" max="59" width="9.42578125" bestFit="1" customWidth="1"/>
    <col min="61" max="61" width="10.7109375" bestFit="1" customWidth="1"/>
    <col min="62" max="62" width="9.42578125" bestFit="1" customWidth="1"/>
    <col min="69" max="70" width="9.42578125" bestFit="1" customWidth="1"/>
  </cols>
  <sheetData>
    <row r="1" spans="1:73" ht="75" customHeight="1" x14ac:dyDescent="0.25">
      <c r="A1" s="1282" t="s">
        <v>0</v>
      </c>
      <c r="B1" s="1285" t="s">
        <v>1</v>
      </c>
      <c r="C1" s="1288" t="s">
        <v>2</v>
      </c>
      <c r="D1" s="1289"/>
      <c r="E1" s="1290"/>
      <c r="F1" s="1288" t="s">
        <v>3</v>
      </c>
      <c r="G1" s="1289"/>
      <c r="H1" s="1290"/>
      <c r="I1" s="1288" t="s">
        <v>4</v>
      </c>
      <c r="J1" s="1289"/>
      <c r="K1" s="1290"/>
      <c r="L1" s="1294" t="s">
        <v>5</v>
      </c>
      <c r="M1" s="1294" t="s">
        <v>6</v>
      </c>
      <c r="N1" s="1294" t="s">
        <v>7</v>
      </c>
      <c r="O1" s="1296" t="s">
        <v>8</v>
      </c>
      <c r="P1" s="1297"/>
      <c r="Q1" s="1298"/>
      <c r="R1" s="1299" t="s">
        <v>9</v>
      </c>
      <c r="S1" s="1300"/>
      <c r="T1" s="1300"/>
      <c r="U1" s="1301"/>
      <c r="V1" s="1302" t="s">
        <v>10</v>
      </c>
      <c r="W1" s="1303"/>
      <c r="X1" s="1303"/>
      <c r="Y1" s="1304"/>
      <c r="Z1" s="1279" t="s">
        <v>11</v>
      </c>
      <c r="AA1" s="1280"/>
      <c r="AB1" s="1281"/>
      <c r="AC1" s="1309" t="s">
        <v>12</v>
      </c>
      <c r="AD1" s="1310"/>
      <c r="AE1" s="1311" t="s">
        <v>13</v>
      </c>
      <c r="AF1" s="1312"/>
      <c r="AG1" s="1312"/>
      <c r="AH1" s="1312"/>
      <c r="AI1" s="1312"/>
      <c r="AJ1" s="1312"/>
      <c r="AK1" s="1312"/>
      <c r="AL1" s="1313"/>
      <c r="AM1" s="1314" t="s">
        <v>99</v>
      </c>
      <c r="AN1" s="1315"/>
      <c r="AO1" s="1315"/>
      <c r="AP1" s="1315"/>
      <c r="AQ1" s="1316"/>
      <c r="AR1" s="1317" t="s">
        <v>100</v>
      </c>
      <c r="AS1" s="1318"/>
      <c r="AT1" s="1319"/>
      <c r="AU1" s="1317" t="s">
        <v>101</v>
      </c>
      <c r="AV1" s="1318"/>
      <c r="AW1" s="1318"/>
      <c r="AX1" s="1318"/>
      <c r="AY1" s="1318"/>
      <c r="AZ1" s="1318"/>
      <c r="BA1" s="1318"/>
      <c r="BB1" s="1318"/>
      <c r="BC1" s="1319"/>
      <c r="BD1" s="1320" t="s">
        <v>14</v>
      </c>
      <c r="BE1" s="1321"/>
      <c r="BF1" s="1321"/>
      <c r="BG1" s="1321"/>
      <c r="BH1" s="1321"/>
      <c r="BI1" s="1321"/>
      <c r="BJ1" s="1321"/>
      <c r="BK1" s="1321"/>
      <c r="BL1" s="1322"/>
      <c r="BM1" s="1305" t="s">
        <v>15</v>
      </c>
      <c r="BN1" s="1306"/>
      <c r="BO1" s="1307" t="s">
        <v>16</v>
      </c>
      <c r="BP1" s="1308"/>
      <c r="BQ1" s="1305" t="s">
        <v>130</v>
      </c>
      <c r="BR1" s="1306"/>
      <c r="BS1" s="1323" t="s">
        <v>171</v>
      </c>
      <c r="BT1" s="1324"/>
    </row>
    <row r="2" spans="1:73" ht="225" x14ac:dyDescent="0.25">
      <c r="A2" s="1283"/>
      <c r="B2" s="1286"/>
      <c r="C2" s="1291"/>
      <c r="D2" s="1292"/>
      <c r="E2" s="1293"/>
      <c r="F2" s="1291"/>
      <c r="G2" s="1292"/>
      <c r="H2" s="1293"/>
      <c r="I2" s="1291"/>
      <c r="J2" s="1292"/>
      <c r="K2" s="1293"/>
      <c r="L2" s="1295"/>
      <c r="M2" s="1295"/>
      <c r="N2" s="1295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474" t="s">
        <v>23</v>
      </c>
      <c r="V2" s="42" t="s">
        <v>24</v>
      </c>
      <c r="W2" s="217" t="s">
        <v>25</v>
      </c>
      <c r="X2" s="218" t="s">
        <v>26</v>
      </c>
      <c r="Y2" s="475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472" t="s">
        <v>105</v>
      </c>
      <c r="AQ2" s="472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473" t="s">
        <v>14</v>
      </c>
      <c r="BE2" s="473" t="s">
        <v>167</v>
      </c>
      <c r="BF2" s="473" t="s">
        <v>39</v>
      </c>
      <c r="BG2" s="473" t="s">
        <v>40</v>
      </c>
      <c r="BH2" s="473" t="s">
        <v>41</v>
      </c>
      <c r="BI2" s="473" t="s">
        <v>42</v>
      </c>
      <c r="BJ2" s="473" t="s">
        <v>43</v>
      </c>
      <c r="BK2" s="473" t="s">
        <v>44</v>
      </c>
      <c r="BL2" s="473" t="s">
        <v>46</v>
      </c>
      <c r="BM2" s="471" t="s">
        <v>47</v>
      </c>
      <c r="BN2" s="471" t="s">
        <v>48</v>
      </c>
      <c r="BO2" s="472" t="s">
        <v>49</v>
      </c>
      <c r="BP2" s="472" t="s">
        <v>50</v>
      </c>
      <c r="BQ2" s="471" t="s">
        <v>131</v>
      </c>
      <c r="BR2" s="471" t="s">
        <v>132</v>
      </c>
      <c r="BS2" s="359" t="s">
        <v>172</v>
      </c>
      <c r="BT2" s="359" t="s">
        <v>173</v>
      </c>
    </row>
    <row r="3" spans="1:73" ht="75" x14ac:dyDescent="0.25">
      <c r="A3" s="1284"/>
      <c r="B3" s="1287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107" t="s">
        <v>54</v>
      </c>
      <c r="BR3" s="107" t="s">
        <v>54</v>
      </c>
      <c r="BS3" s="360" t="s">
        <v>120</v>
      </c>
      <c r="BT3" s="360" t="s">
        <v>174</v>
      </c>
    </row>
    <row r="4" spans="1:73" ht="15.75" x14ac:dyDescent="0.25">
      <c r="A4" s="476">
        <v>1</v>
      </c>
      <c r="B4" s="477">
        <v>2</v>
      </c>
      <c r="C4" s="29">
        <v>3</v>
      </c>
      <c r="D4" s="476">
        <v>4</v>
      </c>
      <c r="E4" s="477">
        <v>5</v>
      </c>
      <c r="F4" s="29">
        <v>6</v>
      </c>
      <c r="G4" s="476">
        <v>7</v>
      </c>
      <c r="H4" s="477">
        <v>8</v>
      </c>
      <c r="I4" s="29">
        <v>9</v>
      </c>
      <c r="J4" s="476">
        <v>10</v>
      </c>
      <c r="K4" s="477">
        <v>11</v>
      </c>
      <c r="L4" s="29">
        <v>12</v>
      </c>
      <c r="M4" s="476">
        <v>13</v>
      </c>
      <c r="N4" s="477">
        <v>14</v>
      </c>
      <c r="O4" s="29">
        <v>15</v>
      </c>
      <c r="P4" s="476">
        <v>16</v>
      </c>
      <c r="Q4" s="477">
        <v>17</v>
      </c>
      <c r="R4" s="29">
        <v>18</v>
      </c>
      <c r="S4" s="476">
        <v>19</v>
      </c>
      <c r="T4" s="477">
        <v>20</v>
      </c>
      <c r="U4" s="29">
        <v>21</v>
      </c>
      <c r="V4" s="476">
        <v>22</v>
      </c>
      <c r="W4" s="477">
        <v>23</v>
      </c>
      <c r="X4" s="29">
        <v>24</v>
      </c>
      <c r="Y4" s="476">
        <v>25</v>
      </c>
      <c r="Z4" s="477">
        <v>26</v>
      </c>
      <c r="AA4" s="29">
        <v>27</v>
      </c>
      <c r="AB4" s="476">
        <v>28</v>
      </c>
      <c r="AC4" s="477">
        <v>29</v>
      </c>
      <c r="AD4" s="29">
        <v>30</v>
      </c>
      <c r="AE4" s="476">
        <v>31</v>
      </c>
      <c r="AF4" s="477">
        <v>32</v>
      </c>
      <c r="AG4" s="29">
        <v>33</v>
      </c>
      <c r="AH4" s="476">
        <v>34</v>
      </c>
      <c r="AI4" s="477">
        <v>35</v>
      </c>
      <c r="AJ4" s="29">
        <v>36</v>
      </c>
      <c r="AK4" s="476">
        <v>37</v>
      </c>
      <c r="AL4" s="477">
        <v>38</v>
      </c>
      <c r="AM4" s="29">
        <v>39</v>
      </c>
      <c r="AN4" s="476">
        <v>40</v>
      </c>
      <c r="AO4" s="477">
        <v>41</v>
      </c>
      <c r="AP4" s="29">
        <v>42</v>
      </c>
      <c r="AQ4" s="476">
        <v>43</v>
      </c>
      <c r="AR4" s="477">
        <v>44</v>
      </c>
      <c r="AS4" s="29">
        <v>45</v>
      </c>
      <c r="AT4" s="476">
        <v>46</v>
      </c>
      <c r="AU4" s="477">
        <v>47</v>
      </c>
      <c r="AV4" s="29">
        <v>48</v>
      </c>
      <c r="AW4" s="476">
        <v>49</v>
      </c>
      <c r="AX4" s="477">
        <v>50</v>
      </c>
      <c r="AY4" s="29">
        <v>51</v>
      </c>
      <c r="AZ4" s="476">
        <v>52</v>
      </c>
      <c r="BA4" s="477">
        <v>53</v>
      </c>
      <c r="BB4" s="29">
        <v>54</v>
      </c>
      <c r="BC4" s="476">
        <v>55</v>
      </c>
      <c r="BD4" s="477">
        <v>56</v>
      </c>
      <c r="BE4" s="29">
        <v>57</v>
      </c>
      <c r="BF4" s="476">
        <v>58</v>
      </c>
      <c r="BG4" s="477">
        <v>59</v>
      </c>
      <c r="BH4" s="29">
        <v>60</v>
      </c>
      <c r="BI4" s="476">
        <v>61</v>
      </c>
      <c r="BJ4" s="477">
        <v>62</v>
      </c>
      <c r="BK4" s="29">
        <v>63</v>
      </c>
      <c r="BL4" s="477">
        <v>65</v>
      </c>
      <c r="BM4" s="29">
        <v>66</v>
      </c>
      <c r="BN4" s="476">
        <v>67</v>
      </c>
      <c r="BO4" s="477">
        <v>68</v>
      </c>
      <c r="BP4" s="29">
        <v>69</v>
      </c>
      <c r="BQ4" s="476">
        <v>70</v>
      </c>
      <c r="BR4" s="477">
        <v>71</v>
      </c>
      <c r="BS4" s="29">
        <v>72</v>
      </c>
      <c r="BT4" s="476">
        <v>73</v>
      </c>
    </row>
    <row r="5" spans="1:73" ht="32.25" customHeight="1" thickBot="1" x14ac:dyDescent="0.3">
      <c r="A5" s="478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6667</v>
      </c>
      <c r="P5" s="478">
        <v>6041</v>
      </c>
      <c r="Q5" s="478">
        <v>2703</v>
      </c>
      <c r="R5" s="478">
        <v>2400</v>
      </c>
      <c r="S5" s="478">
        <f>R5/100*70</f>
        <v>1680</v>
      </c>
      <c r="T5" s="478">
        <f>S5/100*30</f>
        <v>504</v>
      </c>
      <c r="U5" s="478"/>
      <c r="V5" s="478">
        <v>2000</v>
      </c>
      <c r="W5" s="478">
        <f>V5/100*70</f>
        <v>1400</v>
      </c>
      <c r="X5" s="478">
        <f>W5/100*45</f>
        <v>630</v>
      </c>
      <c r="Y5" s="478"/>
      <c r="Z5" s="478">
        <v>150</v>
      </c>
      <c r="AA5" s="478">
        <f>Z5/100*70</f>
        <v>105</v>
      </c>
      <c r="AB5" s="478">
        <f>AA5/100*20</f>
        <v>21</v>
      </c>
      <c r="AC5" s="478">
        <v>1500</v>
      </c>
      <c r="AD5" s="478">
        <f>AC5/100*30</f>
        <v>450</v>
      </c>
      <c r="AE5" s="339"/>
      <c r="AF5" s="478"/>
      <c r="AG5" s="339"/>
      <c r="AH5" s="478"/>
      <c r="AI5" s="339"/>
      <c r="AJ5" s="478"/>
      <c r="AK5" s="339"/>
      <c r="AL5" s="478"/>
      <c r="AM5" s="478">
        <v>2000</v>
      </c>
      <c r="AN5" s="478">
        <f>AM5/100*70</f>
        <v>1400</v>
      </c>
      <c r="AO5" s="478">
        <f>AN5/100*80</f>
        <v>1120</v>
      </c>
      <c r="AP5" s="339"/>
      <c r="AQ5" s="478"/>
      <c r="AR5" s="478">
        <v>55</v>
      </c>
      <c r="AS5" s="339"/>
      <c r="AT5" s="478"/>
      <c r="AU5" s="478">
        <v>15</v>
      </c>
      <c r="AV5" s="478">
        <v>10</v>
      </c>
      <c r="AW5" s="478"/>
      <c r="AX5" s="478"/>
      <c r="AY5" s="478"/>
      <c r="AZ5" s="478"/>
      <c r="BA5" s="478"/>
      <c r="BB5" s="478"/>
      <c r="BC5" s="478"/>
      <c r="BD5" s="339"/>
      <c r="BE5" s="339"/>
      <c r="BF5" s="339"/>
      <c r="BG5" s="339"/>
      <c r="BH5" s="339"/>
      <c r="BI5" s="478"/>
      <c r="BJ5" s="339"/>
      <c r="BK5" s="478"/>
      <c r="BL5" s="478"/>
      <c r="BM5" s="478"/>
      <c r="BN5" s="478"/>
      <c r="BO5" s="478"/>
      <c r="BP5" s="478"/>
      <c r="BQ5" s="478"/>
      <c r="BR5" s="478"/>
      <c r="BS5" s="188"/>
      <c r="BT5" s="188"/>
    </row>
    <row r="6" spans="1:73" s="449" customFormat="1" ht="30.75" customHeight="1" thickBot="1" x14ac:dyDescent="0.3">
      <c r="A6" s="450">
        <v>60</v>
      </c>
      <c r="B6" s="451" t="s">
        <v>161</v>
      </c>
      <c r="C6" s="479">
        <v>5</v>
      </c>
      <c r="D6" s="479">
        <v>5</v>
      </c>
      <c r="E6" s="395">
        <v>10</v>
      </c>
      <c r="F6" s="480">
        <v>10</v>
      </c>
      <c r="G6" s="480">
        <v>10</v>
      </c>
      <c r="H6" s="395">
        <v>10</v>
      </c>
      <c r="I6" s="480">
        <v>0</v>
      </c>
      <c r="J6" s="480">
        <v>0</v>
      </c>
      <c r="K6" s="395">
        <v>0</v>
      </c>
      <c r="L6" s="480">
        <v>0</v>
      </c>
      <c r="M6" s="480" t="s">
        <v>122</v>
      </c>
      <c r="N6" s="480">
        <v>0</v>
      </c>
      <c r="O6" s="438">
        <f>SUM(R6,V6,Z6,AM6,AR6,AU6)</f>
        <v>7.3470000000000004</v>
      </c>
      <c r="P6" s="438">
        <f>SUM(S6,W6,AA6,AC6,AN6,AV6)</f>
        <v>6.6609999999999996</v>
      </c>
      <c r="Q6" s="438">
        <f>SUM(T6,X6,AB6,AD6,AO6)</f>
        <v>2.9830999999999999</v>
      </c>
      <c r="R6" s="453">
        <v>2.65</v>
      </c>
      <c r="S6" s="453">
        <v>1.81</v>
      </c>
      <c r="T6" s="453">
        <v>0.55000000000000004</v>
      </c>
      <c r="U6" s="453">
        <v>0</v>
      </c>
      <c r="V6" s="454">
        <v>2.2000000000000002</v>
      </c>
      <c r="W6" s="454">
        <v>1.54</v>
      </c>
      <c r="X6" s="454">
        <v>0.69</v>
      </c>
      <c r="Y6" s="454">
        <v>0</v>
      </c>
      <c r="Z6" s="455">
        <v>0.16500000000000001</v>
      </c>
      <c r="AA6" s="455">
        <v>0.11</v>
      </c>
      <c r="AB6" s="455">
        <v>2.3099999999999999E-2</v>
      </c>
      <c r="AC6" s="456">
        <v>1.65</v>
      </c>
      <c r="AD6" s="456">
        <v>0.49</v>
      </c>
      <c r="AE6" s="395">
        <v>0</v>
      </c>
      <c r="AF6" s="395">
        <v>0</v>
      </c>
      <c r="AG6" s="395">
        <v>2</v>
      </c>
      <c r="AH6" s="395">
        <v>6</v>
      </c>
      <c r="AI6" s="395">
        <v>0</v>
      </c>
      <c r="AJ6" s="395">
        <v>0</v>
      </c>
      <c r="AK6" s="395">
        <v>0</v>
      </c>
      <c r="AL6" s="395">
        <v>0</v>
      </c>
      <c r="AM6" s="457">
        <v>2.2000000000000002</v>
      </c>
      <c r="AN6" s="457">
        <v>1.54</v>
      </c>
      <c r="AO6" s="457">
        <v>1.23</v>
      </c>
      <c r="AP6" s="457">
        <v>0</v>
      </c>
      <c r="AQ6" s="457">
        <v>0</v>
      </c>
      <c r="AR6" s="458">
        <v>0.11</v>
      </c>
      <c r="AS6" s="469">
        <v>4</v>
      </c>
      <c r="AT6" s="459"/>
      <c r="AU6" s="460">
        <v>2.1999999999999999E-2</v>
      </c>
      <c r="AV6" s="458">
        <v>1.0999999999999999E-2</v>
      </c>
      <c r="AW6" s="458" t="s">
        <v>65</v>
      </c>
      <c r="AX6" s="458">
        <v>0</v>
      </c>
      <c r="AY6" s="458" t="s">
        <v>65</v>
      </c>
      <c r="AZ6" s="458">
        <v>0</v>
      </c>
      <c r="BA6" s="458" t="s">
        <v>65</v>
      </c>
      <c r="BB6" s="458" t="s">
        <v>65</v>
      </c>
      <c r="BC6" s="458" t="s">
        <v>65</v>
      </c>
      <c r="BD6" s="461">
        <v>1</v>
      </c>
      <c r="BE6" s="462" t="s">
        <v>169</v>
      </c>
      <c r="BF6" s="461">
        <v>26756.07</v>
      </c>
      <c r="BG6" s="461">
        <v>1.6</v>
      </c>
      <c r="BH6" s="463" t="s">
        <v>66</v>
      </c>
      <c r="BI6" s="461">
        <v>1450</v>
      </c>
      <c r="BJ6" s="461">
        <v>0</v>
      </c>
      <c r="BK6" s="461" t="s">
        <v>65</v>
      </c>
      <c r="BL6" s="461" t="s">
        <v>65</v>
      </c>
      <c r="BM6" s="464" t="s">
        <v>67</v>
      </c>
      <c r="BN6" s="464" t="s">
        <v>67</v>
      </c>
      <c r="BO6" s="465" t="s">
        <v>67</v>
      </c>
      <c r="BP6" s="465" t="s">
        <v>67</v>
      </c>
      <c r="BQ6" s="466">
        <v>0</v>
      </c>
      <c r="BR6" s="466">
        <v>0</v>
      </c>
      <c r="BS6" s="467" t="s">
        <v>67</v>
      </c>
      <c r="BT6" s="467" t="s">
        <v>175</v>
      </c>
      <c r="BU6" s="468"/>
    </row>
    <row r="7" spans="1:73" s="524" customFormat="1" ht="29.25" customHeight="1" thickBot="1" x14ac:dyDescent="0.3">
      <c r="A7" s="478"/>
      <c r="B7" s="351"/>
      <c r="C7" s="181"/>
      <c r="D7" s="181"/>
      <c r="E7" s="339"/>
      <c r="F7" s="339"/>
      <c r="G7" s="339"/>
      <c r="H7" s="339"/>
      <c r="I7" s="339"/>
      <c r="J7" s="339"/>
      <c r="K7" s="339"/>
      <c r="L7" s="339"/>
      <c r="M7" s="339"/>
      <c r="N7" s="339"/>
      <c r="O7" s="339">
        <v>5969</v>
      </c>
      <c r="P7" s="339">
        <v>5053</v>
      </c>
      <c r="Q7" s="339">
        <v>2422</v>
      </c>
      <c r="R7" s="339">
        <v>2200</v>
      </c>
      <c r="S7" s="339">
        <f>R7/100*70</f>
        <v>1540</v>
      </c>
      <c r="T7" s="339">
        <f>S7/100*30</f>
        <v>462</v>
      </c>
      <c r="U7" s="339"/>
      <c r="V7" s="339">
        <v>1800</v>
      </c>
      <c r="W7" s="339">
        <f>V7/100*70</f>
        <v>1260</v>
      </c>
      <c r="X7" s="339">
        <f>W7/100*45</f>
        <v>567</v>
      </c>
      <c r="Y7" s="339"/>
      <c r="Z7" s="339">
        <v>130</v>
      </c>
      <c r="AA7" s="339">
        <f>Z7/100*70</f>
        <v>91</v>
      </c>
      <c r="AB7" s="339">
        <f>AA7/100*20</f>
        <v>18.2</v>
      </c>
      <c r="AC7" s="339">
        <v>1300</v>
      </c>
      <c r="AD7" s="339">
        <f>AC7/100*30</f>
        <v>390</v>
      </c>
      <c r="AE7" s="339"/>
      <c r="AF7" s="339"/>
      <c r="AG7" s="339"/>
      <c r="AH7" s="339"/>
      <c r="AI7" s="339"/>
      <c r="AJ7" s="339"/>
      <c r="AK7" s="339"/>
      <c r="AL7" s="339"/>
      <c r="AM7" s="339">
        <v>1800</v>
      </c>
      <c r="AN7" s="339">
        <f>AM7/100*70</f>
        <v>1260</v>
      </c>
      <c r="AO7" s="339">
        <f>AN7/100*80</f>
        <v>1008</v>
      </c>
      <c r="AP7" s="339"/>
      <c r="AQ7" s="339"/>
      <c r="AR7" s="339">
        <v>20</v>
      </c>
      <c r="AS7" s="339"/>
      <c r="AT7" s="520"/>
      <c r="AU7" s="339">
        <v>30</v>
      </c>
      <c r="AV7" s="339">
        <v>20</v>
      </c>
      <c r="AW7" s="339"/>
      <c r="AX7" s="339"/>
      <c r="AY7" s="339"/>
      <c r="AZ7" s="339"/>
      <c r="BA7" s="339"/>
      <c r="BB7" s="339"/>
      <c r="BC7" s="339"/>
      <c r="BD7" s="521"/>
      <c r="BE7" s="521"/>
      <c r="BF7" s="521"/>
      <c r="BG7" s="521"/>
      <c r="BH7" s="521"/>
      <c r="BI7" s="521"/>
      <c r="BJ7" s="521"/>
      <c r="BK7" s="521"/>
      <c r="BL7" s="521"/>
      <c r="BM7" s="521"/>
      <c r="BN7" s="521"/>
      <c r="BO7" s="521"/>
      <c r="BP7" s="521"/>
      <c r="BQ7" s="522"/>
      <c r="BR7" s="522"/>
      <c r="BS7" s="523"/>
      <c r="BT7" s="523"/>
    </row>
    <row r="8" spans="1:73" ht="35.25" customHeight="1" thickBot="1" x14ac:dyDescent="0.3">
      <c r="A8" s="50">
        <v>50</v>
      </c>
      <c r="B8" s="470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0</v>
      </c>
      <c r="J8" s="343">
        <v>0</v>
      </c>
      <c r="K8" s="342">
        <v>0</v>
      </c>
      <c r="L8" s="343">
        <v>0</v>
      </c>
      <c r="M8" s="343" t="s">
        <v>65</v>
      </c>
      <c r="N8" s="343">
        <v>0</v>
      </c>
      <c r="O8" s="438">
        <f>SUM(R8,V8,Z8,AM8,AR8,AU8)</f>
        <v>6.5750000000000002</v>
      </c>
      <c r="P8" s="438">
        <f>SUM(S8,W8,AA8,AC8,AN8,AV8)</f>
        <v>5.5720000000000001</v>
      </c>
      <c r="Q8" s="438">
        <f>SUM(T8,X8,AB8,AD8,AO8)</f>
        <v>2.67</v>
      </c>
      <c r="R8" s="345">
        <v>2.42</v>
      </c>
      <c r="S8" s="345">
        <v>1.69</v>
      </c>
      <c r="T8" s="345">
        <v>0.5</v>
      </c>
      <c r="U8" s="345">
        <v>0</v>
      </c>
      <c r="V8" s="346">
        <v>1.98</v>
      </c>
      <c r="W8" s="346">
        <v>0.95</v>
      </c>
      <c r="X8" s="346">
        <v>0.62</v>
      </c>
      <c r="Y8" s="346">
        <v>0</v>
      </c>
      <c r="Z8" s="347">
        <v>0.14000000000000001</v>
      </c>
      <c r="AA8" s="347">
        <v>0.1</v>
      </c>
      <c r="AB8" s="347">
        <v>0.02</v>
      </c>
      <c r="AC8" s="348">
        <v>1.43</v>
      </c>
      <c r="AD8" s="348">
        <v>0.42</v>
      </c>
      <c r="AE8" s="342">
        <v>0</v>
      </c>
      <c r="AF8" s="342">
        <v>0</v>
      </c>
      <c r="AG8" s="342">
        <v>1</v>
      </c>
      <c r="AH8" s="342">
        <v>1.6</v>
      </c>
      <c r="AI8" s="342">
        <v>0</v>
      </c>
      <c r="AJ8" s="342">
        <v>0</v>
      </c>
      <c r="AK8" s="342">
        <v>0</v>
      </c>
      <c r="AL8" s="342">
        <v>0</v>
      </c>
      <c r="AM8" s="349">
        <v>1.98</v>
      </c>
      <c r="AN8" s="349">
        <v>1.38</v>
      </c>
      <c r="AO8" s="349">
        <v>1.1100000000000001</v>
      </c>
      <c r="AP8" s="349">
        <v>0</v>
      </c>
      <c r="AQ8" s="349">
        <v>0</v>
      </c>
      <c r="AR8" s="350">
        <v>2.1999999999999999E-2</v>
      </c>
      <c r="AS8" s="350">
        <v>1</v>
      </c>
      <c r="AT8" s="361"/>
      <c r="AU8" s="350">
        <v>3.3000000000000002E-2</v>
      </c>
      <c r="AV8" s="350">
        <v>2.1999999999999999E-2</v>
      </c>
      <c r="AW8" s="350" t="s">
        <v>65</v>
      </c>
      <c r="AX8" s="350">
        <v>0</v>
      </c>
      <c r="AY8" s="350" t="s">
        <v>65</v>
      </c>
      <c r="AZ8" s="350">
        <v>0</v>
      </c>
      <c r="BA8" s="350" t="s">
        <v>65</v>
      </c>
      <c r="BB8" s="350" t="s">
        <v>65</v>
      </c>
      <c r="BC8" s="350" t="s">
        <v>67</v>
      </c>
      <c r="BD8" s="362">
        <v>1</v>
      </c>
      <c r="BE8" s="372" t="s">
        <v>170</v>
      </c>
      <c r="BF8" s="362">
        <v>15617.8</v>
      </c>
      <c r="BG8" s="368">
        <v>1.6</v>
      </c>
      <c r="BH8" s="362" t="s">
        <v>72</v>
      </c>
      <c r="BI8" s="362">
        <v>820</v>
      </c>
      <c r="BJ8" s="362">
        <v>0</v>
      </c>
      <c r="BK8" s="362" t="s">
        <v>65</v>
      </c>
      <c r="BL8" s="362" t="s">
        <v>65</v>
      </c>
      <c r="BM8" s="363" t="s">
        <v>67</v>
      </c>
      <c r="BN8" s="363" t="s">
        <v>67</v>
      </c>
      <c r="BO8" s="364" t="s">
        <v>65</v>
      </c>
      <c r="BP8" s="364" t="s">
        <v>65</v>
      </c>
      <c r="BQ8" s="66">
        <v>0</v>
      </c>
      <c r="BR8" s="66">
        <v>0</v>
      </c>
      <c r="BS8" s="370" t="s">
        <v>122</v>
      </c>
      <c r="BT8" s="371">
        <v>0</v>
      </c>
    </row>
    <row r="9" spans="1:73" s="525" customFormat="1" ht="21.75" customHeight="1" x14ac:dyDescent="0.25">
      <c r="A9" s="526"/>
      <c r="B9" s="526"/>
      <c r="C9" s="526"/>
      <c r="D9" s="526"/>
      <c r="E9" s="526"/>
      <c r="F9" s="526"/>
      <c r="G9" s="526"/>
      <c r="H9" s="526"/>
      <c r="I9" s="526"/>
      <c r="J9" s="526"/>
      <c r="K9" s="526"/>
      <c r="L9" s="526"/>
      <c r="M9" s="526"/>
      <c r="N9" s="526"/>
      <c r="O9" s="526"/>
      <c r="P9" s="526"/>
      <c r="Q9" s="526"/>
      <c r="R9" s="526"/>
      <c r="S9" s="526"/>
      <c r="T9" s="526"/>
      <c r="U9" s="526"/>
      <c r="V9" s="526"/>
      <c r="W9" s="526"/>
      <c r="X9" s="526"/>
      <c r="Y9" s="526"/>
      <c r="Z9" s="526"/>
      <c r="AA9" s="526"/>
      <c r="AB9" s="526"/>
      <c r="AC9" s="526"/>
      <c r="AD9" s="526"/>
      <c r="AE9" s="526"/>
      <c r="AF9" s="526"/>
      <c r="AG9" s="526"/>
      <c r="AH9" s="526"/>
      <c r="AI9" s="526"/>
      <c r="AJ9" s="526"/>
      <c r="AK9" s="526"/>
      <c r="AL9" s="526"/>
      <c r="AM9" s="526"/>
      <c r="AN9" s="526"/>
      <c r="AO9" s="526"/>
      <c r="AP9" s="526"/>
      <c r="AQ9" s="526"/>
      <c r="AR9" s="526"/>
      <c r="AS9" s="526"/>
      <c r="AT9" s="526"/>
      <c r="AU9" s="526"/>
      <c r="AV9" s="526"/>
      <c r="AW9" s="526"/>
      <c r="AX9" s="526"/>
      <c r="AY9" s="526"/>
      <c r="AZ9" s="526"/>
      <c r="BA9" s="526"/>
      <c r="BB9" s="526"/>
      <c r="BC9" s="526"/>
      <c r="BD9" s="526"/>
      <c r="BE9" s="526"/>
      <c r="BF9" s="526"/>
      <c r="BG9" s="526"/>
      <c r="BH9" s="526"/>
      <c r="BI9" s="526"/>
      <c r="BJ9" s="526"/>
      <c r="BK9" s="526"/>
      <c r="BL9" s="526"/>
      <c r="BM9" s="526"/>
      <c r="BN9" s="526"/>
      <c r="BO9" s="526"/>
      <c r="BP9" s="526"/>
      <c r="BQ9" s="526"/>
      <c r="BR9" s="526"/>
      <c r="BS9" s="526"/>
      <c r="BT9" s="526"/>
    </row>
    <row r="10" spans="1:73" s="525" customFormat="1" ht="21.75" customHeight="1" thickBot="1" x14ac:dyDescent="0.3">
      <c r="A10" s="526"/>
      <c r="B10" s="526"/>
      <c r="C10" s="526"/>
      <c r="D10" s="526"/>
      <c r="E10" s="526"/>
      <c r="F10" s="526"/>
      <c r="G10" s="526"/>
      <c r="H10" s="526"/>
      <c r="I10" s="526"/>
      <c r="J10" s="526"/>
      <c r="K10" s="526"/>
      <c r="L10" s="526"/>
      <c r="M10" s="526"/>
      <c r="N10" s="526"/>
      <c r="O10" s="526"/>
      <c r="P10" s="526"/>
      <c r="Q10" s="526"/>
      <c r="R10" s="526"/>
      <c r="S10" s="526"/>
      <c r="T10" s="526"/>
      <c r="U10" s="526"/>
      <c r="V10" s="526"/>
      <c r="W10" s="526"/>
      <c r="X10" s="526"/>
      <c r="Y10" s="526"/>
      <c r="Z10" s="526"/>
      <c r="AA10" s="526"/>
      <c r="AB10" s="526"/>
      <c r="AC10" s="526"/>
      <c r="AD10" s="526"/>
      <c r="AE10" s="526"/>
      <c r="AF10" s="526"/>
      <c r="AG10" s="526"/>
      <c r="AH10" s="526"/>
      <c r="AI10" s="526"/>
      <c r="AJ10" s="526"/>
      <c r="AK10" s="526"/>
      <c r="AL10" s="526"/>
      <c r="AM10" s="526"/>
      <c r="AN10" s="526"/>
      <c r="AO10" s="526"/>
      <c r="AP10" s="526"/>
      <c r="AQ10" s="526"/>
      <c r="AR10" s="526"/>
      <c r="AS10" s="526"/>
      <c r="AT10" s="526"/>
      <c r="AU10" s="526"/>
      <c r="AV10" s="526"/>
      <c r="AW10" s="526"/>
      <c r="AX10" s="526"/>
      <c r="AY10" s="526"/>
      <c r="AZ10" s="526"/>
      <c r="BA10" s="526"/>
      <c r="BB10" s="526"/>
      <c r="BC10" s="526"/>
      <c r="BD10" s="526"/>
      <c r="BE10" s="526"/>
      <c r="BF10" s="526"/>
      <c r="BG10" s="526"/>
      <c r="BH10" s="526"/>
      <c r="BI10" s="526"/>
      <c r="BJ10" s="526"/>
      <c r="BK10" s="526"/>
      <c r="BL10" s="526"/>
      <c r="BM10" s="526"/>
      <c r="BN10" s="526"/>
      <c r="BO10" s="526"/>
      <c r="BP10" s="526"/>
      <c r="BQ10" s="526"/>
      <c r="BR10" s="526"/>
      <c r="BS10" s="526"/>
      <c r="BT10" s="526"/>
    </row>
    <row r="11" spans="1:73" ht="30.75" customHeight="1" thickBot="1" x14ac:dyDescent="0.3">
      <c r="A11" s="50">
        <v>60</v>
      </c>
      <c r="B11" s="470" t="s">
        <v>161</v>
      </c>
      <c r="C11" s="341">
        <v>5</v>
      </c>
      <c r="D11" s="341">
        <v>5</v>
      </c>
      <c r="E11" s="342">
        <v>10</v>
      </c>
      <c r="F11" s="343">
        <v>10</v>
      </c>
      <c r="G11" s="343">
        <v>10</v>
      </c>
      <c r="H11" s="342">
        <v>10</v>
      </c>
      <c r="I11" s="343">
        <v>0</v>
      </c>
      <c r="J11" s="343">
        <v>0</v>
      </c>
      <c r="K11" s="342">
        <v>0</v>
      </c>
      <c r="L11" s="343">
        <v>0</v>
      </c>
      <c r="M11" s="343" t="s">
        <v>65</v>
      </c>
      <c r="N11" s="343">
        <v>0</v>
      </c>
      <c r="O11" s="394">
        <f>SUM(R11,V11,Z11,AM11,AR11,AU11)</f>
        <v>220.41</v>
      </c>
      <c r="P11" s="394">
        <f>SUM(S11,W11,AA11,AC11,AN11,AV11)</f>
        <v>199.83</v>
      </c>
      <c r="Q11" s="394">
        <f>SUM(T11,X11,AB11,AD11,AO11)</f>
        <v>89.492999999999995</v>
      </c>
      <c r="R11" s="527">
        <f>30*R6</f>
        <v>79.5</v>
      </c>
      <c r="S11" s="527">
        <f>30*S6</f>
        <v>54.300000000000004</v>
      </c>
      <c r="T11" s="527">
        <f>30*T6</f>
        <v>16.5</v>
      </c>
      <c r="U11" s="345">
        <v>0</v>
      </c>
      <c r="V11" s="346">
        <f>30*V6</f>
        <v>66</v>
      </c>
      <c r="W11" s="528">
        <f>30*W6</f>
        <v>46.2</v>
      </c>
      <c r="X11" s="528">
        <f>30*X6</f>
        <v>20.7</v>
      </c>
      <c r="Y11" s="346">
        <v>0</v>
      </c>
      <c r="Z11" s="347">
        <f>30*Z6</f>
        <v>4.95</v>
      </c>
      <c r="AA11" s="347">
        <f>30*AA6</f>
        <v>3.3</v>
      </c>
      <c r="AB11" s="347">
        <f>30*AB6</f>
        <v>0.69299999999999995</v>
      </c>
      <c r="AC11" s="348">
        <f>30*AC6</f>
        <v>49.5</v>
      </c>
      <c r="AD11" s="348">
        <f>30*AD6</f>
        <v>14.7</v>
      </c>
      <c r="AE11" s="342">
        <v>0</v>
      </c>
      <c r="AF11" s="342">
        <v>0</v>
      </c>
      <c r="AG11" s="342">
        <v>2</v>
      </c>
      <c r="AH11" s="342">
        <v>6</v>
      </c>
      <c r="AI11" s="342">
        <v>0</v>
      </c>
      <c r="AJ11" s="342">
        <v>0</v>
      </c>
      <c r="AK11" s="342">
        <v>0</v>
      </c>
      <c r="AL11" s="342">
        <v>0</v>
      </c>
      <c r="AM11" s="349">
        <f>30*AM6</f>
        <v>66</v>
      </c>
      <c r="AN11" s="349">
        <f>30*AN6</f>
        <v>46.2</v>
      </c>
      <c r="AO11" s="349">
        <f>30*AO6</f>
        <v>36.9</v>
      </c>
      <c r="AP11" s="349">
        <v>0</v>
      </c>
      <c r="AQ11" s="349">
        <v>0</v>
      </c>
      <c r="AR11" s="350">
        <f>30*AR6</f>
        <v>3.3</v>
      </c>
      <c r="AS11" s="350">
        <v>4</v>
      </c>
      <c r="AT11" s="361"/>
      <c r="AU11" s="176">
        <f>30*AU6</f>
        <v>0.65999999999999992</v>
      </c>
      <c r="AV11" s="350">
        <f>30*AV6</f>
        <v>0.32999999999999996</v>
      </c>
      <c r="AW11" s="342" t="s">
        <v>65</v>
      </c>
      <c r="AX11" s="342">
        <v>0</v>
      </c>
      <c r="AY11" s="342" t="s">
        <v>65</v>
      </c>
      <c r="AZ11" s="342">
        <v>0</v>
      </c>
      <c r="BA11" s="342" t="s">
        <v>65</v>
      </c>
      <c r="BB11" s="342" t="s">
        <v>65</v>
      </c>
      <c r="BC11" s="342" t="s">
        <v>65</v>
      </c>
      <c r="BD11" s="514">
        <v>1</v>
      </c>
      <c r="BE11" s="515" t="s">
        <v>169</v>
      </c>
      <c r="BF11" s="514">
        <v>1350</v>
      </c>
      <c r="BG11" s="514">
        <v>1.5</v>
      </c>
      <c r="BH11" s="516" t="s">
        <v>66</v>
      </c>
      <c r="BI11" s="514">
        <v>1260</v>
      </c>
      <c r="BJ11" s="514">
        <v>0</v>
      </c>
      <c r="BK11" s="514" t="s">
        <v>65</v>
      </c>
      <c r="BL11" s="514" t="s">
        <v>65</v>
      </c>
      <c r="BM11" s="514" t="s">
        <v>67</v>
      </c>
      <c r="BN11" s="514" t="s">
        <v>67</v>
      </c>
      <c r="BO11" s="514" t="s">
        <v>67</v>
      </c>
      <c r="BP11" s="514" t="s">
        <v>67</v>
      </c>
      <c r="BQ11" s="513">
        <v>0</v>
      </c>
      <c r="BR11" s="513">
        <v>0</v>
      </c>
      <c r="BS11" s="517" t="s">
        <v>67</v>
      </c>
      <c r="BT11" s="517" t="s">
        <v>175</v>
      </c>
      <c r="BU11" s="357"/>
    </row>
    <row r="12" spans="1:73" ht="35.25" customHeight="1" thickBot="1" x14ac:dyDescent="0.3">
      <c r="A12" s="50">
        <v>50</v>
      </c>
      <c r="B12" s="470" t="s">
        <v>121</v>
      </c>
      <c r="C12" s="341">
        <v>4</v>
      </c>
      <c r="D12" s="354">
        <v>4</v>
      </c>
      <c r="E12" s="342">
        <v>8</v>
      </c>
      <c r="F12" s="343">
        <v>4</v>
      </c>
      <c r="G12" s="343">
        <v>4</v>
      </c>
      <c r="H12" s="342">
        <v>8</v>
      </c>
      <c r="I12" s="343">
        <v>0</v>
      </c>
      <c r="J12" s="343">
        <v>0</v>
      </c>
      <c r="K12" s="342">
        <v>0</v>
      </c>
      <c r="L12" s="343">
        <v>0</v>
      </c>
      <c r="M12" s="343" t="s">
        <v>65</v>
      </c>
      <c r="N12" s="343">
        <v>0</v>
      </c>
      <c r="O12" s="394">
        <f>SUM(R12,V12,Z12,AM12,AR12,AU12)</f>
        <v>197.25</v>
      </c>
      <c r="P12" s="394">
        <f>SUM(S12,W12,AA12,AC12,AN12,AV12)</f>
        <v>167.16</v>
      </c>
      <c r="Q12" s="394">
        <f>SUM(T12,X12,AB12,AD12,AO12)</f>
        <v>80.100000000000009</v>
      </c>
      <c r="R12" s="527">
        <f>30*R8</f>
        <v>72.599999999999994</v>
      </c>
      <c r="S12" s="527">
        <f>30*S8</f>
        <v>50.699999999999996</v>
      </c>
      <c r="T12" s="345">
        <f>30*T8</f>
        <v>15</v>
      </c>
      <c r="U12" s="345">
        <v>0</v>
      </c>
      <c r="V12" s="528">
        <f>30*V8</f>
        <v>59.4</v>
      </c>
      <c r="W12" s="528">
        <f>30*W8</f>
        <v>28.5</v>
      </c>
      <c r="X12" s="528">
        <f>30*X8</f>
        <v>18.600000000000001</v>
      </c>
      <c r="Y12" s="346">
        <v>0</v>
      </c>
      <c r="Z12" s="347">
        <f>30*Z8</f>
        <v>4.2</v>
      </c>
      <c r="AA12" s="347">
        <f>30*AA8</f>
        <v>3</v>
      </c>
      <c r="AB12" s="347">
        <f>30*AB8</f>
        <v>0.6</v>
      </c>
      <c r="AC12" s="348">
        <f>30*AC8</f>
        <v>42.9</v>
      </c>
      <c r="AD12" s="348">
        <f>30*AD8</f>
        <v>12.6</v>
      </c>
      <c r="AE12" s="342">
        <v>0</v>
      </c>
      <c r="AF12" s="342">
        <v>0</v>
      </c>
      <c r="AG12" s="342">
        <v>1</v>
      </c>
      <c r="AH12" s="342">
        <v>1.6</v>
      </c>
      <c r="AI12" s="342">
        <v>0</v>
      </c>
      <c r="AJ12" s="342">
        <v>0</v>
      </c>
      <c r="AK12" s="342">
        <v>0</v>
      </c>
      <c r="AL12" s="342">
        <v>0</v>
      </c>
      <c r="AM12" s="349">
        <f>30*AM8</f>
        <v>59.4</v>
      </c>
      <c r="AN12" s="349">
        <f>30*AN8</f>
        <v>41.4</v>
      </c>
      <c r="AO12" s="349">
        <f>30*AO8</f>
        <v>33.300000000000004</v>
      </c>
      <c r="AP12" s="349">
        <v>0</v>
      </c>
      <c r="AQ12" s="349">
        <v>0</v>
      </c>
      <c r="AR12" s="350">
        <f>30*AR8</f>
        <v>0.65999999999999992</v>
      </c>
      <c r="AS12" s="350">
        <v>1</v>
      </c>
      <c r="AT12" s="361"/>
      <c r="AU12" s="350">
        <f>30*AU8</f>
        <v>0.99</v>
      </c>
      <c r="AV12" s="350">
        <f>30*AV8</f>
        <v>0.65999999999999992</v>
      </c>
      <c r="AW12" s="342" t="s">
        <v>65</v>
      </c>
      <c r="AX12" s="342">
        <v>0</v>
      </c>
      <c r="AY12" s="342" t="s">
        <v>65</v>
      </c>
      <c r="AZ12" s="342">
        <v>0</v>
      </c>
      <c r="BA12" s="342" t="s">
        <v>65</v>
      </c>
      <c r="BB12" s="342" t="s">
        <v>65</v>
      </c>
      <c r="BC12" s="342" t="s">
        <v>67</v>
      </c>
      <c r="BD12" s="514">
        <v>1</v>
      </c>
      <c r="BE12" s="515" t="s">
        <v>170</v>
      </c>
      <c r="BF12" s="514">
        <v>15617.8</v>
      </c>
      <c r="BG12" s="514">
        <v>1.6</v>
      </c>
      <c r="BH12" s="514" t="s">
        <v>72</v>
      </c>
      <c r="BI12" s="514">
        <v>800</v>
      </c>
      <c r="BJ12" s="514">
        <v>0</v>
      </c>
      <c r="BK12" s="514" t="s">
        <v>65</v>
      </c>
      <c r="BL12" s="514" t="s">
        <v>65</v>
      </c>
      <c r="BM12" s="514" t="s">
        <v>67</v>
      </c>
      <c r="BN12" s="514" t="s">
        <v>67</v>
      </c>
      <c r="BO12" s="514" t="s">
        <v>65</v>
      </c>
      <c r="BP12" s="514" t="s">
        <v>65</v>
      </c>
      <c r="BQ12" s="513">
        <v>0</v>
      </c>
      <c r="BR12" s="513">
        <v>0</v>
      </c>
      <c r="BS12" s="518" t="s">
        <v>122</v>
      </c>
      <c r="BT12" s="519">
        <v>0</v>
      </c>
    </row>
    <row r="17" spans="14:15" ht="15" customHeight="1" x14ac:dyDescent="0.25">
      <c r="N17" s="1143" t="s">
        <v>177</v>
      </c>
      <c r="O17" s="1326">
        <v>33238</v>
      </c>
    </row>
    <row r="18" spans="14:15" x14ac:dyDescent="0.25">
      <c r="N18" s="1143"/>
      <c r="O18" s="1326"/>
    </row>
    <row r="19" spans="14:15" x14ac:dyDescent="0.25">
      <c r="N19" s="1143"/>
      <c r="O19" s="1326"/>
    </row>
  </sheetData>
  <mergeCells count="24">
    <mergeCell ref="L1:L2"/>
    <mergeCell ref="A1:A3"/>
    <mergeCell ref="B1:B3"/>
    <mergeCell ref="C1:E2"/>
    <mergeCell ref="F1:H2"/>
    <mergeCell ref="I1:K2"/>
    <mergeCell ref="M1:M2"/>
    <mergeCell ref="N1:N2"/>
    <mergeCell ref="O1:Q1"/>
    <mergeCell ref="R1:U1"/>
    <mergeCell ref="V1:Y1"/>
    <mergeCell ref="BM1:BN1"/>
    <mergeCell ref="BO1:BP1"/>
    <mergeCell ref="BQ1:BR1"/>
    <mergeCell ref="BS1:BT1"/>
    <mergeCell ref="N17:N19"/>
    <mergeCell ref="O17:O19"/>
    <mergeCell ref="AC1:AD1"/>
    <mergeCell ref="AE1:AL1"/>
    <mergeCell ref="AM1:AQ1"/>
    <mergeCell ref="AR1:AT1"/>
    <mergeCell ref="AU1:BC1"/>
    <mergeCell ref="BD1:BL1"/>
    <mergeCell ref="Z1:AB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0"/>
  <sheetViews>
    <sheetView topLeftCell="A4" workbookViewId="0">
      <selection activeCell="Q6" sqref="Q6"/>
    </sheetView>
  </sheetViews>
  <sheetFormatPr defaultRowHeight="15" x14ac:dyDescent="0.25"/>
  <cols>
    <col min="1" max="1" width="14.7109375" customWidth="1"/>
  </cols>
  <sheetData>
    <row r="1" spans="1:72" ht="30.75" customHeight="1" thickBot="1" x14ac:dyDescent="0.3">
      <c r="A1" s="1330" t="s">
        <v>0</v>
      </c>
      <c r="B1" s="1332" t="s">
        <v>1</v>
      </c>
      <c r="C1" s="1335" t="s">
        <v>2</v>
      </c>
      <c r="D1" s="1336"/>
      <c r="E1" s="1337"/>
      <c r="F1" s="1335" t="s">
        <v>3</v>
      </c>
      <c r="G1" s="1336"/>
      <c r="H1" s="1337"/>
      <c r="I1" s="1335" t="s">
        <v>4</v>
      </c>
      <c r="J1" s="1336"/>
      <c r="K1" s="1337"/>
      <c r="L1" s="1344" t="s">
        <v>5</v>
      </c>
      <c r="M1" s="1344" t="s">
        <v>6</v>
      </c>
      <c r="N1" s="1344" t="s">
        <v>7</v>
      </c>
      <c r="O1" s="1346" t="s">
        <v>8</v>
      </c>
      <c r="P1" s="1347"/>
      <c r="Q1" s="1348"/>
      <c r="R1" s="1349" t="s">
        <v>9</v>
      </c>
      <c r="S1" s="1350"/>
      <c r="T1" s="1350"/>
      <c r="U1" s="1351"/>
      <c r="V1" s="1352" t="s">
        <v>10</v>
      </c>
      <c r="W1" s="1353"/>
      <c r="X1" s="1353"/>
      <c r="Y1" s="1354"/>
      <c r="Z1" s="1327" t="s">
        <v>11</v>
      </c>
      <c r="AA1" s="1328"/>
      <c r="AB1" s="1329"/>
      <c r="AC1" s="1361" t="s">
        <v>12</v>
      </c>
      <c r="AD1" s="1362"/>
      <c r="AE1" s="1363" t="s">
        <v>179</v>
      </c>
      <c r="AF1" s="1364"/>
      <c r="AG1" s="1364"/>
      <c r="AH1" s="1364"/>
      <c r="AI1" s="1364"/>
      <c r="AJ1" s="1364"/>
      <c r="AK1" s="1364"/>
      <c r="AL1" s="1365"/>
      <c r="AM1" s="1366" t="s">
        <v>99</v>
      </c>
      <c r="AN1" s="1367"/>
      <c r="AO1" s="1367"/>
      <c r="AP1" s="1367"/>
      <c r="AQ1" s="1368"/>
      <c r="AR1" s="1369" t="s">
        <v>100</v>
      </c>
      <c r="AS1" s="1370"/>
      <c r="AT1" s="1371"/>
      <c r="AU1" s="1369" t="s">
        <v>101</v>
      </c>
      <c r="AV1" s="1370"/>
      <c r="AW1" s="1370"/>
      <c r="AX1" s="1370"/>
      <c r="AY1" s="1370"/>
      <c r="AZ1" s="1370"/>
      <c r="BA1" s="1370"/>
      <c r="BB1" s="1370"/>
      <c r="BC1" s="1371"/>
      <c r="BD1" s="1372" t="s">
        <v>14</v>
      </c>
      <c r="BE1" s="1373"/>
      <c r="BF1" s="1373"/>
      <c r="BG1" s="1373"/>
      <c r="BH1" s="1373"/>
      <c r="BI1" s="1373"/>
      <c r="BJ1" s="1373"/>
      <c r="BK1" s="1373"/>
      <c r="BL1" s="1374"/>
      <c r="BM1" s="1355" t="s">
        <v>15</v>
      </c>
      <c r="BN1" s="1356"/>
      <c r="BO1" s="1357" t="s">
        <v>16</v>
      </c>
      <c r="BP1" s="1358"/>
      <c r="BQ1" s="1355" t="s">
        <v>130</v>
      </c>
      <c r="BR1" s="1356"/>
      <c r="BS1" s="1359" t="s">
        <v>171</v>
      </c>
      <c r="BT1" s="1360"/>
    </row>
    <row r="2" spans="1:72" ht="210.75" thickBot="1" x14ac:dyDescent="0.3">
      <c r="A2" s="1331"/>
      <c r="B2" s="1333"/>
      <c r="C2" s="1338"/>
      <c r="D2" s="1339"/>
      <c r="E2" s="1340"/>
      <c r="F2" s="1341"/>
      <c r="G2" s="1342"/>
      <c r="H2" s="1343"/>
      <c r="I2" s="1341"/>
      <c r="J2" s="1342"/>
      <c r="K2" s="1343"/>
      <c r="L2" s="1345"/>
      <c r="M2" s="1345"/>
      <c r="N2" s="1345"/>
      <c r="O2" s="547" t="s">
        <v>17</v>
      </c>
      <c r="P2" s="547" t="s">
        <v>18</v>
      </c>
      <c r="Q2" s="547" t="s">
        <v>19</v>
      </c>
      <c r="R2" s="548" t="s">
        <v>20</v>
      </c>
      <c r="S2" s="548" t="s">
        <v>21</v>
      </c>
      <c r="T2" s="548" t="s">
        <v>22</v>
      </c>
      <c r="U2" s="548" t="s">
        <v>23</v>
      </c>
      <c r="V2" s="549" t="s">
        <v>24</v>
      </c>
      <c r="W2" s="549" t="s">
        <v>25</v>
      </c>
      <c r="X2" s="549" t="s">
        <v>26</v>
      </c>
      <c r="Y2" s="549" t="s">
        <v>27</v>
      </c>
      <c r="Z2" s="550" t="s">
        <v>28</v>
      </c>
      <c r="AA2" s="550" t="s">
        <v>29</v>
      </c>
      <c r="AB2" s="550" t="s">
        <v>30</v>
      </c>
      <c r="AC2" s="551" t="s">
        <v>31</v>
      </c>
      <c r="AD2" s="551" t="s">
        <v>32</v>
      </c>
      <c r="AE2" s="552" t="s">
        <v>180</v>
      </c>
      <c r="AF2" s="552" t="s">
        <v>36</v>
      </c>
      <c r="AG2" s="552" t="s">
        <v>181</v>
      </c>
      <c r="AH2" s="552" t="s">
        <v>36</v>
      </c>
      <c r="AI2" s="552" t="s">
        <v>182</v>
      </c>
      <c r="AJ2" s="553" t="s">
        <v>36</v>
      </c>
      <c r="AK2" s="552" t="s">
        <v>183</v>
      </c>
      <c r="AL2" s="553" t="s">
        <v>36</v>
      </c>
      <c r="AM2" s="554" t="s">
        <v>102</v>
      </c>
      <c r="AN2" s="554" t="s">
        <v>103</v>
      </c>
      <c r="AO2" s="554" t="s">
        <v>104</v>
      </c>
      <c r="AP2" s="554" t="s">
        <v>105</v>
      </c>
      <c r="AQ2" s="554" t="s">
        <v>106</v>
      </c>
      <c r="AR2" s="555" t="s">
        <v>107</v>
      </c>
      <c r="AS2" s="555" t="s">
        <v>108</v>
      </c>
      <c r="AT2" s="555" t="s">
        <v>109</v>
      </c>
      <c r="AU2" s="555" t="s">
        <v>110</v>
      </c>
      <c r="AV2" s="555" t="s">
        <v>111</v>
      </c>
      <c r="AW2" s="555" t="s">
        <v>112</v>
      </c>
      <c r="AX2" s="555" t="s">
        <v>113</v>
      </c>
      <c r="AY2" s="555" t="s">
        <v>114</v>
      </c>
      <c r="AZ2" s="555" t="s">
        <v>115</v>
      </c>
      <c r="BA2" s="556" t="s">
        <v>116</v>
      </c>
      <c r="BB2" s="557" t="s">
        <v>117</v>
      </c>
      <c r="BC2" s="555" t="s">
        <v>118</v>
      </c>
      <c r="BD2" s="558" t="s">
        <v>14</v>
      </c>
      <c r="BE2" s="558" t="s">
        <v>167</v>
      </c>
      <c r="BF2" s="558" t="s">
        <v>39</v>
      </c>
      <c r="BG2" s="558" t="s">
        <v>40</v>
      </c>
      <c r="BH2" s="558" t="s">
        <v>41</v>
      </c>
      <c r="BI2" s="558" t="s">
        <v>184</v>
      </c>
      <c r="BJ2" s="558" t="s">
        <v>43</v>
      </c>
      <c r="BK2" s="558" t="s">
        <v>44</v>
      </c>
      <c r="BL2" s="558" t="s">
        <v>46</v>
      </c>
      <c r="BM2" s="559" t="s">
        <v>47</v>
      </c>
      <c r="BN2" s="559" t="s">
        <v>48</v>
      </c>
      <c r="BO2" s="554" t="s">
        <v>49</v>
      </c>
      <c r="BP2" s="554" t="s">
        <v>50</v>
      </c>
      <c r="BQ2" s="559" t="s">
        <v>131</v>
      </c>
      <c r="BR2" s="559" t="s">
        <v>132</v>
      </c>
      <c r="BS2" s="560" t="s">
        <v>172</v>
      </c>
      <c r="BT2" s="560" t="s">
        <v>173</v>
      </c>
    </row>
    <row r="3" spans="1:72" ht="75.75" thickBot="1" x14ac:dyDescent="0.3">
      <c r="A3" s="561"/>
      <c r="B3" s="1334"/>
      <c r="C3" s="562" t="s">
        <v>185</v>
      </c>
      <c r="D3" s="562" t="s">
        <v>186</v>
      </c>
      <c r="E3" s="562" t="s">
        <v>187</v>
      </c>
      <c r="F3" s="562" t="s">
        <v>185</v>
      </c>
      <c r="G3" s="562" t="s">
        <v>186</v>
      </c>
      <c r="H3" s="562" t="s">
        <v>187</v>
      </c>
      <c r="I3" s="562" t="s">
        <v>185</v>
      </c>
      <c r="J3" s="562" t="s">
        <v>186</v>
      </c>
      <c r="K3" s="562" t="s">
        <v>187</v>
      </c>
      <c r="L3" s="562" t="s">
        <v>58</v>
      </c>
      <c r="M3" s="562" t="s">
        <v>188</v>
      </c>
      <c r="N3" s="562" t="s">
        <v>189</v>
      </c>
      <c r="O3" s="563" t="s">
        <v>190</v>
      </c>
      <c r="P3" s="562" t="s">
        <v>190</v>
      </c>
      <c r="Q3" s="562" t="s">
        <v>190</v>
      </c>
      <c r="R3" s="563" t="s">
        <v>190</v>
      </c>
      <c r="S3" s="562" t="s">
        <v>190</v>
      </c>
      <c r="T3" s="562" t="s">
        <v>57</v>
      </c>
      <c r="U3" s="562" t="s">
        <v>57</v>
      </c>
      <c r="V3" s="563" t="s">
        <v>57</v>
      </c>
      <c r="W3" s="562" t="s">
        <v>57</v>
      </c>
      <c r="X3" s="562" t="s">
        <v>57</v>
      </c>
      <c r="Y3" s="562" t="s">
        <v>57</v>
      </c>
      <c r="Z3" s="562" t="s">
        <v>57</v>
      </c>
      <c r="AA3" s="562" t="s">
        <v>57</v>
      </c>
      <c r="AB3" s="562" t="s">
        <v>57</v>
      </c>
      <c r="AC3" s="563" t="s">
        <v>57</v>
      </c>
      <c r="AD3" s="562" t="s">
        <v>57</v>
      </c>
      <c r="AE3" s="563" t="s">
        <v>58</v>
      </c>
      <c r="AF3" s="562" t="s">
        <v>57</v>
      </c>
      <c r="AG3" s="562" t="s">
        <v>54</v>
      </c>
      <c r="AH3" s="562" t="s">
        <v>57</v>
      </c>
      <c r="AI3" s="562" t="s">
        <v>54</v>
      </c>
      <c r="AJ3" s="562" t="s">
        <v>57</v>
      </c>
      <c r="AK3" s="562" t="s">
        <v>54</v>
      </c>
      <c r="AL3" s="562" t="s">
        <v>57</v>
      </c>
      <c r="AM3" s="563" t="s">
        <v>62</v>
      </c>
      <c r="AN3" s="562" t="s">
        <v>62</v>
      </c>
      <c r="AO3" s="562" t="s">
        <v>62</v>
      </c>
      <c r="AP3" s="562" t="s">
        <v>54</v>
      </c>
      <c r="AQ3" s="562" t="s">
        <v>57</v>
      </c>
      <c r="AR3" s="563" t="s">
        <v>62</v>
      </c>
      <c r="AS3" s="562" t="s">
        <v>54</v>
      </c>
      <c r="AT3" s="562" t="s">
        <v>119</v>
      </c>
      <c r="AU3" s="563" t="s">
        <v>62</v>
      </c>
      <c r="AV3" s="562" t="s">
        <v>62</v>
      </c>
      <c r="AW3" s="562" t="s">
        <v>120</v>
      </c>
      <c r="AX3" s="562" t="s">
        <v>54</v>
      </c>
      <c r="AY3" s="562" t="s">
        <v>120</v>
      </c>
      <c r="AZ3" s="562" t="s">
        <v>54</v>
      </c>
      <c r="BA3" s="562" t="s">
        <v>120</v>
      </c>
      <c r="BB3" s="562" t="s">
        <v>120</v>
      </c>
      <c r="BC3" s="562" t="s">
        <v>120</v>
      </c>
      <c r="BD3" s="562" t="s">
        <v>54</v>
      </c>
      <c r="BE3" s="564" t="s">
        <v>168</v>
      </c>
      <c r="BF3" s="562" t="s">
        <v>59</v>
      </c>
      <c r="BG3" s="562" t="s">
        <v>60</v>
      </c>
      <c r="BH3" s="562" t="s">
        <v>61</v>
      </c>
      <c r="BI3" s="562" t="s">
        <v>191</v>
      </c>
      <c r="BJ3" s="562" t="s">
        <v>57</v>
      </c>
      <c r="BK3" s="562" t="s">
        <v>127</v>
      </c>
      <c r="BL3" s="562" t="s">
        <v>127</v>
      </c>
      <c r="BM3" s="562" t="s">
        <v>120</v>
      </c>
      <c r="BN3" s="562" t="s">
        <v>120</v>
      </c>
      <c r="BO3" s="562" t="s">
        <v>120</v>
      </c>
      <c r="BP3" s="562" t="s">
        <v>120</v>
      </c>
      <c r="BQ3" s="562" t="s">
        <v>54</v>
      </c>
      <c r="BR3" s="562" t="s">
        <v>54</v>
      </c>
      <c r="BS3" s="565" t="s">
        <v>120</v>
      </c>
      <c r="BT3" s="565" t="s">
        <v>174</v>
      </c>
    </row>
    <row r="5" spans="1:72" ht="15.75" thickBot="1" x14ac:dyDescent="0.3"/>
    <row r="6" spans="1:72" ht="30" thickBot="1" x14ac:dyDescent="0.3">
      <c r="A6" t="s">
        <v>136</v>
      </c>
      <c r="B6" s="546">
        <v>5</v>
      </c>
      <c r="C6" s="485">
        <v>6</v>
      </c>
      <c r="D6" s="484">
        <v>11</v>
      </c>
      <c r="E6" s="485">
        <v>5</v>
      </c>
      <c r="F6" s="485">
        <v>6</v>
      </c>
      <c r="G6" s="484">
        <v>11</v>
      </c>
      <c r="H6" s="485">
        <v>0</v>
      </c>
      <c r="I6" s="485">
        <v>0</v>
      </c>
      <c r="J6" s="484">
        <v>0</v>
      </c>
      <c r="K6" s="485">
        <v>0</v>
      </c>
      <c r="L6" s="485" t="s">
        <v>65</v>
      </c>
      <c r="M6" s="485">
        <v>0</v>
      </c>
      <c r="N6" s="486">
        <v>6.01</v>
      </c>
      <c r="O6" s="486">
        <v>3.99</v>
      </c>
      <c r="P6" s="486">
        <v>2.2999999999999998</v>
      </c>
      <c r="Q6" s="487">
        <v>2.42</v>
      </c>
      <c r="R6" s="487">
        <v>1.4</v>
      </c>
      <c r="S6" s="487">
        <v>0.93</v>
      </c>
      <c r="T6" s="487">
        <v>0</v>
      </c>
      <c r="U6" s="488">
        <v>1.82</v>
      </c>
      <c r="V6" s="488">
        <v>0.95</v>
      </c>
      <c r="W6" s="488">
        <v>0.49</v>
      </c>
      <c r="X6" s="488">
        <v>0</v>
      </c>
      <c r="Y6" s="489">
        <v>0.11</v>
      </c>
      <c r="Z6" s="489">
        <v>4.3999999999999997E-2</v>
      </c>
      <c r="AA6" s="489">
        <v>1.0999999999999999E-2</v>
      </c>
      <c r="AB6" s="490">
        <v>1.21</v>
      </c>
      <c r="AC6" s="490">
        <v>0.6</v>
      </c>
      <c r="AD6" s="484">
        <v>0</v>
      </c>
      <c r="AE6" s="484">
        <v>0</v>
      </c>
      <c r="AF6" s="484">
        <v>1</v>
      </c>
      <c r="AG6" s="484">
        <v>1.6</v>
      </c>
      <c r="AH6" s="484">
        <v>0</v>
      </c>
      <c r="AI6" s="484">
        <v>0</v>
      </c>
      <c r="AJ6" s="484">
        <v>0</v>
      </c>
      <c r="AK6" s="484">
        <v>0</v>
      </c>
      <c r="AL6" s="491">
        <v>1.59</v>
      </c>
      <c r="AM6" s="491">
        <v>0.38</v>
      </c>
      <c r="AN6" s="491">
        <v>0.27</v>
      </c>
      <c r="AO6" s="491">
        <v>0</v>
      </c>
      <c r="AP6" s="491">
        <v>0</v>
      </c>
      <c r="AQ6" s="492">
        <v>4.9000000000000002E-2</v>
      </c>
      <c r="AR6" s="492">
        <v>1</v>
      </c>
      <c r="AS6" s="493"/>
      <c r="AT6" s="492">
        <v>2.1999999999999999E-2</v>
      </c>
      <c r="AU6" s="492">
        <v>9.1000000000000004E-3</v>
      </c>
      <c r="AV6" s="492" t="s">
        <v>65</v>
      </c>
      <c r="AW6" s="492">
        <v>0</v>
      </c>
      <c r="AX6" s="492" t="s">
        <v>65</v>
      </c>
      <c r="AY6" s="492">
        <v>0</v>
      </c>
      <c r="AZ6" s="492" t="s">
        <v>65</v>
      </c>
      <c r="BA6" s="492" t="s">
        <v>65</v>
      </c>
      <c r="BB6" s="492" t="s">
        <v>67</v>
      </c>
      <c r="BC6" s="246">
        <v>1</v>
      </c>
      <c r="BD6" s="494" t="s">
        <v>170</v>
      </c>
      <c r="BE6" s="246">
        <v>15617.8</v>
      </c>
      <c r="BF6" s="495">
        <v>1.6</v>
      </c>
      <c r="BG6" s="246" t="s">
        <v>72</v>
      </c>
      <c r="BH6" s="246">
        <v>820</v>
      </c>
      <c r="BI6" s="246">
        <v>0</v>
      </c>
      <c r="BJ6" s="246" t="s">
        <v>65</v>
      </c>
      <c r="BK6" s="246" t="s">
        <v>65</v>
      </c>
      <c r="BL6" s="496" t="s">
        <v>67</v>
      </c>
      <c r="BM6" s="496" t="s">
        <v>67</v>
      </c>
      <c r="BN6" s="497" t="s">
        <v>65</v>
      </c>
      <c r="BO6" s="497" t="s">
        <v>65</v>
      </c>
      <c r="BP6" s="246">
        <v>0</v>
      </c>
      <c r="BQ6" s="246">
        <v>0</v>
      </c>
      <c r="BR6" s="498" t="s">
        <v>67</v>
      </c>
      <c r="BS6" s="499" t="s">
        <v>178</v>
      </c>
    </row>
    <row r="7" spans="1:72" ht="30" thickBot="1" x14ac:dyDescent="0.3">
      <c r="A7" t="s">
        <v>137</v>
      </c>
      <c r="B7" s="538">
        <v>5</v>
      </c>
      <c r="C7" s="539">
        <v>5</v>
      </c>
      <c r="D7" s="540">
        <v>10</v>
      </c>
      <c r="E7" s="511">
        <v>10</v>
      </c>
      <c r="F7" s="511">
        <v>10</v>
      </c>
      <c r="G7" s="540">
        <v>10</v>
      </c>
      <c r="H7" s="511">
        <v>0</v>
      </c>
      <c r="I7" s="511">
        <v>0</v>
      </c>
      <c r="J7" s="540">
        <v>0</v>
      </c>
      <c r="K7" s="541">
        <v>0</v>
      </c>
      <c r="L7" s="541" t="s">
        <v>67</v>
      </c>
      <c r="M7" s="541">
        <v>7000</v>
      </c>
      <c r="N7" s="542">
        <v>6.73</v>
      </c>
      <c r="O7" s="542">
        <v>5.13</v>
      </c>
      <c r="P7" s="542">
        <v>3.23</v>
      </c>
      <c r="Q7" s="246">
        <v>2.59</v>
      </c>
      <c r="R7" s="246">
        <v>1.7</v>
      </c>
      <c r="S7" s="246">
        <v>1</v>
      </c>
      <c r="T7" s="246">
        <v>0</v>
      </c>
      <c r="U7" s="543">
        <v>2.09</v>
      </c>
      <c r="V7" s="543">
        <v>1.33</v>
      </c>
      <c r="W7" s="543">
        <v>0.75</v>
      </c>
      <c r="X7" s="543">
        <v>0</v>
      </c>
      <c r="Y7" s="544">
        <v>0.16</v>
      </c>
      <c r="Z7" s="544">
        <v>0.06</v>
      </c>
      <c r="AA7" s="544">
        <v>0.03</v>
      </c>
      <c r="AB7" s="511">
        <v>0.37</v>
      </c>
      <c r="AC7" s="511">
        <v>0.9</v>
      </c>
      <c r="AD7" s="540">
        <v>0</v>
      </c>
      <c r="AE7" s="540">
        <v>0</v>
      </c>
      <c r="AF7" s="540">
        <v>2</v>
      </c>
      <c r="AG7" s="540">
        <v>6</v>
      </c>
      <c r="AH7" s="540">
        <v>0</v>
      </c>
      <c r="AI7" s="540">
        <v>0</v>
      </c>
      <c r="AJ7" s="540">
        <v>0</v>
      </c>
      <c r="AK7" s="540">
        <v>0</v>
      </c>
      <c r="AL7" s="543">
        <v>1.81</v>
      </c>
      <c r="AM7" s="543">
        <v>0.66</v>
      </c>
      <c r="AN7" s="543">
        <v>0.55000000000000004</v>
      </c>
      <c r="AO7" s="543">
        <v>0</v>
      </c>
      <c r="AP7" s="543">
        <v>0</v>
      </c>
      <c r="AQ7" s="541">
        <v>0.06</v>
      </c>
      <c r="AR7" s="541">
        <v>4</v>
      </c>
      <c r="AS7" s="545"/>
      <c r="AT7" s="541">
        <v>0.02</v>
      </c>
      <c r="AU7" s="541">
        <v>0.01</v>
      </c>
      <c r="AV7" s="541" t="s">
        <v>65</v>
      </c>
      <c r="AW7" s="541">
        <v>0</v>
      </c>
      <c r="AX7" s="541" t="s">
        <v>65</v>
      </c>
      <c r="AY7" s="541">
        <v>0</v>
      </c>
      <c r="AZ7" s="541" t="s">
        <v>65</v>
      </c>
      <c r="BA7" s="492" t="s">
        <v>65</v>
      </c>
      <c r="BB7" s="492" t="s">
        <v>65</v>
      </c>
      <c r="BC7" s="511">
        <v>1</v>
      </c>
      <c r="BD7" s="511" t="s">
        <v>169</v>
      </c>
      <c r="BE7" s="511">
        <v>26756.07</v>
      </c>
      <c r="BF7" s="511">
        <v>1.6</v>
      </c>
      <c r="BG7" s="511" t="s">
        <v>66</v>
      </c>
      <c r="BH7" s="511">
        <v>1450</v>
      </c>
      <c r="BI7" s="511">
        <v>0</v>
      </c>
      <c r="BJ7" s="246" t="s">
        <v>65</v>
      </c>
      <c r="BK7" s="246" t="s">
        <v>65</v>
      </c>
      <c r="BL7" s="496" t="s">
        <v>67</v>
      </c>
      <c r="BM7" s="496" t="s">
        <v>67</v>
      </c>
      <c r="BN7" s="497" t="s">
        <v>67</v>
      </c>
      <c r="BO7" s="497" t="s">
        <v>67</v>
      </c>
      <c r="BP7" s="246">
        <v>0</v>
      </c>
      <c r="BQ7" s="246">
        <v>0</v>
      </c>
      <c r="BR7" s="498" t="s">
        <v>67</v>
      </c>
      <c r="BS7" s="498" t="s">
        <v>175</v>
      </c>
    </row>
    <row r="8" spans="1:72" ht="15.75" thickBot="1" x14ac:dyDescent="0.3"/>
    <row r="9" spans="1:72" ht="16.5" thickBot="1" x14ac:dyDescent="0.3">
      <c r="A9" t="s">
        <v>136</v>
      </c>
      <c r="B9" s="546">
        <v>5</v>
      </c>
      <c r="C9" s="485">
        <v>6</v>
      </c>
      <c r="D9" s="484">
        <v>11</v>
      </c>
      <c r="E9" s="485">
        <v>5</v>
      </c>
      <c r="F9" s="485">
        <v>6</v>
      </c>
      <c r="G9" s="484">
        <v>11</v>
      </c>
      <c r="H9" s="485">
        <v>0</v>
      </c>
      <c r="I9" s="485">
        <v>0</v>
      </c>
      <c r="J9" s="484">
        <v>0</v>
      </c>
      <c r="K9" s="485">
        <v>0</v>
      </c>
      <c r="L9" s="485" t="s">
        <v>65</v>
      </c>
      <c r="M9" s="485">
        <v>0</v>
      </c>
      <c r="N9">
        <f>30*N6</f>
        <v>180.29999999999998</v>
      </c>
      <c r="O9">
        <f>30*O6</f>
        <v>119.7</v>
      </c>
      <c r="P9">
        <f>30*P6</f>
        <v>69</v>
      </c>
      <c r="Q9">
        <f>30*Q6</f>
        <v>72.599999999999994</v>
      </c>
      <c r="R9">
        <f t="shared" ref="R9:BS9" si="0">30*R6</f>
        <v>42</v>
      </c>
      <c r="S9">
        <f t="shared" si="0"/>
        <v>27.900000000000002</v>
      </c>
      <c r="T9">
        <f t="shared" si="0"/>
        <v>0</v>
      </c>
      <c r="U9">
        <f t="shared" si="0"/>
        <v>54.6</v>
      </c>
      <c r="V9">
        <f t="shared" si="0"/>
        <v>28.5</v>
      </c>
      <c r="W9">
        <f t="shared" si="0"/>
        <v>14.7</v>
      </c>
      <c r="X9">
        <f t="shared" si="0"/>
        <v>0</v>
      </c>
      <c r="Y9">
        <f t="shared" si="0"/>
        <v>3.3</v>
      </c>
      <c r="Z9">
        <f t="shared" si="0"/>
        <v>1.3199999999999998</v>
      </c>
      <c r="AA9">
        <f t="shared" si="0"/>
        <v>0.32999999999999996</v>
      </c>
      <c r="AB9">
        <f t="shared" si="0"/>
        <v>36.299999999999997</v>
      </c>
      <c r="AC9">
        <f t="shared" si="0"/>
        <v>18</v>
      </c>
      <c r="AD9">
        <f t="shared" si="0"/>
        <v>0</v>
      </c>
      <c r="AE9">
        <f t="shared" si="0"/>
        <v>0</v>
      </c>
      <c r="AF9">
        <f t="shared" si="0"/>
        <v>30</v>
      </c>
      <c r="AG9">
        <f t="shared" si="0"/>
        <v>48</v>
      </c>
      <c r="AH9">
        <f t="shared" si="0"/>
        <v>0</v>
      </c>
      <c r="AI9">
        <f t="shared" si="0"/>
        <v>0</v>
      </c>
      <c r="AJ9">
        <f t="shared" si="0"/>
        <v>0</v>
      </c>
      <c r="AK9">
        <f t="shared" si="0"/>
        <v>0</v>
      </c>
      <c r="AL9">
        <f t="shared" si="0"/>
        <v>47.7</v>
      </c>
      <c r="AM9">
        <f t="shared" si="0"/>
        <v>11.4</v>
      </c>
      <c r="AN9">
        <f t="shared" si="0"/>
        <v>8.1000000000000014</v>
      </c>
      <c r="AO9">
        <f t="shared" si="0"/>
        <v>0</v>
      </c>
      <c r="AP9">
        <f t="shared" si="0"/>
        <v>0</v>
      </c>
      <c r="AQ9">
        <f t="shared" si="0"/>
        <v>1.47</v>
      </c>
      <c r="AR9">
        <f t="shared" si="0"/>
        <v>30</v>
      </c>
      <c r="AS9">
        <f t="shared" si="0"/>
        <v>0</v>
      </c>
      <c r="AT9">
        <f t="shared" si="0"/>
        <v>0.65999999999999992</v>
      </c>
      <c r="AU9">
        <f t="shared" si="0"/>
        <v>0.27300000000000002</v>
      </c>
      <c r="AV9" t="e">
        <f t="shared" si="0"/>
        <v>#VALUE!</v>
      </c>
      <c r="AW9">
        <f t="shared" si="0"/>
        <v>0</v>
      </c>
      <c r="AX9" t="e">
        <f t="shared" si="0"/>
        <v>#VALUE!</v>
      </c>
      <c r="AY9">
        <f t="shared" si="0"/>
        <v>0</v>
      </c>
      <c r="AZ9" t="e">
        <f t="shared" si="0"/>
        <v>#VALUE!</v>
      </c>
      <c r="BA9" t="e">
        <f t="shared" si="0"/>
        <v>#VALUE!</v>
      </c>
      <c r="BB9" t="e">
        <f t="shared" si="0"/>
        <v>#VALUE!</v>
      </c>
      <c r="BC9">
        <f t="shared" si="0"/>
        <v>30</v>
      </c>
      <c r="BD9" t="e">
        <f t="shared" si="0"/>
        <v>#VALUE!</v>
      </c>
      <c r="BE9">
        <f t="shared" si="0"/>
        <v>468534</v>
      </c>
      <c r="BF9">
        <f t="shared" si="0"/>
        <v>48</v>
      </c>
      <c r="BG9" t="e">
        <f t="shared" si="0"/>
        <v>#VALUE!</v>
      </c>
      <c r="BH9">
        <f t="shared" si="0"/>
        <v>24600</v>
      </c>
      <c r="BI9">
        <f t="shared" si="0"/>
        <v>0</v>
      </c>
      <c r="BJ9" t="e">
        <f t="shared" si="0"/>
        <v>#VALUE!</v>
      </c>
      <c r="BK9" t="e">
        <f t="shared" si="0"/>
        <v>#VALUE!</v>
      </c>
      <c r="BL9" t="e">
        <f t="shared" si="0"/>
        <v>#VALUE!</v>
      </c>
      <c r="BM9" t="e">
        <f t="shared" si="0"/>
        <v>#VALUE!</v>
      </c>
      <c r="BN9" t="e">
        <f t="shared" si="0"/>
        <v>#VALUE!</v>
      </c>
      <c r="BO9" t="e">
        <f t="shared" si="0"/>
        <v>#VALUE!</v>
      </c>
      <c r="BP9">
        <f t="shared" si="0"/>
        <v>0</v>
      </c>
      <c r="BQ9">
        <f t="shared" si="0"/>
        <v>0</v>
      </c>
      <c r="BR9" t="e">
        <f t="shared" si="0"/>
        <v>#VALUE!</v>
      </c>
      <c r="BS9" t="e">
        <f t="shared" si="0"/>
        <v>#VALUE!</v>
      </c>
    </row>
    <row r="10" spans="1:72" ht="15.75" thickBot="1" x14ac:dyDescent="0.3">
      <c r="A10" t="s">
        <v>137</v>
      </c>
      <c r="B10" s="538">
        <v>5</v>
      </c>
      <c r="C10" s="539">
        <v>5</v>
      </c>
      <c r="D10" s="540">
        <v>10</v>
      </c>
      <c r="E10" s="511">
        <v>10</v>
      </c>
      <c r="F10" s="511">
        <v>10</v>
      </c>
      <c r="G10" s="540">
        <v>10</v>
      </c>
      <c r="H10" s="511">
        <v>0</v>
      </c>
      <c r="I10" s="511">
        <v>0</v>
      </c>
      <c r="J10" s="540">
        <v>0</v>
      </c>
      <c r="K10" s="541">
        <v>0</v>
      </c>
      <c r="L10" s="541" t="s">
        <v>67</v>
      </c>
      <c r="M10" s="541">
        <v>7000</v>
      </c>
      <c r="N10">
        <f>N7*30</f>
        <v>201.9</v>
      </c>
      <c r="O10">
        <f>O7*30</f>
        <v>153.9</v>
      </c>
      <c r="P10">
        <f t="shared" ref="P10:BS10" si="1">P7*30</f>
        <v>96.9</v>
      </c>
      <c r="Q10">
        <f t="shared" si="1"/>
        <v>77.699999999999989</v>
      </c>
      <c r="R10">
        <f t="shared" si="1"/>
        <v>51</v>
      </c>
      <c r="S10">
        <f t="shared" si="1"/>
        <v>30</v>
      </c>
      <c r="T10">
        <f t="shared" si="1"/>
        <v>0</v>
      </c>
      <c r="U10">
        <f t="shared" si="1"/>
        <v>62.699999999999996</v>
      </c>
      <c r="V10">
        <f t="shared" si="1"/>
        <v>39.900000000000006</v>
      </c>
      <c r="W10">
        <f t="shared" si="1"/>
        <v>22.5</v>
      </c>
      <c r="X10">
        <f t="shared" si="1"/>
        <v>0</v>
      </c>
      <c r="Y10">
        <f t="shared" si="1"/>
        <v>4.8</v>
      </c>
      <c r="Z10">
        <f t="shared" si="1"/>
        <v>1.7999999999999998</v>
      </c>
      <c r="AA10">
        <f t="shared" si="1"/>
        <v>0.89999999999999991</v>
      </c>
      <c r="AB10">
        <f t="shared" si="1"/>
        <v>11.1</v>
      </c>
      <c r="AC10">
        <f t="shared" si="1"/>
        <v>27</v>
      </c>
      <c r="AD10">
        <f t="shared" si="1"/>
        <v>0</v>
      </c>
      <c r="AE10">
        <f t="shared" si="1"/>
        <v>0</v>
      </c>
      <c r="AF10">
        <f t="shared" si="1"/>
        <v>60</v>
      </c>
      <c r="AG10">
        <f t="shared" si="1"/>
        <v>180</v>
      </c>
      <c r="AH10">
        <f t="shared" si="1"/>
        <v>0</v>
      </c>
      <c r="AI10">
        <f t="shared" si="1"/>
        <v>0</v>
      </c>
      <c r="AJ10">
        <f t="shared" si="1"/>
        <v>0</v>
      </c>
      <c r="AK10">
        <f t="shared" si="1"/>
        <v>0</v>
      </c>
      <c r="AL10">
        <f t="shared" si="1"/>
        <v>54.300000000000004</v>
      </c>
      <c r="AM10">
        <f t="shared" si="1"/>
        <v>19.8</v>
      </c>
      <c r="AN10">
        <f t="shared" si="1"/>
        <v>16.5</v>
      </c>
      <c r="AO10">
        <f t="shared" si="1"/>
        <v>0</v>
      </c>
      <c r="AP10">
        <f t="shared" si="1"/>
        <v>0</v>
      </c>
      <c r="AQ10">
        <f t="shared" si="1"/>
        <v>1.7999999999999998</v>
      </c>
      <c r="AR10">
        <f t="shared" si="1"/>
        <v>120</v>
      </c>
      <c r="AS10">
        <f t="shared" si="1"/>
        <v>0</v>
      </c>
      <c r="AT10">
        <f t="shared" si="1"/>
        <v>0.6</v>
      </c>
      <c r="AU10">
        <f t="shared" si="1"/>
        <v>0.3</v>
      </c>
      <c r="AV10" t="e">
        <f t="shared" si="1"/>
        <v>#VALUE!</v>
      </c>
      <c r="AW10">
        <f t="shared" si="1"/>
        <v>0</v>
      </c>
      <c r="AX10" t="e">
        <f t="shared" si="1"/>
        <v>#VALUE!</v>
      </c>
      <c r="AY10">
        <f t="shared" si="1"/>
        <v>0</v>
      </c>
      <c r="AZ10" t="e">
        <f t="shared" si="1"/>
        <v>#VALUE!</v>
      </c>
      <c r="BA10" t="e">
        <f t="shared" si="1"/>
        <v>#VALUE!</v>
      </c>
      <c r="BB10" t="e">
        <f t="shared" si="1"/>
        <v>#VALUE!</v>
      </c>
      <c r="BC10">
        <f t="shared" si="1"/>
        <v>30</v>
      </c>
      <c r="BD10" t="e">
        <f t="shared" si="1"/>
        <v>#VALUE!</v>
      </c>
      <c r="BE10">
        <f t="shared" si="1"/>
        <v>802682.1</v>
      </c>
      <c r="BF10">
        <f t="shared" si="1"/>
        <v>48</v>
      </c>
      <c r="BG10" t="e">
        <f t="shared" si="1"/>
        <v>#VALUE!</v>
      </c>
      <c r="BH10">
        <f t="shared" si="1"/>
        <v>43500</v>
      </c>
      <c r="BI10">
        <f t="shared" si="1"/>
        <v>0</v>
      </c>
      <c r="BJ10" t="e">
        <f t="shared" si="1"/>
        <v>#VALUE!</v>
      </c>
      <c r="BK10" t="e">
        <f t="shared" si="1"/>
        <v>#VALUE!</v>
      </c>
      <c r="BL10" t="e">
        <f t="shared" si="1"/>
        <v>#VALUE!</v>
      </c>
      <c r="BM10" t="e">
        <f t="shared" si="1"/>
        <v>#VALUE!</v>
      </c>
      <c r="BN10" t="e">
        <f t="shared" si="1"/>
        <v>#VALUE!</v>
      </c>
      <c r="BO10" t="e">
        <f t="shared" si="1"/>
        <v>#VALUE!</v>
      </c>
      <c r="BP10">
        <f t="shared" si="1"/>
        <v>0</v>
      </c>
      <c r="BQ10">
        <f t="shared" si="1"/>
        <v>0</v>
      </c>
      <c r="BR10" t="e">
        <f t="shared" si="1"/>
        <v>#VALUE!</v>
      </c>
      <c r="BS10" t="e">
        <f t="shared" si="1"/>
        <v>#VALUE!</v>
      </c>
    </row>
  </sheetData>
  <mergeCells count="22">
    <mergeCell ref="BM1:BN1"/>
    <mergeCell ref="BO1:BP1"/>
    <mergeCell ref="BQ1:BR1"/>
    <mergeCell ref="BS1:BT1"/>
    <mergeCell ref="AC1:AD1"/>
    <mergeCell ref="AE1:AL1"/>
    <mergeCell ref="AM1:AQ1"/>
    <mergeCell ref="AR1:AT1"/>
    <mergeCell ref="AU1:BC1"/>
    <mergeCell ref="BD1:BL1"/>
    <mergeCell ref="Z1:AB1"/>
    <mergeCell ref="A1:A2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</mergeCells>
  <pageMargins left="0.7" right="0.7" top="0.75" bottom="0.75" header="0.3" footer="0.3"/>
  <pageSetup paperSize="9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7"/>
  <sheetViews>
    <sheetView topLeftCell="D3" workbookViewId="0">
      <selection activeCell="R11" sqref="R11"/>
    </sheetView>
  </sheetViews>
  <sheetFormatPr defaultRowHeight="15" x14ac:dyDescent="0.25"/>
  <cols>
    <col min="2" max="2" width="13.42578125" customWidth="1"/>
  </cols>
  <sheetData>
    <row r="1" spans="1:72" ht="48" customHeight="1" x14ac:dyDescent="0.25">
      <c r="A1" s="1282" t="s">
        <v>0</v>
      </c>
      <c r="B1" s="1285" t="s">
        <v>1</v>
      </c>
      <c r="C1" s="1288" t="s">
        <v>2</v>
      </c>
      <c r="D1" s="1289"/>
      <c r="E1" s="1290"/>
      <c r="F1" s="1288" t="s">
        <v>3</v>
      </c>
      <c r="G1" s="1289"/>
      <c r="H1" s="1290"/>
      <c r="I1" s="1288" t="s">
        <v>4</v>
      </c>
      <c r="J1" s="1289"/>
      <c r="K1" s="1290"/>
      <c r="L1" s="1294" t="s">
        <v>5</v>
      </c>
      <c r="M1" s="1294" t="s">
        <v>6</v>
      </c>
      <c r="N1" s="1294" t="s">
        <v>7</v>
      </c>
      <c r="O1" s="1296" t="s">
        <v>8</v>
      </c>
      <c r="P1" s="1297"/>
      <c r="Q1" s="1298"/>
      <c r="R1" s="1299" t="s">
        <v>9</v>
      </c>
      <c r="S1" s="1300"/>
      <c r="T1" s="1300"/>
      <c r="U1" s="1301"/>
      <c r="V1" s="1302" t="s">
        <v>10</v>
      </c>
      <c r="W1" s="1303"/>
      <c r="X1" s="1303"/>
      <c r="Y1" s="1304"/>
      <c r="Z1" s="1279" t="s">
        <v>11</v>
      </c>
      <c r="AA1" s="1280"/>
      <c r="AB1" s="1281"/>
      <c r="AC1" s="1309" t="s">
        <v>12</v>
      </c>
      <c r="AD1" s="1310"/>
      <c r="AE1" s="1311" t="s">
        <v>13</v>
      </c>
      <c r="AF1" s="1312"/>
      <c r="AG1" s="1312"/>
      <c r="AH1" s="1312"/>
      <c r="AI1" s="1312"/>
      <c r="AJ1" s="1312"/>
      <c r="AK1" s="1312"/>
      <c r="AL1" s="1313"/>
      <c r="AM1" s="1314" t="s">
        <v>99</v>
      </c>
      <c r="AN1" s="1315"/>
      <c r="AO1" s="1315"/>
      <c r="AP1" s="1315"/>
      <c r="AQ1" s="1316"/>
      <c r="AR1" s="1317" t="s">
        <v>100</v>
      </c>
      <c r="AS1" s="1318"/>
      <c r="AT1" s="1319"/>
      <c r="AU1" s="1317" t="s">
        <v>101</v>
      </c>
      <c r="AV1" s="1318"/>
      <c r="AW1" s="1318"/>
      <c r="AX1" s="1318"/>
      <c r="AY1" s="1318"/>
      <c r="AZ1" s="1318"/>
      <c r="BA1" s="1318"/>
      <c r="BB1" s="1318"/>
      <c r="BC1" s="1319"/>
      <c r="BD1" s="1320" t="s">
        <v>14</v>
      </c>
      <c r="BE1" s="1321"/>
      <c r="BF1" s="1321"/>
      <c r="BG1" s="1321"/>
      <c r="BH1" s="1321"/>
      <c r="BI1" s="1321"/>
      <c r="BJ1" s="1321"/>
      <c r="BK1" s="1321"/>
      <c r="BL1" s="1322"/>
      <c r="BM1" s="1305" t="s">
        <v>15</v>
      </c>
      <c r="BN1" s="1306"/>
      <c r="BO1" s="1307" t="s">
        <v>16</v>
      </c>
      <c r="BP1" s="1308"/>
      <c r="BQ1" s="1305" t="s">
        <v>130</v>
      </c>
      <c r="BR1" s="1306"/>
      <c r="BS1" s="1323" t="s">
        <v>171</v>
      </c>
      <c r="BT1" s="1324"/>
    </row>
    <row r="2" spans="1:72" ht="225" x14ac:dyDescent="0.25">
      <c r="A2" s="1283"/>
      <c r="B2" s="1286"/>
      <c r="C2" s="1291"/>
      <c r="D2" s="1292"/>
      <c r="E2" s="1293"/>
      <c r="F2" s="1291"/>
      <c r="G2" s="1292"/>
      <c r="H2" s="1293"/>
      <c r="I2" s="1291"/>
      <c r="J2" s="1292"/>
      <c r="K2" s="1293"/>
      <c r="L2" s="1295"/>
      <c r="M2" s="1295"/>
      <c r="N2" s="1295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533" t="s">
        <v>23</v>
      </c>
      <c r="V2" s="42" t="s">
        <v>24</v>
      </c>
      <c r="W2" s="217" t="s">
        <v>25</v>
      </c>
      <c r="X2" s="218" t="s">
        <v>26</v>
      </c>
      <c r="Y2" s="534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531" t="s">
        <v>105</v>
      </c>
      <c r="AQ2" s="531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532" t="s">
        <v>14</v>
      </c>
      <c r="BE2" s="532" t="s">
        <v>167</v>
      </c>
      <c r="BF2" s="532" t="s">
        <v>39</v>
      </c>
      <c r="BG2" s="532" t="s">
        <v>40</v>
      </c>
      <c r="BH2" s="532" t="s">
        <v>41</v>
      </c>
      <c r="BI2" s="532" t="s">
        <v>42</v>
      </c>
      <c r="BJ2" s="532" t="s">
        <v>43</v>
      </c>
      <c r="BK2" s="532" t="s">
        <v>44</v>
      </c>
      <c r="BL2" s="532" t="s">
        <v>46</v>
      </c>
      <c r="BM2" s="530" t="s">
        <v>47</v>
      </c>
      <c r="BN2" s="530" t="s">
        <v>48</v>
      </c>
      <c r="BO2" s="531" t="s">
        <v>49</v>
      </c>
      <c r="BP2" s="531" t="s">
        <v>50</v>
      </c>
      <c r="BQ2" s="530" t="s">
        <v>131</v>
      </c>
      <c r="BR2" s="530" t="s">
        <v>132</v>
      </c>
      <c r="BS2" s="359" t="s">
        <v>172</v>
      </c>
      <c r="BT2" s="359" t="s">
        <v>173</v>
      </c>
    </row>
    <row r="3" spans="1:72" ht="75" x14ac:dyDescent="0.25">
      <c r="A3" s="1284"/>
      <c r="B3" s="1287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107" t="s">
        <v>54</v>
      </c>
      <c r="BR3" s="107" t="s">
        <v>54</v>
      </c>
      <c r="BS3" s="360" t="s">
        <v>120</v>
      </c>
      <c r="BT3" s="360" t="s">
        <v>174</v>
      </c>
    </row>
    <row r="4" spans="1:72" ht="15.75" x14ac:dyDescent="0.25">
      <c r="A4" s="535">
        <v>1</v>
      </c>
      <c r="B4" s="536">
        <v>2</v>
      </c>
      <c r="C4" s="29">
        <v>3</v>
      </c>
      <c r="D4" s="535">
        <v>4</v>
      </c>
      <c r="E4" s="536">
        <v>5</v>
      </c>
      <c r="F4" s="29">
        <v>6</v>
      </c>
      <c r="G4" s="535">
        <v>7</v>
      </c>
      <c r="H4" s="536">
        <v>8</v>
      </c>
      <c r="I4" s="29">
        <v>9</v>
      </c>
      <c r="J4" s="535">
        <v>10</v>
      </c>
      <c r="K4" s="536">
        <v>11</v>
      </c>
      <c r="L4" s="29">
        <v>12</v>
      </c>
      <c r="M4" s="535">
        <v>13</v>
      </c>
      <c r="N4" s="536">
        <v>14</v>
      </c>
      <c r="O4" s="29">
        <v>15</v>
      </c>
      <c r="P4" s="535">
        <v>16</v>
      </c>
      <c r="Q4" s="536">
        <v>17</v>
      </c>
      <c r="R4" s="29">
        <v>18</v>
      </c>
      <c r="S4" s="535">
        <v>19</v>
      </c>
      <c r="T4" s="536">
        <v>20</v>
      </c>
      <c r="U4" s="29">
        <v>21</v>
      </c>
      <c r="V4" s="535">
        <v>22</v>
      </c>
      <c r="W4" s="536">
        <v>23</v>
      </c>
      <c r="X4" s="29">
        <v>24</v>
      </c>
      <c r="Y4" s="535">
        <v>25</v>
      </c>
      <c r="Z4" s="536">
        <v>26</v>
      </c>
      <c r="AA4" s="29">
        <v>27</v>
      </c>
      <c r="AB4" s="535">
        <v>28</v>
      </c>
      <c r="AC4" s="536">
        <v>29</v>
      </c>
      <c r="AD4" s="29">
        <v>30</v>
      </c>
      <c r="AE4" s="535">
        <v>31</v>
      </c>
      <c r="AF4" s="536">
        <v>32</v>
      </c>
      <c r="AG4" s="29">
        <v>33</v>
      </c>
      <c r="AH4" s="535">
        <v>34</v>
      </c>
      <c r="AI4" s="536">
        <v>35</v>
      </c>
      <c r="AJ4" s="29">
        <v>36</v>
      </c>
      <c r="AK4" s="535">
        <v>37</v>
      </c>
      <c r="AL4" s="536">
        <v>38</v>
      </c>
      <c r="AM4" s="29">
        <v>39</v>
      </c>
      <c r="AN4" s="535">
        <v>40</v>
      </c>
      <c r="AO4" s="536">
        <v>41</v>
      </c>
      <c r="AP4" s="29">
        <v>42</v>
      </c>
      <c r="AQ4" s="535">
        <v>43</v>
      </c>
      <c r="AR4" s="536">
        <v>44</v>
      </c>
      <c r="AS4" s="29">
        <v>45</v>
      </c>
      <c r="AT4" s="535">
        <v>46</v>
      </c>
      <c r="AU4" s="536">
        <v>47</v>
      </c>
      <c r="AV4" s="29">
        <v>48</v>
      </c>
      <c r="AW4" s="535">
        <v>49</v>
      </c>
      <c r="AX4" s="536">
        <v>50</v>
      </c>
      <c r="AY4" s="29">
        <v>51</v>
      </c>
      <c r="AZ4" s="535">
        <v>52</v>
      </c>
      <c r="BA4" s="536">
        <v>53</v>
      </c>
      <c r="BB4" s="29">
        <v>54</v>
      </c>
      <c r="BC4" s="535">
        <v>55</v>
      </c>
      <c r="BD4" s="536">
        <v>56</v>
      </c>
      <c r="BE4" s="29">
        <v>57</v>
      </c>
      <c r="BF4" s="535">
        <v>58</v>
      </c>
      <c r="BG4" s="536">
        <v>59</v>
      </c>
      <c r="BH4" s="29">
        <v>60</v>
      </c>
      <c r="BI4" s="535">
        <v>61</v>
      </c>
      <c r="BJ4" s="536">
        <v>62</v>
      </c>
      <c r="BK4" s="29">
        <v>63</v>
      </c>
      <c r="BL4" s="536">
        <v>65</v>
      </c>
      <c r="BM4" s="29">
        <v>66</v>
      </c>
      <c r="BN4" s="535">
        <v>67</v>
      </c>
      <c r="BO4" s="536">
        <v>68</v>
      </c>
      <c r="BP4" s="29">
        <v>69</v>
      </c>
      <c r="BQ4" s="535">
        <v>70</v>
      </c>
      <c r="BR4" s="536">
        <v>71</v>
      </c>
      <c r="BS4" s="29">
        <v>72</v>
      </c>
      <c r="BT4" s="535">
        <v>73</v>
      </c>
    </row>
    <row r="5" spans="1:72" ht="15.75" x14ac:dyDescent="0.25">
      <c r="A5" s="537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6667</v>
      </c>
      <c r="P5" s="537">
        <v>6041</v>
      </c>
      <c r="Q5" s="537">
        <v>2703</v>
      </c>
      <c r="R5" s="537">
        <v>2000</v>
      </c>
      <c r="S5" s="537">
        <v>1800</v>
      </c>
      <c r="T5" s="537">
        <v>500</v>
      </c>
      <c r="U5" s="537"/>
      <c r="V5" s="537">
        <v>1500</v>
      </c>
      <c r="W5" s="537">
        <v>1200</v>
      </c>
      <c r="X5" s="537">
        <v>500</v>
      </c>
      <c r="Y5" s="537"/>
      <c r="Z5" s="537">
        <v>1000</v>
      </c>
      <c r="AA5" s="537">
        <v>100</v>
      </c>
      <c r="AB5" s="537">
        <v>15</v>
      </c>
      <c r="AC5" s="537">
        <v>2000</v>
      </c>
      <c r="AD5" s="537">
        <v>500</v>
      </c>
      <c r="AE5" s="339"/>
      <c r="AF5" s="537"/>
      <c r="AG5" s="339"/>
      <c r="AH5" s="537"/>
      <c r="AI5" s="339"/>
      <c r="AJ5" s="537"/>
      <c r="AK5" s="339"/>
      <c r="AL5" s="537"/>
      <c r="AM5" s="537">
        <v>2200</v>
      </c>
      <c r="AN5" s="537">
        <v>1500</v>
      </c>
      <c r="AO5" s="537">
        <v>1350</v>
      </c>
      <c r="AP5" s="339"/>
      <c r="AQ5" s="537"/>
      <c r="AR5" s="537">
        <v>55</v>
      </c>
      <c r="AS5" s="339"/>
      <c r="AT5" s="537"/>
      <c r="AU5" s="537">
        <v>15</v>
      </c>
      <c r="AV5" s="537">
        <v>10</v>
      </c>
      <c r="AW5" s="537"/>
      <c r="AX5" s="537"/>
      <c r="AY5" s="537"/>
      <c r="AZ5" s="537"/>
      <c r="BA5" s="537"/>
      <c r="BB5" s="537"/>
      <c r="BC5" s="537"/>
      <c r="BD5" s="339"/>
      <c r="BE5" s="339"/>
      <c r="BF5" s="339"/>
      <c r="BG5" s="339"/>
      <c r="BH5" s="339"/>
      <c r="BI5" s="537"/>
      <c r="BJ5" s="339"/>
      <c r="BK5" s="537"/>
      <c r="BL5" s="537"/>
      <c r="BM5" s="537"/>
      <c r="BN5" s="537"/>
      <c r="BO5" s="537"/>
      <c r="BP5" s="537"/>
      <c r="BQ5" s="537"/>
      <c r="BR5" s="537"/>
      <c r="BS5" s="188"/>
      <c r="BT5" s="188"/>
    </row>
    <row r="6" spans="1:72" ht="31.5" x14ac:dyDescent="0.25">
      <c r="A6" s="450">
        <v>60</v>
      </c>
      <c r="B6" s="451" t="s">
        <v>161</v>
      </c>
      <c r="C6" s="479">
        <v>5</v>
      </c>
      <c r="D6" s="479">
        <v>5</v>
      </c>
      <c r="E6" s="395">
        <v>10</v>
      </c>
      <c r="F6" s="480">
        <v>10</v>
      </c>
      <c r="G6" s="480">
        <v>10</v>
      </c>
      <c r="H6" s="395">
        <v>10</v>
      </c>
      <c r="I6" s="480">
        <v>0</v>
      </c>
      <c r="J6" s="480">
        <v>0</v>
      </c>
      <c r="K6" s="395">
        <v>0</v>
      </c>
      <c r="L6" s="480">
        <v>0</v>
      </c>
      <c r="M6" s="480" t="s">
        <v>122</v>
      </c>
      <c r="N6" s="480">
        <v>0</v>
      </c>
      <c r="O6" s="438">
        <f>SUM(R6,V6,Z6,AM6,AR6,AU6)</f>
        <v>6.6000000000000005</v>
      </c>
      <c r="P6" s="438">
        <f>SUM(S6,W6,AA6,AC6,AN6,AV6)</f>
        <v>6.1800000000000006</v>
      </c>
      <c r="Q6" s="438">
        <f>SUM(T6,X6,AB6,AD6,AO6)</f>
        <v>1.153</v>
      </c>
      <c r="R6" s="453">
        <v>2.2000000000000002</v>
      </c>
      <c r="S6" s="453">
        <v>1.32</v>
      </c>
      <c r="T6" s="453">
        <v>0.26</v>
      </c>
      <c r="U6" s="453">
        <v>0</v>
      </c>
      <c r="V6" s="454">
        <v>1.65</v>
      </c>
      <c r="W6" s="454">
        <v>0.99</v>
      </c>
      <c r="X6" s="454">
        <v>0.19</v>
      </c>
      <c r="Y6" s="454">
        <v>0</v>
      </c>
      <c r="Z6" s="455">
        <v>0.55000000000000004</v>
      </c>
      <c r="AA6" s="455">
        <v>0.33</v>
      </c>
      <c r="AB6" s="455">
        <v>3.3000000000000002E-2</v>
      </c>
      <c r="AC6" s="456">
        <v>2.2000000000000002</v>
      </c>
      <c r="AD6" s="456">
        <v>0.44</v>
      </c>
      <c r="AE6" s="395">
        <v>0</v>
      </c>
      <c r="AF6" s="395">
        <v>0</v>
      </c>
      <c r="AG6" s="395">
        <v>2</v>
      </c>
      <c r="AH6" s="395">
        <v>6</v>
      </c>
      <c r="AI6" s="395">
        <v>0</v>
      </c>
      <c r="AJ6" s="395">
        <v>0</v>
      </c>
      <c r="AK6" s="395">
        <v>0</v>
      </c>
      <c r="AL6" s="395">
        <v>0</v>
      </c>
      <c r="AM6" s="457">
        <v>1.65</v>
      </c>
      <c r="AN6" s="457">
        <v>1.1499999999999999</v>
      </c>
      <c r="AO6" s="457">
        <v>0.23</v>
      </c>
      <c r="AP6" s="457">
        <v>0</v>
      </c>
      <c r="AQ6" s="457">
        <v>0</v>
      </c>
      <c r="AR6" s="458">
        <v>0.22</v>
      </c>
      <c r="AS6" s="469">
        <v>4</v>
      </c>
      <c r="AT6" s="459"/>
      <c r="AU6" s="460">
        <v>0.33</v>
      </c>
      <c r="AV6" s="458">
        <v>0.19</v>
      </c>
      <c r="AW6" s="458" t="s">
        <v>65</v>
      </c>
      <c r="AX6" s="458">
        <v>0</v>
      </c>
      <c r="AY6" s="458" t="s">
        <v>65</v>
      </c>
      <c r="AZ6" s="458">
        <v>0</v>
      </c>
      <c r="BA6" s="458" t="s">
        <v>65</v>
      </c>
      <c r="BB6" s="458" t="s">
        <v>65</v>
      </c>
      <c r="BC6" s="458" t="s">
        <v>65</v>
      </c>
      <c r="BD6" s="461">
        <v>1</v>
      </c>
      <c r="BE6" s="462" t="s">
        <v>169</v>
      </c>
      <c r="BF6" s="461">
        <v>26756.07</v>
      </c>
      <c r="BG6" s="461">
        <v>1.6</v>
      </c>
      <c r="BH6" s="463" t="s">
        <v>66</v>
      </c>
      <c r="BI6" s="461">
        <v>1450</v>
      </c>
      <c r="BJ6" s="461">
        <v>0</v>
      </c>
      <c r="BK6" s="461" t="s">
        <v>65</v>
      </c>
      <c r="BL6" s="461" t="s">
        <v>65</v>
      </c>
      <c r="BM6" s="464" t="s">
        <v>67</v>
      </c>
      <c r="BN6" s="464" t="s">
        <v>67</v>
      </c>
      <c r="BO6" s="465" t="s">
        <v>67</v>
      </c>
      <c r="BP6" s="465" t="s">
        <v>67</v>
      </c>
      <c r="BQ6" s="466">
        <v>0</v>
      </c>
      <c r="BR6" s="466">
        <v>0</v>
      </c>
      <c r="BS6" s="467" t="s">
        <v>67</v>
      </c>
      <c r="BT6" s="467" t="s">
        <v>175</v>
      </c>
    </row>
    <row r="7" spans="1:72" ht="16.5" thickBot="1" x14ac:dyDescent="0.3">
      <c r="A7" s="537"/>
      <c r="B7" s="351"/>
      <c r="C7" s="181"/>
      <c r="D7" s="181"/>
      <c r="E7" s="339"/>
      <c r="F7" s="339"/>
      <c r="G7" s="339"/>
      <c r="H7" s="339"/>
      <c r="I7" s="339"/>
      <c r="J7" s="339"/>
      <c r="K7" s="339"/>
      <c r="L7" s="339"/>
      <c r="M7" s="339"/>
      <c r="N7" s="339"/>
      <c r="O7" s="339">
        <v>5969</v>
      </c>
      <c r="P7" s="339">
        <v>5053</v>
      </c>
      <c r="Q7" s="339">
        <v>2422</v>
      </c>
      <c r="R7" s="339">
        <v>2200</v>
      </c>
      <c r="S7" s="339">
        <f>R7/100*70</f>
        <v>1540</v>
      </c>
      <c r="T7" s="339">
        <f>S7/100*30</f>
        <v>462</v>
      </c>
      <c r="U7" s="339"/>
      <c r="V7" s="339">
        <v>1800</v>
      </c>
      <c r="W7" s="339">
        <f>V7/100*70</f>
        <v>1260</v>
      </c>
      <c r="X7" s="339">
        <f>W7/100*45</f>
        <v>567</v>
      </c>
      <c r="Y7" s="339"/>
      <c r="Z7" s="339">
        <v>130</v>
      </c>
      <c r="AA7" s="339">
        <f>Z7/100*70</f>
        <v>91</v>
      </c>
      <c r="AB7" s="339">
        <f>AA7/100*20</f>
        <v>18.2</v>
      </c>
      <c r="AC7" s="339">
        <v>2000</v>
      </c>
      <c r="AD7" s="339">
        <v>400</v>
      </c>
      <c r="AE7" s="339"/>
      <c r="AF7" s="339"/>
      <c r="AG7" s="339"/>
      <c r="AH7" s="339"/>
      <c r="AI7" s="339"/>
      <c r="AJ7" s="339"/>
      <c r="AK7" s="339"/>
      <c r="AL7" s="339"/>
      <c r="AM7" s="339">
        <v>1800</v>
      </c>
      <c r="AN7" s="339">
        <f>AM7/100*70</f>
        <v>1260</v>
      </c>
      <c r="AO7" s="339">
        <f>AN7/100*80</f>
        <v>1008</v>
      </c>
      <c r="AP7" s="339"/>
      <c r="AQ7" s="339"/>
      <c r="AR7" s="339">
        <v>20</v>
      </c>
      <c r="AS7" s="339"/>
      <c r="AT7" s="520"/>
      <c r="AU7" s="339">
        <v>30</v>
      </c>
      <c r="AV7" s="339">
        <v>20</v>
      </c>
      <c r="AW7" s="339"/>
      <c r="AX7" s="339"/>
      <c r="AY7" s="339"/>
      <c r="AZ7" s="339"/>
      <c r="BA7" s="339"/>
      <c r="BB7" s="339"/>
      <c r="BC7" s="339"/>
      <c r="BD7" s="521"/>
      <c r="BE7" s="521"/>
      <c r="BF7" s="521"/>
      <c r="BG7" s="521"/>
      <c r="BH7" s="521"/>
      <c r="BI7" s="521"/>
      <c r="BJ7" s="521"/>
      <c r="BK7" s="521"/>
      <c r="BL7" s="521"/>
      <c r="BM7" s="521"/>
      <c r="BN7" s="521"/>
      <c r="BO7" s="521"/>
      <c r="BP7" s="521"/>
      <c r="BQ7" s="522"/>
      <c r="BR7" s="522"/>
      <c r="BS7" s="523"/>
      <c r="BT7" s="523"/>
    </row>
    <row r="8" spans="1:72" ht="32.25" thickBot="1" x14ac:dyDescent="0.3">
      <c r="A8" s="50">
        <v>50</v>
      </c>
      <c r="B8" s="529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0</v>
      </c>
      <c r="J8" s="343">
        <v>0</v>
      </c>
      <c r="K8" s="342">
        <v>0</v>
      </c>
      <c r="L8" s="343">
        <v>0</v>
      </c>
      <c r="M8" s="343" t="s">
        <v>65</v>
      </c>
      <c r="N8" s="343">
        <v>0</v>
      </c>
      <c r="O8" s="438">
        <f>SUM(R8,V8,Z8,AM8,AR8,AU8)</f>
        <v>6.4300000000000006</v>
      </c>
      <c r="P8" s="438">
        <f>SUM(S8,W8,AA8,AC8,AN8,AV8)</f>
        <v>6.05</v>
      </c>
      <c r="Q8" s="438">
        <f>SUM(T8,X8,AB8,AD8,AO8)</f>
        <v>1.1219999999999999</v>
      </c>
      <c r="R8" s="345">
        <v>2.15</v>
      </c>
      <c r="S8" s="345">
        <v>1.29</v>
      </c>
      <c r="T8" s="345">
        <v>0.25</v>
      </c>
      <c r="U8" s="345">
        <v>0</v>
      </c>
      <c r="V8" s="346">
        <v>1.61</v>
      </c>
      <c r="W8" s="346">
        <v>0.97</v>
      </c>
      <c r="X8" s="346">
        <v>0.19</v>
      </c>
      <c r="Y8" s="346">
        <v>0</v>
      </c>
      <c r="Z8" s="347">
        <v>0.53</v>
      </c>
      <c r="AA8" s="347">
        <v>0.32</v>
      </c>
      <c r="AB8" s="347">
        <v>3.2000000000000001E-2</v>
      </c>
      <c r="AC8" s="348">
        <v>2.15</v>
      </c>
      <c r="AD8" s="348">
        <v>0.43</v>
      </c>
      <c r="AE8" s="342">
        <v>0</v>
      </c>
      <c r="AF8" s="342">
        <v>0</v>
      </c>
      <c r="AG8" s="342">
        <v>1</v>
      </c>
      <c r="AH8" s="342">
        <v>1.6</v>
      </c>
      <c r="AI8" s="342">
        <v>0</v>
      </c>
      <c r="AJ8" s="342">
        <v>0</v>
      </c>
      <c r="AK8" s="342">
        <v>0</v>
      </c>
      <c r="AL8" s="342">
        <v>0</v>
      </c>
      <c r="AM8" s="349">
        <v>1.61</v>
      </c>
      <c r="AN8" s="349">
        <v>1.1299999999999999</v>
      </c>
      <c r="AO8" s="349">
        <v>0.22</v>
      </c>
      <c r="AP8" s="349">
        <v>0</v>
      </c>
      <c r="AQ8" s="349">
        <v>0</v>
      </c>
      <c r="AR8" s="350">
        <v>0.21</v>
      </c>
      <c r="AS8" s="350">
        <v>1</v>
      </c>
      <c r="AT8" s="361"/>
      <c r="AU8" s="350">
        <v>0.32</v>
      </c>
      <c r="AV8" s="350">
        <v>0.19</v>
      </c>
      <c r="AW8" s="350" t="s">
        <v>65</v>
      </c>
      <c r="AX8" s="350">
        <v>0</v>
      </c>
      <c r="AY8" s="350" t="s">
        <v>65</v>
      </c>
      <c r="AZ8" s="350">
        <v>0</v>
      </c>
      <c r="BA8" s="350" t="s">
        <v>65</v>
      </c>
      <c r="BB8" s="350" t="s">
        <v>65</v>
      </c>
      <c r="BC8" s="350" t="s">
        <v>67</v>
      </c>
      <c r="BD8" s="362">
        <v>1</v>
      </c>
      <c r="BE8" s="372" t="s">
        <v>170</v>
      </c>
      <c r="BF8" s="362">
        <v>15617.8</v>
      </c>
      <c r="BG8" s="368">
        <v>1.6</v>
      </c>
      <c r="BH8" s="362" t="s">
        <v>72</v>
      </c>
      <c r="BI8" s="362">
        <v>820</v>
      </c>
      <c r="BJ8" s="362">
        <v>0</v>
      </c>
      <c r="BK8" s="362" t="s">
        <v>65</v>
      </c>
      <c r="BL8" s="362" t="s">
        <v>65</v>
      </c>
      <c r="BM8" s="363" t="s">
        <v>67</v>
      </c>
      <c r="BN8" s="363" t="s">
        <v>67</v>
      </c>
      <c r="BO8" s="364" t="s">
        <v>65</v>
      </c>
      <c r="BP8" s="364" t="s">
        <v>65</v>
      </c>
      <c r="BQ8" s="66">
        <v>0</v>
      </c>
      <c r="BR8" s="66">
        <v>0</v>
      </c>
      <c r="BS8" s="370" t="s">
        <v>122</v>
      </c>
      <c r="BT8" s="371">
        <v>0</v>
      </c>
    </row>
    <row r="9" spans="1:72" x14ac:dyDescent="0.25">
      <c r="A9" s="526"/>
      <c r="B9" s="526"/>
      <c r="C9" s="526"/>
      <c r="D9" s="526"/>
      <c r="E9" s="526"/>
      <c r="F9" s="526"/>
      <c r="G9" s="526"/>
      <c r="H9" s="526"/>
      <c r="I9" s="526"/>
      <c r="J9" s="526"/>
      <c r="K9" s="526"/>
      <c r="L9" s="526"/>
      <c r="M9" s="526"/>
      <c r="N9" s="526"/>
      <c r="O9" s="526"/>
      <c r="P9" s="526"/>
      <c r="Q9" s="526"/>
      <c r="R9" s="526"/>
      <c r="S9" s="526"/>
      <c r="T9" s="526"/>
      <c r="U9" s="526"/>
      <c r="V9" s="526"/>
      <c r="W9" s="526"/>
      <c r="X9" s="526"/>
      <c r="Y9" s="526"/>
      <c r="Z9" s="526"/>
      <c r="AA9" s="526"/>
      <c r="AB9" s="526"/>
      <c r="AC9" s="526"/>
      <c r="AD9" s="526"/>
      <c r="AE9" s="526"/>
      <c r="AF9" s="526"/>
      <c r="AG9" s="526"/>
      <c r="AH9" s="526"/>
      <c r="AI9" s="526"/>
      <c r="AJ9" s="526"/>
      <c r="AK9" s="526"/>
      <c r="AL9" s="526"/>
      <c r="AM9" s="526"/>
      <c r="AN9" s="526"/>
      <c r="AO9" s="526"/>
      <c r="AP9" s="526"/>
      <c r="AQ9" s="526"/>
      <c r="AR9" s="526"/>
      <c r="AS9" s="526"/>
      <c r="AT9" s="526"/>
      <c r="AU9" s="526"/>
      <c r="AV9" s="526"/>
      <c r="AW9" s="526"/>
      <c r="AX9" s="526"/>
      <c r="AY9" s="526"/>
      <c r="AZ9" s="526"/>
      <c r="BA9" s="526"/>
      <c r="BB9" s="526"/>
      <c r="BC9" s="526"/>
      <c r="BD9" s="526"/>
      <c r="BE9" s="526"/>
      <c r="BF9" s="526"/>
      <c r="BG9" s="526"/>
      <c r="BH9" s="526"/>
      <c r="BI9" s="526"/>
      <c r="BJ9" s="526"/>
      <c r="BK9" s="526"/>
      <c r="BL9" s="526"/>
      <c r="BM9" s="526"/>
      <c r="BN9" s="526"/>
      <c r="BO9" s="526"/>
      <c r="BP9" s="526"/>
      <c r="BQ9" s="526"/>
      <c r="BR9" s="526"/>
      <c r="BS9" s="526"/>
      <c r="BT9" s="526"/>
    </row>
    <row r="10" spans="1:72" x14ac:dyDescent="0.25">
      <c r="A10" s="526"/>
      <c r="B10" s="526"/>
      <c r="C10" s="526"/>
      <c r="D10" s="526"/>
      <c r="E10" s="526"/>
      <c r="F10" s="526"/>
      <c r="G10" s="526"/>
      <c r="H10" s="526"/>
      <c r="I10" s="526"/>
      <c r="J10" s="526"/>
      <c r="K10" s="526"/>
      <c r="L10" s="526"/>
      <c r="M10" s="526"/>
      <c r="N10" s="526"/>
      <c r="O10" s="526"/>
      <c r="P10" s="526"/>
      <c r="Q10" s="526"/>
      <c r="R10" s="526"/>
      <c r="S10" s="526"/>
      <c r="T10" s="526"/>
      <c r="U10" s="526"/>
      <c r="V10" s="526"/>
      <c r="W10" s="526"/>
      <c r="X10" s="526"/>
      <c r="Y10" s="526"/>
      <c r="Z10" s="526"/>
      <c r="AA10" s="526"/>
      <c r="AB10" s="526"/>
      <c r="AC10" s="526"/>
      <c r="AD10" s="526"/>
      <c r="AE10" s="526"/>
      <c r="AF10" s="526"/>
      <c r="AG10" s="526"/>
      <c r="AH10" s="526"/>
      <c r="AI10" s="526"/>
      <c r="AJ10" s="526"/>
      <c r="AK10" s="526"/>
      <c r="AL10" s="526"/>
      <c r="AM10" s="526"/>
      <c r="AN10" s="526"/>
      <c r="AO10" s="526"/>
      <c r="AP10" s="526"/>
      <c r="AQ10" s="526"/>
      <c r="AR10" s="526"/>
      <c r="AS10" s="526"/>
      <c r="AT10" s="526"/>
      <c r="AU10" s="526"/>
      <c r="AV10" s="526"/>
      <c r="AW10" s="526"/>
      <c r="AX10" s="526"/>
      <c r="AY10" s="526"/>
      <c r="AZ10" s="526"/>
      <c r="BA10" s="526"/>
      <c r="BB10" s="526"/>
      <c r="BC10" s="526"/>
      <c r="BD10" s="526"/>
      <c r="BE10" s="526"/>
      <c r="BF10" s="526"/>
      <c r="BG10" s="526"/>
      <c r="BH10" s="526"/>
      <c r="BI10" s="526"/>
      <c r="BJ10" s="526"/>
      <c r="BK10" s="526"/>
      <c r="BL10" s="526"/>
      <c r="BM10" s="526"/>
      <c r="BN10" s="526"/>
      <c r="BO10" s="526"/>
      <c r="BP10" s="526"/>
      <c r="BQ10" s="526"/>
      <c r="BR10" s="526"/>
      <c r="BS10" s="526"/>
      <c r="BT10" s="526"/>
    </row>
    <row r="11" spans="1:72" ht="32.25" thickBot="1" x14ac:dyDescent="0.3">
      <c r="A11" s="50">
        <v>60</v>
      </c>
      <c r="B11" s="529" t="s">
        <v>161</v>
      </c>
      <c r="C11" s="341">
        <v>5</v>
      </c>
      <c r="D11" s="341">
        <v>5</v>
      </c>
      <c r="E11" s="342">
        <v>10</v>
      </c>
      <c r="F11" s="343">
        <v>10</v>
      </c>
      <c r="G11" s="343">
        <v>10</v>
      </c>
      <c r="H11" s="342">
        <v>10</v>
      </c>
      <c r="I11" s="343">
        <v>0</v>
      </c>
      <c r="J11" s="343">
        <v>0</v>
      </c>
      <c r="K11" s="342">
        <v>0</v>
      </c>
      <c r="L11" s="343">
        <v>0</v>
      </c>
      <c r="M11" s="343" t="s">
        <v>65</v>
      </c>
      <c r="N11" s="343">
        <v>0</v>
      </c>
      <c r="O11" s="394">
        <f>SUM(R11,V11,Z11,AM11,AR11,AU11)</f>
        <v>198</v>
      </c>
      <c r="P11" s="394">
        <f>SUM(S11,W11,AA11,AC11,AN11,AV11)</f>
        <v>185.39999999999998</v>
      </c>
      <c r="Q11" s="394">
        <f>SUM(T11,X11,AB11,AD11,AO11)</f>
        <v>34.589999999999996</v>
      </c>
      <c r="R11" s="527">
        <f>30*R6</f>
        <v>66</v>
      </c>
      <c r="S11" s="527">
        <f>30*S6</f>
        <v>39.6</v>
      </c>
      <c r="T11" s="527">
        <f>30*T6</f>
        <v>7.8000000000000007</v>
      </c>
      <c r="U11" s="345">
        <v>0</v>
      </c>
      <c r="V11" s="346">
        <f>30*V6</f>
        <v>49.5</v>
      </c>
      <c r="W11" s="528">
        <f>30*W6</f>
        <v>29.7</v>
      </c>
      <c r="X11" s="528">
        <f>30*X6</f>
        <v>5.7</v>
      </c>
      <c r="Y11" s="346">
        <v>0</v>
      </c>
      <c r="Z11" s="347">
        <f>30*Z6</f>
        <v>16.5</v>
      </c>
      <c r="AA11" s="347">
        <f>30*AA6</f>
        <v>9.9</v>
      </c>
      <c r="AB11" s="347">
        <f>30*AB6</f>
        <v>0.99</v>
      </c>
      <c r="AC11" s="348">
        <f>30*AC6</f>
        <v>66</v>
      </c>
      <c r="AD11" s="348">
        <f>30*AD6</f>
        <v>13.2</v>
      </c>
      <c r="AE11" s="342">
        <v>0</v>
      </c>
      <c r="AF11" s="342">
        <v>0</v>
      </c>
      <c r="AG11" s="342">
        <v>2</v>
      </c>
      <c r="AH11" s="342">
        <v>6</v>
      </c>
      <c r="AI11" s="342">
        <v>0</v>
      </c>
      <c r="AJ11" s="342">
        <v>0</v>
      </c>
      <c r="AK11" s="342">
        <v>0</v>
      </c>
      <c r="AL11" s="342">
        <v>0</v>
      </c>
      <c r="AM11" s="349">
        <f>30*AM6</f>
        <v>49.5</v>
      </c>
      <c r="AN11" s="349">
        <f>30*AN6</f>
        <v>34.5</v>
      </c>
      <c r="AO11" s="349">
        <f>30*AO6</f>
        <v>6.9</v>
      </c>
      <c r="AP11" s="349">
        <v>0</v>
      </c>
      <c r="AQ11" s="349">
        <v>0</v>
      </c>
      <c r="AR11" s="350">
        <f>30*AR6</f>
        <v>6.6</v>
      </c>
      <c r="AS11" s="350">
        <v>4</v>
      </c>
      <c r="AT11" s="361"/>
      <c r="AU11" s="176">
        <f>30*AU6</f>
        <v>9.9</v>
      </c>
      <c r="AV11" s="350">
        <f>30*AV6</f>
        <v>5.7</v>
      </c>
      <c r="AW11" s="342" t="s">
        <v>65</v>
      </c>
      <c r="AX11" s="342">
        <v>0</v>
      </c>
      <c r="AY11" s="342" t="s">
        <v>65</v>
      </c>
      <c r="AZ11" s="342">
        <v>0</v>
      </c>
      <c r="BA11" s="342" t="s">
        <v>65</v>
      </c>
      <c r="BB11" s="342" t="s">
        <v>65</v>
      </c>
      <c r="BC11" s="342" t="s">
        <v>65</v>
      </c>
      <c r="BD11" s="514">
        <v>1</v>
      </c>
      <c r="BE11" s="515" t="s">
        <v>169</v>
      </c>
      <c r="BF11" s="514">
        <v>1350</v>
      </c>
      <c r="BG11" s="514">
        <v>1.5</v>
      </c>
      <c r="BH11" s="516" t="s">
        <v>66</v>
      </c>
      <c r="BI11" s="514">
        <v>1260</v>
      </c>
      <c r="BJ11" s="514">
        <v>0</v>
      </c>
      <c r="BK11" s="514" t="s">
        <v>65</v>
      </c>
      <c r="BL11" s="514" t="s">
        <v>65</v>
      </c>
      <c r="BM11" s="514" t="s">
        <v>67</v>
      </c>
      <c r="BN11" s="514" t="s">
        <v>67</v>
      </c>
      <c r="BO11" s="514" t="s">
        <v>67</v>
      </c>
      <c r="BP11" s="514" t="s">
        <v>67</v>
      </c>
      <c r="BQ11" s="513">
        <v>0</v>
      </c>
      <c r="BR11" s="513">
        <v>0</v>
      </c>
      <c r="BS11" s="517" t="s">
        <v>67</v>
      </c>
      <c r="BT11" s="517" t="s">
        <v>175</v>
      </c>
    </row>
    <row r="12" spans="1:72" ht="32.25" thickBot="1" x14ac:dyDescent="0.3">
      <c r="A12" s="50">
        <v>50</v>
      </c>
      <c r="B12" s="529" t="s">
        <v>121</v>
      </c>
      <c r="C12" s="341">
        <v>5</v>
      </c>
      <c r="D12" s="354">
        <v>6</v>
      </c>
      <c r="E12" s="342">
        <v>11</v>
      </c>
      <c r="F12" s="343">
        <v>5</v>
      </c>
      <c r="G12" s="343">
        <v>6</v>
      </c>
      <c r="H12" s="342">
        <v>11</v>
      </c>
      <c r="I12" s="343">
        <v>0</v>
      </c>
      <c r="J12" s="343">
        <v>0</v>
      </c>
      <c r="K12" s="342">
        <v>0</v>
      </c>
      <c r="L12" s="343">
        <v>0</v>
      </c>
      <c r="M12" s="343" t="s">
        <v>65</v>
      </c>
      <c r="N12" s="343">
        <v>0</v>
      </c>
      <c r="O12" s="394">
        <f>SUM(R12,V12,Z12,AM12,AR12,AU12)</f>
        <v>192.90000000000003</v>
      </c>
      <c r="P12" s="394">
        <f>SUM(S12,W12,AA12,AC12,AN12,AV12)</f>
        <v>181.49999999999997</v>
      </c>
      <c r="Q12" s="394">
        <f>SUM(T12,X12,AB12,AD12,AO12)</f>
        <v>33.660000000000004</v>
      </c>
      <c r="R12" s="527">
        <f>30*R8</f>
        <v>64.5</v>
      </c>
      <c r="S12" s="527">
        <f>30*S8</f>
        <v>38.700000000000003</v>
      </c>
      <c r="T12" s="345">
        <f>30*T8</f>
        <v>7.5</v>
      </c>
      <c r="U12" s="345">
        <v>0</v>
      </c>
      <c r="V12" s="528">
        <f>30*V8</f>
        <v>48.300000000000004</v>
      </c>
      <c r="W12" s="528">
        <f>30*W8</f>
        <v>29.099999999999998</v>
      </c>
      <c r="X12" s="528">
        <f>30*X8</f>
        <v>5.7</v>
      </c>
      <c r="Y12" s="346">
        <v>0</v>
      </c>
      <c r="Z12" s="347">
        <f>30*Z8</f>
        <v>15.9</v>
      </c>
      <c r="AA12" s="347">
        <f>30*AA8</f>
        <v>9.6</v>
      </c>
      <c r="AB12" s="347">
        <f>30*AB8</f>
        <v>0.96</v>
      </c>
      <c r="AC12" s="348">
        <f>30*AC8</f>
        <v>64.5</v>
      </c>
      <c r="AD12" s="348">
        <f>30*AD8</f>
        <v>12.9</v>
      </c>
      <c r="AE12" s="342">
        <v>0</v>
      </c>
      <c r="AF12" s="342">
        <v>0</v>
      </c>
      <c r="AG12" s="342">
        <v>1</v>
      </c>
      <c r="AH12" s="342">
        <v>1.6</v>
      </c>
      <c r="AI12" s="342">
        <v>0</v>
      </c>
      <c r="AJ12" s="342">
        <v>0</v>
      </c>
      <c r="AK12" s="342">
        <v>0</v>
      </c>
      <c r="AL12" s="342">
        <v>0</v>
      </c>
      <c r="AM12" s="349">
        <f>30*AM8</f>
        <v>48.300000000000004</v>
      </c>
      <c r="AN12" s="349">
        <f>30*AN8</f>
        <v>33.9</v>
      </c>
      <c r="AO12" s="349">
        <f>30*AO8</f>
        <v>6.6</v>
      </c>
      <c r="AP12" s="349">
        <v>0</v>
      </c>
      <c r="AQ12" s="349">
        <v>0</v>
      </c>
      <c r="AR12" s="350">
        <f>30*AR8</f>
        <v>6.3</v>
      </c>
      <c r="AS12" s="350">
        <v>1</v>
      </c>
      <c r="AT12" s="361"/>
      <c r="AU12" s="350">
        <f>30*AU8</f>
        <v>9.6</v>
      </c>
      <c r="AV12" s="350">
        <f>30*AV8</f>
        <v>5.7</v>
      </c>
      <c r="AW12" s="342" t="s">
        <v>65</v>
      </c>
      <c r="AX12" s="342">
        <v>0</v>
      </c>
      <c r="AY12" s="342" t="s">
        <v>65</v>
      </c>
      <c r="AZ12" s="342">
        <v>0</v>
      </c>
      <c r="BA12" s="342" t="s">
        <v>65</v>
      </c>
      <c r="BB12" s="342" t="s">
        <v>65</v>
      </c>
      <c r="BC12" s="342" t="s">
        <v>67</v>
      </c>
      <c r="BD12" s="514">
        <v>1</v>
      </c>
      <c r="BE12" s="515" t="s">
        <v>170</v>
      </c>
      <c r="BF12" s="514">
        <v>15617.8</v>
      </c>
      <c r="BG12" s="514">
        <v>1.6</v>
      </c>
      <c r="BH12" s="514" t="s">
        <v>72</v>
      </c>
      <c r="BI12" s="514">
        <v>800</v>
      </c>
      <c r="BJ12" s="514">
        <v>0</v>
      </c>
      <c r="BK12" s="514" t="s">
        <v>65</v>
      </c>
      <c r="BL12" s="514" t="s">
        <v>65</v>
      </c>
      <c r="BM12" s="514" t="s">
        <v>67</v>
      </c>
      <c r="BN12" s="514" t="s">
        <v>67</v>
      </c>
      <c r="BO12" s="514" t="s">
        <v>65</v>
      </c>
      <c r="BP12" s="514" t="s">
        <v>65</v>
      </c>
      <c r="BQ12" s="513">
        <v>0</v>
      </c>
      <c r="BR12" s="513">
        <v>0</v>
      </c>
      <c r="BS12" s="518" t="s">
        <v>122</v>
      </c>
      <c r="BT12" s="519">
        <v>0</v>
      </c>
    </row>
    <row r="14" spans="1:72" x14ac:dyDescent="0.25">
      <c r="AR14">
        <v>3</v>
      </c>
    </row>
    <row r="15" spans="1:72" x14ac:dyDescent="0.25">
      <c r="L15" s="575">
        <v>33268</v>
      </c>
      <c r="R15">
        <f>L16*300</f>
        <v>9783900</v>
      </c>
      <c r="AM15">
        <v>15</v>
      </c>
    </row>
    <row r="16" spans="1:72" x14ac:dyDescent="0.25">
      <c r="L16" s="576">
        <v>32613</v>
      </c>
      <c r="R16">
        <f>R15/100*20</f>
        <v>1956780</v>
      </c>
      <c r="S16">
        <f>R16/100*60</f>
        <v>1174068</v>
      </c>
      <c r="T16">
        <f>S16/100*20</f>
        <v>234813.6</v>
      </c>
      <c r="V16">
        <f>R15/100*15</f>
        <v>1467585</v>
      </c>
      <c r="W16">
        <f>V16/100*60</f>
        <v>880551</v>
      </c>
      <c r="X16">
        <f>W16/100*20</f>
        <v>176110.2</v>
      </c>
      <c r="Z16">
        <f>R15/100*5</f>
        <v>489195</v>
      </c>
      <c r="AA16">
        <f>Z16/100*60</f>
        <v>293517</v>
      </c>
      <c r="AB16">
        <f>AA16/100*10</f>
        <v>29351.7</v>
      </c>
      <c r="AC16">
        <f>R15/40*40</f>
        <v>9783900</v>
      </c>
      <c r="AD16">
        <f>AC17/100*20</f>
        <v>391356</v>
      </c>
      <c r="AM16">
        <f>R15/100*15</f>
        <v>1467585</v>
      </c>
      <c r="AN16">
        <f>AM16/100*70</f>
        <v>1027309.5</v>
      </c>
      <c r="AO16">
        <f>AN16/100*20</f>
        <v>205461.9</v>
      </c>
      <c r="AR16">
        <f>R15/100*2</f>
        <v>195678</v>
      </c>
      <c r="AS16">
        <f>AR16/100*60</f>
        <v>117406.8</v>
      </c>
      <c r="AU16">
        <f>R15/100*3</f>
        <v>293517</v>
      </c>
      <c r="AV16">
        <f>AU16/100*60</f>
        <v>176110.2</v>
      </c>
    </row>
    <row r="17" spans="18:29" x14ac:dyDescent="0.25">
      <c r="R17">
        <v>20</v>
      </c>
      <c r="V17">
        <v>15</v>
      </c>
      <c r="Z17">
        <v>5</v>
      </c>
      <c r="AC17">
        <f>AC16/100*20</f>
        <v>1956780</v>
      </c>
    </row>
  </sheetData>
  <mergeCells count="22">
    <mergeCell ref="Z1:AB1"/>
    <mergeCell ref="A1:A3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  <mergeCell ref="BM1:BN1"/>
    <mergeCell ref="BO1:BP1"/>
    <mergeCell ref="BQ1:BR1"/>
    <mergeCell ref="BS1:BT1"/>
    <mergeCell ref="AC1:AD1"/>
    <mergeCell ref="AE1:AL1"/>
    <mergeCell ref="AM1:AQ1"/>
    <mergeCell ref="AR1:AT1"/>
    <mergeCell ref="AU1:BC1"/>
    <mergeCell ref="BD1:BL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2"/>
  <sheetViews>
    <sheetView topLeftCell="A19" workbookViewId="0">
      <selection activeCell="R4" sqref="R4"/>
    </sheetView>
  </sheetViews>
  <sheetFormatPr defaultRowHeight="15" x14ac:dyDescent="0.25"/>
  <cols>
    <col min="2" max="2" width="13.140625" customWidth="1"/>
  </cols>
  <sheetData>
    <row r="1" spans="1:72" ht="15.75" x14ac:dyDescent="0.25">
      <c r="A1" s="1282" t="s">
        <v>0</v>
      </c>
      <c r="B1" s="1285" t="s">
        <v>1</v>
      </c>
      <c r="C1" s="1288" t="s">
        <v>2</v>
      </c>
      <c r="D1" s="1289"/>
      <c r="E1" s="1290"/>
      <c r="F1" s="1288" t="s">
        <v>3</v>
      </c>
      <c r="G1" s="1289"/>
      <c r="H1" s="1290"/>
      <c r="I1" s="1288" t="s">
        <v>4</v>
      </c>
      <c r="J1" s="1289"/>
      <c r="K1" s="1290"/>
      <c r="L1" s="1294" t="s">
        <v>5</v>
      </c>
      <c r="M1" s="1294" t="s">
        <v>6</v>
      </c>
      <c r="N1" s="1294" t="s">
        <v>7</v>
      </c>
      <c r="O1" s="1296" t="s">
        <v>8</v>
      </c>
      <c r="P1" s="1297"/>
      <c r="Q1" s="1298"/>
      <c r="R1" s="1299" t="s">
        <v>9</v>
      </c>
      <c r="S1" s="1300"/>
      <c r="T1" s="1300"/>
      <c r="U1" s="1301"/>
      <c r="V1" s="1302" t="s">
        <v>10</v>
      </c>
      <c r="W1" s="1303"/>
      <c r="X1" s="1303"/>
      <c r="Y1" s="1304"/>
      <c r="Z1" s="1279" t="s">
        <v>11</v>
      </c>
      <c r="AA1" s="1280"/>
      <c r="AB1" s="1281"/>
      <c r="AC1" s="1309" t="s">
        <v>12</v>
      </c>
      <c r="AD1" s="1310"/>
      <c r="AE1" s="1311" t="s">
        <v>13</v>
      </c>
      <c r="AF1" s="1312"/>
      <c r="AG1" s="1312"/>
      <c r="AH1" s="1312"/>
      <c r="AI1" s="1312"/>
      <c r="AJ1" s="1312"/>
      <c r="AK1" s="1312"/>
      <c r="AL1" s="1313"/>
      <c r="AM1" s="1314" t="s">
        <v>99</v>
      </c>
      <c r="AN1" s="1315"/>
      <c r="AO1" s="1315"/>
      <c r="AP1" s="1315"/>
      <c r="AQ1" s="1316"/>
      <c r="AR1" s="1317" t="s">
        <v>100</v>
      </c>
      <c r="AS1" s="1318"/>
      <c r="AT1" s="1319"/>
      <c r="AU1" s="1317" t="s">
        <v>101</v>
      </c>
      <c r="AV1" s="1318"/>
      <c r="AW1" s="1318"/>
      <c r="AX1" s="1318"/>
      <c r="AY1" s="1318"/>
      <c r="AZ1" s="1318"/>
      <c r="BA1" s="1318"/>
      <c r="BB1" s="1318"/>
      <c r="BC1" s="1319"/>
      <c r="BD1" s="1320" t="s">
        <v>14</v>
      </c>
      <c r="BE1" s="1321"/>
      <c r="BF1" s="1321"/>
      <c r="BG1" s="1321"/>
      <c r="BH1" s="1321"/>
      <c r="BI1" s="1321"/>
      <c r="BJ1" s="1321"/>
      <c r="BK1" s="1321"/>
      <c r="BL1" s="1322"/>
      <c r="BM1" s="1305" t="s">
        <v>15</v>
      </c>
      <c r="BN1" s="1306"/>
      <c r="BO1" s="1307" t="s">
        <v>16</v>
      </c>
      <c r="BP1" s="1308"/>
      <c r="BQ1" s="1305" t="s">
        <v>130</v>
      </c>
      <c r="BR1" s="1306"/>
      <c r="BS1" s="1323" t="s">
        <v>171</v>
      </c>
      <c r="BT1" s="1324"/>
    </row>
    <row r="2" spans="1:72" ht="225" x14ac:dyDescent="0.25">
      <c r="A2" s="1283"/>
      <c r="B2" s="1286"/>
      <c r="C2" s="1291"/>
      <c r="D2" s="1292"/>
      <c r="E2" s="1293"/>
      <c r="F2" s="1291"/>
      <c r="G2" s="1292"/>
      <c r="H2" s="1293"/>
      <c r="I2" s="1291"/>
      <c r="J2" s="1292"/>
      <c r="K2" s="1293"/>
      <c r="L2" s="1295"/>
      <c r="M2" s="1295"/>
      <c r="N2" s="1295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570" t="s">
        <v>23</v>
      </c>
      <c r="V2" s="42" t="s">
        <v>24</v>
      </c>
      <c r="W2" s="217" t="s">
        <v>25</v>
      </c>
      <c r="X2" s="218" t="s">
        <v>26</v>
      </c>
      <c r="Y2" s="571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568" t="s">
        <v>105</v>
      </c>
      <c r="AQ2" s="568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569" t="s">
        <v>14</v>
      </c>
      <c r="BE2" s="569" t="s">
        <v>167</v>
      </c>
      <c r="BF2" s="569" t="s">
        <v>39</v>
      </c>
      <c r="BG2" s="569" t="s">
        <v>40</v>
      </c>
      <c r="BH2" s="569" t="s">
        <v>41</v>
      </c>
      <c r="BI2" s="569" t="s">
        <v>42</v>
      </c>
      <c r="BJ2" s="569" t="s">
        <v>43</v>
      </c>
      <c r="BK2" s="569" t="s">
        <v>44</v>
      </c>
      <c r="BL2" s="569" t="s">
        <v>46</v>
      </c>
      <c r="BM2" s="567" t="s">
        <v>47</v>
      </c>
      <c r="BN2" s="567" t="s">
        <v>48</v>
      </c>
      <c r="BO2" s="568" t="s">
        <v>49</v>
      </c>
      <c r="BP2" s="568" t="s">
        <v>50</v>
      </c>
      <c r="BQ2" s="567" t="s">
        <v>131</v>
      </c>
      <c r="BR2" s="567" t="s">
        <v>132</v>
      </c>
      <c r="BS2" s="359" t="s">
        <v>172</v>
      </c>
      <c r="BT2" s="359" t="s">
        <v>173</v>
      </c>
    </row>
    <row r="3" spans="1:72" ht="75" x14ac:dyDescent="0.25">
      <c r="A3" s="1284"/>
      <c r="B3" s="1287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107" t="s">
        <v>54</v>
      </c>
      <c r="BR3" s="107" t="s">
        <v>54</v>
      </c>
      <c r="BS3" s="360" t="s">
        <v>120</v>
      </c>
      <c r="BT3" s="360" t="s">
        <v>174</v>
      </c>
    </row>
    <row r="4" spans="1:72" ht="15.75" x14ac:dyDescent="0.25">
      <c r="A4" s="573">
        <v>1</v>
      </c>
      <c r="B4" s="574">
        <v>2</v>
      </c>
      <c r="C4" s="29">
        <v>3</v>
      </c>
      <c r="D4" s="573">
        <v>4</v>
      </c>
      <c r="E4" s="574">
        <v>5</v>
      </c>
      <c r="F4" s="29">
        <v>6</v>
      </c>
      <c r="G4" s="573">
        <v>7</v>
      </c>
      <c r="H4" s="574">
        <v>8</v>
      </c>
      <c r="I4" s="29">
        <v>9</v>
      </c>
      <c r="J4" s="573">
        <v>10</v>
      </c>
      <c r="K4" s="574">
        <v>11</v>
      </c>
      <c r="L4" s="29">
        <v>12</v>
      </c>
      <c r="M4" s="573">
        <v>13</v>
      </c>
      <c r="N4" s="574">
        <v>14</v>
      </c>
      <c r="O4" s="29">
        <v>15</v>
      </c>
      <c r="P4" s="573">
        <v>16</v>
      </c>
      <c r="Q4" s="574">
        <v>17</v>
      </c>
      <c r="R4" s="29">
        <v>18</v>
      </c>
      <c r="S4" s="573">
        <v>19</v>
      </c>
      <c r="T4" s="574">
        <v>20</v>
      </c>
      <c r="U4" s="29">
        <v>21</v>
      </c>
      <c r="V4" s="573">
        <v>22</v>
      </c>
      <c r="W4" s="574">
        <v>23</v>
      </c>
      <c r="X4" s="29">
        <v>24</v>
      </c>
      <c r="Y4" s="573">
        <v>25</v>
      </c>
      <c r="Z4" s="574">
        <v>26</v>
      </c>
      <c r="AA4" s="29">
        <v>27</v>
      </c>
      <c r="AB4" s="573">
        <v>28</v>
      </c>
      <c r="AC4" s="574">
        <v>29</v>
      </c>
      <c r="AD4" s="29">
        <v>30</v>
      </c>
      <c r="AE4" s="573">
        <v>31</v>
      </c>
      <c r="AF4" s="574">
        <v>32</v>
      </c>
      <c r="AG4" s="29">
        <v>33</v>
      </c>
      <c r="AH4" s="573">
        <v>34</v>
      </c>
      <c r="AI4" s="574">
        <v>35</v>
      </c>
      <c r="AJ4" s="29">
        <v>36</v>
      </c>
      <c r="AK4" s="573">
        <v>37</v>
      </c>
      <c r="AL4" s="574">
        <v>38</v>
      </c>
      <c r="AM4" s="29">
        <v>39</v>
      </c>
      <c r="AN4" s="573">
        <v>40</v>
      </c>
      <c r="AO4" s="574">
        <v>41</v>
      </c>
      <c r="AP4" s="29">
        <v>42</v>
      </c>
      <c r="AQ4" s="573">
        <v>43</v>
      </c>
      <c r="AR4" s="574">
        <v>44</v>
      </c>
      <c r="AS4" s="29">
        <v>45</v>
      </c>
      <c r="AT4" s="573">
        <v>46</v>
      </c>
      <c r="AU4" s="574">
        <v>47</v>
      </c>
      <c r="AV4" s="29">
        <v>48</v>
      </c>
      <c r="AW4" s="573">
        <v>49</v>
      </c>
      <c r="AX4" s="574">
        <v>50</v>
      </c>
      <c r="AY4" s="29">
        <v>51</v>
      </c>
      <c r="AZ4" s="573">
        <v>52</v>
      </c>
      <c r="BA4" s="574">
        <v>53</v>
      </c>
      <c r="BB4" s="29">
        <v>54</v>
      </c>
      <c r="BC4" s="573">
        <v>55</v>
      </c>
      <c r="BD4" s="574">
        <v>56</v>
      </c>
      <c r="BE4" s="29">
        <v>57</v>
      </c>
      <c r="BF4" s="573">
        <v>58</v>
      </c>
      <c r="BG4" s="574">
        <v>59</v>
      </c>
      <c r="BH4" s="29">
        <v>60</v>
      </c>
      <c r="BI4" s="573">
        <v>61</v>
      </c>
      <c r="BJ4" s="574">
        <v>62</v>
      </c>
      <c r="BK4" s="29">
        <v>63</v>
      </c>
      <c r="BL4" s="574">
        <v>65</v>
      </c>
      <c r="BM4" s="29">
        <v>66</v>
      </c>
      <c r="BN4" s="573">
        <v>67</v>
      </c>
      <c r="BO4" s="574">
        <v>68</v>
      </c>
      <c r="BP4" s="29">
        <v>69</v>
      </c>
      <c r="BQ4" s="573">
        <v>70</v>
      </c>
      <c r="BR4" s="574">
        <v>71</v>
      </c>
      <c r="BS4" s="29">
        <v>72</v>
      </c>
      <c r="BT4" s="573">
        <v>73</v>
      </c>
    </row>
    <row r="5" spans="1:72" ht="16.5" thickBot="1" x14ac:dyDescent="0.3">
      <c r="A5" s="572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6667</v>
      </c>
      <c r="P5" s="572">
        <v>6041</v>
      </c>
      <c r="Q5" s="572">
        <v>2703</v>
      </c>
      <c r="R5" s="572">
        <v>2000</v>
      </c>
      <c r="S5" s="572">
        <v>1800</v>
      </c>
      <c r="T5" s="572">
        <v>500</v>
      </c>
      <c r="U5" s="572"/>
      <c r="V5" s="572">
        <v>1500</v>
      </c>
      <c r="W5" s="572">
        <v>1200</v>
      </c>
      <c r="X5" s="572">
        <v>500</v>
      </c>
      <c r="Y5" s="572"/>
      <c r="Z5" s="572">
        <v>1000</v>
      </c>
      <c r="AA5" s="572">
        <v>100</v>
      </c>
      <c r="AB5" s="572">
        <v>15</v>
      </c>
      <c r="AC5" s="572">
        <v>2000</v>
      </c>
      <c r="AD5" s="572">
        <v>500</v>
      </c>
      <c r="AE5" s="339"/>
      <c r="AF5" s="572"/>
      <c r="AG5" s="339"/>
      <c r="AH5" s="572"/>
      <c r="AI5" s="339"/>
      <c r="AJ5" s="572"/>
      <c r="AK5" s="339"/>
      <c r="AL5" s="572"/>
      <c r="AM5" s="572">
        <v>2200</v>
      </c>
      <c r="AN5" s="572">
        <v>1500</v>
      </c>
      <c r="AO5" s="572">
        <v>1350</v>
      </c>
      <c r="AP5" s="339"/>
      <c r="AQ5" s="572"/>
      <c r="AR5" s="572">
        <v>55</v>
      </c>
      <c r="AS5" s="339"/>
      <c r="AT5" s="572"/>
      <c r="AU5" s="572">
        <v>15</v>
      </c>
      <c r="AV5" s="572">
        <v>10</v>
      </c>
      <c r="AW5" s="572"/>
      <c r="AX5" s="572"/>
      <c r="AY5" s="572"/>
      <c r="AZ5" s="572"/>
      <c r="BA5" s="572"/>
      <c r="BB5" s="572"/>
      <c r="BC5" s="572"/>
      <c r="BD5" s="339"/>
      <c r="BE5" s="339"/>
      <c r="BF5" s="339"/>
      <c r="BG5" s="339"/>
      <c r="BH5" s="339"/>
      <c r="BI5" s="572"/>
      <c r="BJ5" s="339"/>
      <c r="BK5" s="572"/>
      <c r="BL5" s="572"/>
      <c r="BM5" s="572"/>
      <c r="BN5" s="572"/>
      <c r="BO5" s="572"/>
      <c r="BP5" s="572"/>
      <c r="BQ5" s="572"/>
      <c r="BR5" s="572"/>
      <c r="BS5" s="188"/>
      <c r="BT5" s="188"/>
    </row>
    <row r="6" spans="1:72" ht="30.75" thickBot="1" x14ac:dyDescent="0.3">
      <c r="A6" s="450">
        <v>60</v>
      </c>
      <c r="B6" s="586" t="s">
        <v>64</v>
      </c>
      <c r="C6" s="539">
        <v>5</v>
      </c>
      <c r="D6" s="539">
        <v>5</v>
      </c>
      <c r="E6" s="540">
        <v>10</v>
      </c>
      <c r="F6" s="511">
        <v>10</v>
      </c>
      <c r="G6" s="511">
        <v>10</v>
      </c>
      <c r="H6" s="540">
        <v>10</v>
      </c>
      <c r="I6" s="511">
        <v>0</v>
      </c>
      <c r="J6" s="511">
        <v>0</v>
      </c>
      <c r="K6" s="540">
        <v>0</v>
      </c>
      <c r="L6" s="541">
        <v>0</v>
      </c>
      <c r="M6" s="541" t="s">
        <v>67</v>
      </c>
      <c r="N6" s="541">
        <v>0</v>
      </c>
      <c r="O6" s="542">
        <v>6.72</v>
      </c>
      <c r="P6" s="542">
        <v>4.12</v>
      </c>
      <c r="Q6" s="542">
        <v>3.23</v>
      </c>
      <c r="R6" s="246">
        <v>2.6</v>
      </c>
      <c r="S6" s="246">
        <v>1.69</v>
      </c>
      <c r="T6" s="246">
        <v>1</v>
      </c>
      <c r="U6" s="246">
        <v>0</v>
      </c>
      <c r="V6" s="543">
        <v>2.08</v>
      </c>
      <c r="W6" s="543">
        <v>1.32</v>
      </c>
      <c r="X6" s="543">
        <v>0.74</v>
      </c>
      <c r="Y6" s="543">
        <v>0</v>
      </c>
      <c r="Z6" s="544">
        <v>0.15</v>
      </c>
      <c r="AA6" s="544">
        <v>7.0000000000000007E-2</v>
      </c>
      <c r="AB6" s="544">
        <v>0.02</v>
      </c>
      <c r="AC6" s="511">
        <v>0.38</v>
      </c>
      <c r="AD6" s="511">
        <v>0.91</v>
      </c>
      <c r="AE6" s="540">
        <v>0</v>
      </c>
      <c r="AF6" s="540">
        <v>0</v>
      </c>
      <c r="AG6" s="540">
        <v>2</v>
      </c>
      <c r="AH6" s="540">
        <v>6</v>
      </c>
      <c r="AI6" s="540">
        <v>0</v>
      </c>
      <c r="AJ6" s="540">
        <v>0</v>
      </c>
      <c r="AK6" s="540">
        <v>0</v>
      </c>
      <c r="AL6" s="540">
        <v>0</v>
      </c>
      <c r="AM6" s="543">
        <v>1.82</v>
      </c>
      <c r="AN6" s="543">
        <v>0.65</v>
      </c>
      <c r="AO6" s="543">
        <v>0.54</v>
      </c>
      <c r="AP6" s="543">
        <v>0</v>
      </c>
      <c r="AQ6" s="543">
        <v>0</v>
      </c>
      <c r="AR6" s="541">
        <v>0.05</v>
      </c>
      <c r="AS6" s="541">
        <v>4</v>
      </c>
      <c r="AT6" s="545"/>
      <c r="AU6" s="541">
        <v>0.02</v>
      </c>
      <c r="AV6" s="541">
        <v>0.01</v>
      </c>
      <c r="AW6" s="541" t="s">
        <v>65</v>
      </c>
      <c r="AX6" s="541">
        <v>0</v>
      </c>
      <c r="AY6" s="541" t="s">
        <v>65</v>
      </c>
      <c r="AZ6" s="541">
        <v>0</v>
      </c>
      <c r="BA6" s="541" t="s">
        <v>65</v>
      </c>
      <c r="BB6" s="492" t="s">
        <v>65</v>
      </c>
      <c r="BC6" s="492" t="s">
        <v>65</v>
      </c>
      <c r="BD6" s="511">
        <v>1</v>
      </c>
      <c r="BE6" s="511" t="s">
        <v>169</v>
      </c>
      <c r="BF6" s="511">
        <v>26756.07</v>
      </c>
      <c r="BG6" s="511">
        <v>1.6</v>
      </c>
      <c r="BH6" s="511" t="s">
        <v>66</v>
      </c>
      <c r="BI6" s="511">
        <v>1450</v>
      </c>
      <c r="BJ6" s="511">
        <v>0</v>
      </c>
      <c r="BK6" s="246" t="s">
        <v>65</v>
      </c>
      <c r="BL6" s="246" t="s">
        <v>65</v>
      </c>
      <c r="BM6" s="496" t="s">
        <v>67</v>
      </c>
      <c r="BN6" s="496" t="s">
        <v>67</v>
      </c>
      <c r="BO6" s="497" t="s">
        <v>67</v>
      </c>
      <c r="BP6" s="497" t="s">
        <v>67</v>
      </c>
      <c r="BQ6" s="246">
        <v>0</v>
      </c>
      <c r="BR6" s="246">
        <v>0</v>
      </c>
      <c r="BS6" s="498" t="s">
        <v>67</v>
      </c>
      <c r="BT6" s="498" t="s">
        <v>175</v>
      </c>
    </row>
    <row r="7" spans="1:72" ht="16.5" thickBot="1" x14ac:dyDescent="0.3">
      <c r="A7" s="572"/>
      <c r="B7" s="351"/>
      <c r="C7" s="181"/>
      <c r="D7" s="181"/>
      <c r="E7" s="339"/>
      <c r="F7" s="339"/>
      <c r="G7" s="339"/>
      <c r="H7" s="339"/>
      <c r="I7" s="339"/>
      <c r="J7" s="339"/>
      <c r="K7" s="339"/>
      <c r="L7" s="339"/>
      <c r="M7" s="339"/>
      <c r="N7" s="339"/>
      <c r="O7" s="339">
        <v>5969</v>
      </c>
      <c r="P7" s="339">
        <v>5053</v>
      </c>
      <c r="Q7" s="339">
        <v>2422</v>
      </c>
      <c r="R7" s="339">
        <v>2200</v>
      </c>
      <c r="S7" s="339">
        <f>R7/100*70</f>
        <v>1540</v>
      </c>
      <c r="T7" s="339">
        <f>S7/100*30</f>
        <v>462</v>
      </c>
      <c r="U7" s="339"/>
      <c r="V7" s="339">
        <v>1800</v>
      </c>
      <c r="W7" s="339">
        <f>V7/100*70</f>
        <v>1260</v>
      </c>
      <c r="X7" s="339">
        <f>W7/100*45</f>
        <v>567</v>
      </c>
      <c r="Y7" s="339"/>
      <c r="Z7" s="339">
        <v>130</v>
      </c>
      <c r="AA7" s="339">
        <f>Z7/100*70</f>
        <v>91</v>
      </c>
      <c r="AB7" s="339">
        <f>AA7/100*20</f>
        <v>18.2</v>
      </c>
      <c r="AC7" s="339">
        <v>2000</v>
      </c>
      <c r="AD7" s="339">
        <v>400</v>
      </c>
      <c r="AE7" s="339"/>
      <c r="AF7" s="339"/>
      <c r="AG7" s="339"/>
      <c r="AH7" s="339"/>
      <c r="AI7" s="339"/>
      <c r="AJ7" s="339"/>
      <c r="AK7" s="339"/>
      <c r="AL7" s="339"/>
      <c r="AM7" s="339">
        <v>1800</v>
      </c>
      <c r="AN7" s="339">
        <f>AM7/100*70</f>
        <v>1260</v>
      </c>
      <c r="AO7" s="339">
        <f>AN7/100*80</f>
        <v>1008</v>
      </c>
      <c r="AP7" s="339"/>
      <c r="AQ7" s="339"/>
      <c r="AR7" s="339">
        <v>20</v>
      </c>
      <c r="AS7" s="339"/>
      <c r="AT7" s="520"/>
      <c r="AU7" s="339">
        <v>30</v>
      </c>
      <c r="AV7" s="339">
        <v>20</v>
      </c>
      <c r="AW7" s="339"/>
      <c r="AX7" s="339"/>
      <c r="AY7" s="339"/>
      <c r="AZ7" s="339"/>
      <c r="BA7" s="339"/>
      <c r="BB7" s="339"/>
      <c r="BC7" s="339"/>
      <c r="BD7" s="521"/>
      <c r="BE7" s="521"/>
      <c r="BF7" s="521"/>
      <c r="BG7" s="521"/>
      <c r="BH7" s="521"/>
      <c r="BI7" s="521"/>
      <c r="BJ7" s="521"/>
      <c r="BK7" s="521"/>
      <c r="BL7" s="521"/>
      <c r="BM7" s="521"/>
      <c r="BN7" s="521"/>
      <c r="BO7" s="521"/>
      <c r="BP7" s="521"/>
      <c r="BQ7" s="522"/>
      <c r="BR7" s="522"/>
      <c r="BS7" s="523"/>
      <c r="BT7" s="523"/>
    </row>
    <row r="8" spans="1:72" ht="30.75" thickBot="1" x14ac:dyDescent="0.3">
      <c r="A8" s="50">
        <v>50</v>
      </c>
      <c r="B8" s="586" t="s">
        <v>121</v>
      </c>
      <c r="C8" s="587">
        <v>5</v>
      </c>
      <c r="D8" s="485">
        <v>6</v>
      </c>
      <c r="E8" s="484">
        <v>11</v>
      </c>
      <c r="F8" s="485">
        <v>5</v>
      </c>
      <c r="G8" s="485">
        <v>6</v>
      </c>
      <c r="H8" s="484">
        <v>11</v>
      </c>
      <c r="I8" s="485">
        <v>0</v>
      </c>
      <c r="J8" s="485">
        <v>0</v>
      </c>
      <c r="K8" s="484">
        <v>0</v>
      </c>
      <c r="L8" s="485">
        <v>0</v>
      </c>
      <c r="M8" s="485" t="s">
        <v>65</v>
      </c>
      <c r="N8" s="485">
        <v>0</v>
      </c>
      <c r="O8" s="486">
        <v>6</v>
      </c>
      <c r="P8" s="486">
        <v>3.96</v>
      </c>
      <c r="Q8" s="486">
        <v>2.29</v>
      </c>
      <c r="R8" s="487">
        <v>2.4300000000000002</v>
      </c>
      <c r="S8" s="487">
        <v>1.39</v>
      </c>
      <c r="T8" s="487">
        <v>0.92</v>
      </c>
      <c r="U8" s="487">
        <v>0</v>
      </c>
      <c r="V8" s="488">
        <v>1.81</v>
      </c>
      <c r="W8" s="488">
        <v>0.94</v>
      </c>
      <c r="X8" s="488">
        <v>0.48</v>
      </c>
      <c r="Y8" s="488">
        <v>0</v>
      </c>
      <c r="Z8" s="489">
        <v>0.1</v>
      </c>
      <c r="AA8" s="489">
        <v>0.03</v>
      </c>
      <c r="AB8" s="489">
        <v>0.02</v>
      </c>
      <c r="AC8" s="490">
        <v>1.22</v>
      </c>
      <c r="AD8" s="490">
        <v>0.61</v>
      </c>
      <c r="AE8" s="484">
        <v>0</v>
      </c>
      <c r="AF8" s="484">
        <v>0</v>
      </c>
      <c r="AG8" s="484">
        <v>1</v>
      </c>
      <c r="AH8" s="484">
        <v>1.6</v>
      </c>
      <c r="AI8" s="484">
        <v>0</v>
      </c>
      <c r="AJ8" s="484">
        <v>0</v>
      </c>
      <c r="AK8" s="484">
        <v>0</v>
      </c>
      <c r="AL8" s="484">
        <v>0</v>
      </c>
      <c r="AM8" s="491">
        <v>1.6</v>
      </c>
      <c r="AN8" s="491">
        <v>0.37</v>
      </c>
      <c r="AO8" s="491">
        <v>0.26</v>
      </c>
      <c r="AP8" s="491">
        <v>0</v>
      </c>
      <c r="AQ8" s="491">
        <v>0</v>
      </c>
      <c r="AR8" s="492">
        <v>0.04</v>
      </c>
      <c r="AS8" s="492">
        <v>1</v>
      </c>
      <c r="AT8" s="493"/>
      <c r="AU8" s="492">
        <v>0.02</v>
      </c>
      <c r="AV8" s="492">
        <v>0.01</v>
      </c>
      <c r="AW8" s="492" t="s">
        <v>65</v>
      </c>
      <c r="AX8" s="492">
        <v>0</v>
      </c>
      <c r="AY8" s="492" t="s">
        <v>65</v>
      </c>
      <c r="AZ8" s="492">
        <v>0</v>
      </c>
      <c r="BA8" s="492" t="s">
        <v>65</v>
      </c>
      <c r="BB8" s="492" t="s">
        <v>65</v>
      </c>
      <c r="BC8" s="492" t="s">
        <v>67</v>
      </c>
      <c r="BD8" s="246">
        <v>1</v>
      </c>
      <c r="BE8" s="494" t="s">
        <v>170</v>
      </c>
      <c r="BF8" s="246">
        <v>15617.8</v>
      </c>
      <c r="BG8" s="495">
        <v>1.6</v>
      </c>
      <c r="BH8" s="246" t="s">
        <v>72</v>
      </c>
      <c r="BI8" s="246">
        <v>820</v>
      </c>
      <c r="BJ8" s="246">
        <v>0</v>
      </c>
      <c r="BK8" s="246" t="s">
        <v>65</v>
      </c>
      <c r="BL8" s="246" t="s">
        <v>65</v>
      </c>
      <c r="BM8" s="496" t="s">
        <v>67</v>
      </c>
      <c r="BN8" s="496" t="s">
        <v>67</v>
      </c>
      <c r="BO8" s="497" t="s">
        <v>65</v>
      </c>
      <c r="BP8" s="497" t="s">
        <v>65</v>
      </c>
      <c r="BQ8" s="246">
        <v>0</v>
      </c>
      <c r="BR8" s="246">
        <v>0</v>
      </c>
      <c r="BS8" s="498" t="s">
        <v>67</v>
      </c>
      <c r="BT8" s="499" t="s">
        <v>178</v>
      </c>
    </row>
    <row r="9" spans="1:72" x14ac:dyDescent="0.25">
      <c r="A9" s="526"/>
      <c r="B9" s="526"/>
      <c r="C9" s="526"/>
      <c r="D9" s="526"/>
      <c r="E9" s="526"/>
      <c r="F9" s="526"/>
      <c r="G9" s="526"/>
      <c r="H9" s="526"/>
      <c r="I9" s="526"/>
      <c r="J9" s="526"/>
      <c r="K9" s="526"/>
      <c r="L9" s="526"/>
      <c r="M9" s="526"/>
      <c r="N9" s="526"/>
      <c r="O9" s="526"/>
      <c r="P9" s="526"/>
      <c r="Q9" s="526"/>
      <c r="R9" s="526"/>
      <c r="S9" s="526"/>
      <c r="T9" s="526"/>
      <c r="U9" s="526"/>
      <c r="V9" s="526"/>
      <c r="W9" s="526"/>
      <c r="X9" s="526"/>
      <c r="Y9" s="526"/>
      <c r="Z9" s="526"/>
      <c r="AA9" s="526"/>
      <c r="AB9" s="526"/>
      <c r="AC9" s="526"/>
      <c r="AD9" s="526"/>
      <c r="AE9" s="526"/>
      <c r="AF9" s="526"/>
      <c r="AG9" s="526"/>
      <c r="AH9" s="526"/>
      <c r="AI9" s="526"/>
      <c r="AJ9" s="526"/>
      <c r="AK9" s="526"/>
      <c r="AL9" s="526"/>
      <c r="AM9" s="526"/>
      <c r="AN9" s="526"/>
      <c r="AO9" s="526"/>
      <c r="AP9" s="526"/>
      <c r="AQ9" s="526"/>
      <c r="AR9" s="526"/>
      <c r="AS9" s="526"/>
      <c r="AT9" s="526"/>
      <c r="AU9" s="526"/>
      <c r="AV9" s="526"/>
      <c r="AW9" s="526"/>
      <c r="AX9" s="526"/>
      <c r="AY9" s="526"/>
      <c r="AZ9" s="526"/>
      <c r="BA9" s="526"/>
      <c r="BB9" s="526"/>
      <c r="BC9" s="526"/>
      <c r="BD9" s="526"/>
      <c r="BE9" s="526"/>
      <c r="BF9" s="526"/>
      <c r="BG9" s="526"/>
      <c r="BH9" s="526"/>
      <c r="BI9" s="526"/>
      <c r="BJ9" s="526"/>
      <c r="BK9" s="526"/>
      <c r="BL9" s="526"/>
      <c r="BM9" s="526"/>
      <c r="BN9" s="526"/>
      <c r="BO9" s="526"/>
      <c r="BP9" s="526"/>
      <c r="BQ9" s="526"/>
      <c r="BR9" s="526"/>
      <c r="BS9" s="526"/>
      <c r="BT9" s="526"/>
    </row>
    <row r="10" spans="1:72" x14ac:dyDescent="0.25">
      <c r="A10" s="526"/>
      <c r="B10" s="526"/>
      <c r="C10" s="526"/>
      <c r="D10" s="526"/>
      <c r="E10" s="526"/>
      <c r="F10" s="526"/>
      <c r="G10" s="526"/>
      <c r="H10" s="526"/>
      <c r="I10" s="526"/>
      <c r="J10" s="526"/>
      <c r="K10" s="526"/>
      <c r="L10" s="526"/>
      <c r="M10" s="526"/>
      <c r="N10" s="526"/>
      <c r="O10" s="526"/>
      <c r="P10" s="526"/>
      <c r="Q10" s="526"/>
      <c r="R10" s="526"/>
      <c r="S10" s="526"/>
      <c r="T10" s="526"/>
      <c r="U10" s="526"/>
      <c r="V10" s="526"/>
      <c r="W10" s="526"/>
      <c r="X10" s="526"/>
      <c r="Y10" s="526"/>
      <c r="Z10" s="526"/>
      <c r="AA10" s="526"/>
      <c r="AB10" s="526"/>
      <c r="AC10" s="526"/>
      <c r="AD10" s="526"/>
      <c r="AE10" s="526"/>
      <c r="AF10" s="526"/>
      <c r="AG10" s="526"/>
      <c r="AH10" s="526"/>
      <c r="AI10" s="526"/>
      <c r="AJ10" s="526"/>
      <c r="AK10" s="526"/>
      <c r="AL10" s="526"/>
      <c r="AM10" s="526"/>
      <c r="AN10" s="526"/>
      <c r="AO10" s="526"/>
      <c r="AP10" s="526"/>
      <c r="AQ10" s="526"/>
      <c r="AR10" s="526"/>
      <c r="AS10" s="526"/>
      <c r="AT10" s="526"/>
      <c r="AU10" s="526"/>
      <c r="AV10" s="526"/>
      <c r="AW10" s="526"/>
      <c r="AX10" s="526"/>
      <c r="AY10" s="526"/>
      <c r="AZ10" s="526"/>
      <c r="BA10" s="526"/>
      <c r="BB10" s="526"/>
      <c r="BC10" s="526"/>
      <c r="BD10" s="526"/>
      <c r="BE10" s="526"/>
      <c r="BF10" s="526"/>
      <c r="BG10" s="526"/>
      <c r="BH10" s="526"/>
      <c r="BI10" s="526"/>
      <c r="BJ10" s="526"/>
      <c r="BK10" s="526"/>
      <c r="BL10" s="526"/>
      <c r="BM10" s="526"/>
      <c r="BN10" s="526"/>
      <c r="BO10" s="526"/>
      <c r="BP10" s="526"/>
      <c r="BQ10" s="526"/>
      <c r="BR10" s="526"/>
      <c r="BS10" s="526"/>
      <c r="BT10" s="526"/>
    </row>
    <row r="11" spans="1:72" ht="32.25" thickBot="1" x14ac:dyDescent="0.3">
      <c r="A11" s="50">
        <v>60</v>
      </c>
      <c r="B11" s="566" t="s">
        <v>161</v>
      </c>
      <c r="C11" s="341">
        <v>5</v>
      </c>
      <c r="D11" s="341">
        <v>5</v>
      </c>
      <c r="E11" s="342">
        <v>10</v>
      </c>
      <c r="F11" s="343">
        <v>10</v>
      </c>
      <c r="G11" s="343">
        <v>10</v>
      </c>
      <c r="H11" s="342">
        <v>10</v>
      </c>
      <c r="I11" s="343">
        <v>0</v>
      </c>
      <c r="J11" s="343">
        <v>0</v>
      </c>
      <c r="K11" s="342">
        <v>0</v>
      </c>
      <c r="L11" s="343">
        <v>0</v>
      </c>
      <c r="M11" s="343" t="s">
        <v>65</v>
      </c>
      <c r="N11" s="343">
        <v>0</v>
      </c>
      <c r="O11" s="394">
        <f>SUM(R11,V11,Z11,AM11,AR11,AU11)</f>
        <v>201.6</v>
      </c>
      <c r="P11" s="394">
        <f>SUM(S11,W11,AA11,AC11,AN11,AV11)</f>
        <v>123.6</v>
      </c>
      <c r="Q11" s="394">
        <f>SUM(T11,X11,AB11,AD11,AO11)</f>
        <v>96.300000000000011</v>
      </c>
      <c r="R11" s="527">
        <f>30*R6</f>
        <v>78</v>
      </c>
      <c r="S11" s="527">
        <f>30*S6</f>
        <v>50.699999999999996</v>
      </c>
      <c r="T11" s="527">
        <f>30*T6</f>
        <v>30</v>
      </c>
      <c r="U11" s="345">
        <v>0</v>
      </c>
      <c r="V11" s="346">
        <f>30*V6</f>
        <v>62.400000000000006</v>
      </c>
      <c r="W11" s="528">
        <f>30*W6</f>
        <v>39.6</v>
      </c>
      <c r="X11" s="528">
        <f>30*X6</f>
        <v>22.2</v>
      </c>
      <c r="Y11" s="346">
        <v>0</v>
      </c>
      <c r="Z11" s="347">
        <f>30*Z6</f>
        <v>4.5</v>
      </c>
      <c r="AA11" s="347">
        <f>30*AA6</f>
        <v>2.1</v>
      </c>
      <c r="AB11" s="347">
        <f>30*AB6</f>
        <v>0.6</v>
      </c>
      <c r="AC11" s="348">
        <f>30*AC6</f>
        <v>11.4</v>
      </c>
      <c r="AD11" s="348">
        <f>30*AD6</f>
        <v>27.3</v>
      </c>
      <c r="AE11" s="342">
        <v>0</v>
      </c>
      <c r="AF11" s="342">
        <v>0</v>
      </c>
      <c r="AG11" s="342">
        <v>2</v>
      </c>
      <c r="AH11" s="342">
        <v>6</v>
      </c>
      <c r="AI11" s="342">
        <v>0</v>
      </c>
      <c r="AJ11" s="342">
        <v>0</v>
      </c>
      <c r="AK11" s="342">
        <v>0</v>
      </c>
      <c r="AL11" s="342">
        <v>0</v>
      </c>
      <c r="AM11" s="349">
        <f>30*AM6</f>
        <v>54.6</v>
      </c>
      <c r="AN11" s="349">
        <f>30*AN6</f>
        <v>19.5</v>
      </c>
      <c r="AO11" s="349">
        <f>30*AO6</f>
        <v>16.200000000000003</v>
      </c>
      <c r="AP11" s="349">
        <v>0</v>
      </c>
      <c r="AQ11" s="349">
        <v>0</v>
      </c>
      <c r="AR11" s="350">
        <f>30*AR6</f>
        <v>1.5</v>
      </c>
      <c r="AS11" s="350">
        <v>4</v>
      </c>
      <c r="AT11" s="361"/>
      <c r="AU11" s="176">
        <f>30*AU6</f>
        <v>0.6</v>
      </c>
      <c r="AV11" s="350">
        <f>30*AV6</f>
        <v>0.3</v>
      </c>
      <c r="AW11" s="342" t="s">
        <v>65</v>
      </c>
      <c r="AX11" s="342">
        <v>0</v>
      </c>
      <c r="AY11" s="342" t="s">
        <v>65</v>
      </c>
      <c r="AZ11" s="342">
        <v>0</v>
      </c>
      <c r="BA11" s="342" t="s">
        <v>65</v>
      </c>
      <c r="BB11" s="342" t="s">
        <v>65</v>
      </c>
      <c r="BC11" s="342" t="s">
        <v>65</v>
      </c>
      <c r="BD11" s="514">
        <v>1</v>
      </c>
      <c r="BE11" s="515" t="s">
        <v>169</v>
      </c>
      <c r="BF11" s="514">
        <v>1350</v>
      </c>
      <c r="BG11" s="514">
        <v>1.5</v>
      </c>
      <c r="BH11" s="516" t="s">
        <v>66</v>
      </c>
      <c r="BI11" s="514">
        <v>1260</v>
      </c>
      <c r="BJ11" s="514">
        <v>0</v>
      </c>
      <c r="BK11" s="514" t="s">
        <v>65</v>
      </c>
      <c r="BL11" s="514" t="s">
        <v>65</v>
      </c>
      <c r="BM11" s="514" t="s">
        <v>67</v>
      </c>
      <c r="BN11" s="514" t="s">
        <v>67</v>
      </c>
      <c r="BO11" s="514" t="s">
        <v>67</v>
      </c>
      <c r="BP11" s="514" t="s">
        <v>67</v>
      </c>
      <c r="BQ11" s="513">
        <v>0</v>
      </c>
      <c r="BR11" s="513">
        <v>0</v>
      </c>
      <c r="BS11" s="517" t="s">
        <v>67</v>
      </c>
      <c r="BT11" s="517" t="s">
        <v>175</v>
      </c>
    </row>
    <row r="12" spans="1:72" ht="32.25" thickBot="1" x14ac:dyDescent="0.3">
      <c r="A12" s="50">
        <v>50</v>
      </c>
      <c r="B12" s="566" t="s">
        <v>121</v>
      </c>
      <c r="C12" s="341">
        <v>5</v>
      </c>
      <c r="D12" s="354">
        <v>6</v>
      </c>
      <c r="E12" s="342">
        <v>11</v>
      </c>
      <c r="F12" s="343">
        <v>5</v>
      </c>
      <c r="G12" s="343">
        <v>6</v>
      </c>
      <c r="H12" s="342">
        <v>11</v>
      </c>
      <c r="I12" s="343">
        <v>0</v>
      </c>
      <c r="J12" s="343">
        <v>0</v>
      </c>
      <c r="K12" s="342">
        <v>0</v>
      </c>
      <c r="L12" s="343">
        <v>0</v>
      </c>
      <c r="M12" s="343" t="s">
        <v>65</v>
      </c>
      <c r="N12" s="343">
        <v>0</v>
      </c>
      <c r="O12" s="394">
        <f>SUM(R12,V12,Z12,AM12,AR12,AU12)</f>
        <v>180</v>
      </c>
      <c r="P12" s="394">
        <f>SUM(S12,W12,AA12,AC12,AN12,AV12)</f>
        <v>118.8</v>
      </c>
      <c r="Q12" s="394">
        <f>SUM(T12,X12,AB12,AD12,AO12)</f>
        <v>68.7</v>
      </c>
      <c r="R12" s="527">
        <f>30*R8</f>
        <v>72.900000000000006</v>
      </c>
      <c r="S12" s="527">
        <f>30*S8</f>
        <v>41.699999999999996</v>
      </c>
      <c r="T12" s="345">
        <f>30*T8</f>
        <v>27.6</v>
      </c>
      <c r="U12" s="345">
        <v>0</v>
      </c>
      <c r="V12" s="528">
        <f>30*V8</f>
        <v>54.300000000000004</v>
      </c>
      <c r="W12" s="528">
        <f>30*W8</f>
        <v>28.2</v>
      </c>
      <c r="X12" s="528">
        <f>30*X8</f>
        <v>14.399999999999999</v>
      </c>
      <c r="Y12" s="346">
        <v>0</v>
      </c>
      <c r="Z12" s="347">
        <f>30*Z8</f>
        <v>3</v>
      </c>
      <c r="AA12" s="347">
        <f>30*AA8</f>
        <v>0.89999999999999991</v>
      </c>
      <c r="AB12" s="347">
        <f>30*AB8</f>
        <v>0.6</v>
      </c>
      <c r="AC12" s="348">
        <f>30*AC8</f>
        <v>36.6</v>
      </c>
      <c r="AD12" s="348">
        <f>30*AD8</f>
        <v>18.3</v>
      </c>
      <c r="AE12" s="342">
        <v>0</v>
      </c>
      <c r="AF12" s="342">
        <v>0</v>
      </c>
      <c r="AG12" s="342">
        <v>1</v>
      </c>
      <c r="AH12" s="342">
        <v>1.6</v>
      </c>
      <c r="AI12" s="342">
        <v>0</v>
      </c>
      <c r="AJ12" s="342">
        <v>0</v>
      </c>
      <c r="AK12" s="342">
        <v>0</v>
      </c>
      <c r="AL12" s="342">
        <v>0</v>
      </c>
      <c r="AM12" s="349">
        <f>30*AM8</f>
        <v>48</v>
      </c>
      <c r="AN12" s="349">
        <f>30*AN8</f>
        <v>11.1</v>
      </c>
      <c r="AO12" s="349">
        <f>30*AO8</f>
        <v>7.8000000000000007</v>
      </c>
      <c r="AP12" s="349">
        <v>0</v>
      </c>
      <c r="AQ12" s="349">
        <v>0</v>
      </c>
      <c r="AR12" s="350">
        <f>30*AR8</f>
        <v>1.2</v>
      </c>
      <c r="AS12" s="350">
        <v>1</v>
      </c>
      <c r="AT12" s="361"/>
      <c r="AU12" s="350">
        <f>30*AU8</f>
        <v>0.6</v>
      </c>
      <c r="AV12" s="350">
        <f>30*AV8</f>
        <v>0.3</v>
      </c>
      <c r="AW12" s="342" t="s">
        <v>65</v>
      </c>
      <c r="AX12" s="342">
        <v>0</v>
      </c>
      <c r="AY12" s="342" t="s">
        <v>65</v>
      </c>
      <c r="AZ12" s="342">
        <v>0</v>
      </c>
      <c r="BA12" s="342" t="s">
        <v>65</v>
      </c>
      <c r="BB12" s="342" t="s">
        <v>65</v>
      </c>
      <c r="BC12" s="342" t="s">
        <v>67</v>
      </c>
      <c r="BD12" s="514">
        <v>1</v>
      </c>
      <c r="BE12" s="515" t="s">
        <v>170</v>
      </c>
      <c r="BF12" s="514">
        <v>15617.8</v>
      </c>
      <c r="BG12" s="514">
        <v>1.6</v>
      </c>
      <c r="BH12" s="514" t="s">
        <v>72</v>
      </c>
      <c r="BI12" s="514">
        <v>800</v>
      </c>
      <c r="BJ12" s="514">
        <v>0</v>
      </c>
      <c r="BK12" s="514" t="s">
        <v>65</v>
      </c>
      <c r="BL12" s="514" t="s">
        <v>65</v>
      </c>
      <c r="BM12" s="514" t="s">
        <v>67</v>
      </c>
      <c r="BN12" s="514" t="s">
        <v>67</v>
      </c>
      <c r="BO12" s="514" t="s">
        <v>65</v>
      </c>
      <c r="BP12" s="514" t="s">
        <v>65</v>
      </c>
      <c r="BQ12" s="513">
        <v>0</v>
      </c>
      <c r="BR12" s="513">
        <v>0</v>
      </c>
      <c r="BS12" s="518" t="s">
        <v>122</v>
      </c>
      <c r="BT12" s="519">
        <v>0</v>
      </c>
    </row>
  </sheetData>
  <mergeCells count="22">
    <mergeCell ref="BM1:BN1"/>
    <mergeCell ref="BO1:BP1"/>
    <mergeCell ref="BQ1:BR1"/>
    <mergeCell ref="BS1:BT1"/>
    <mergeCell ref="AC1:AD1"/>
    <mergeCell ref="AE1:AL1"/>
    <mergeCell ref="AM1:AQ1"/>
    <mergeCell ref="AR1:AT1"/>
    <mergeCell ref="AU1:BC1"/>
    <mergeCell ref="BD1:BL1"/>
    <mergeCell ref="Z1:AB1"/>
    <mergeCell ref="A1:A3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</mergeCells>
  <pageMargins left="0.7" right="0.7" top="0.75" bottom="0.75" header="0.3" footer="0.3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6"/>
  <sheetViews>
    <sheetView topLeftCell="L4" zoomScale="115" zoomScaleNormal="115" workbookViewId="0">
      <selection activeCell="V14" sqref="V14"/>
    </sheetView>
  </sheetViews>
  <sheetFormatPr defaultRowHeight="15" x14ac:dyDescent="0.25"/>
  <cols>
    <col min="58" max="58" width="17.5703125" customWidth="1"/>
  </cols>
  <sheetData>
    <row r="1" spans="1:72" ht="15.75" x14ac:dyDescent="0.25">
      <c r="A1" s="1282" t="s">
        <v>0</v>
      </c>
      <c r="B1" s="1285" t="s">
        <v>1</v>
      </c>
      <c r="C1" s="1288" t="s">
        <v>2</v>
      </c>
      <c r="D1" s="1289"/>
      <c r="E1" s="1290"/>
      <c r="F1" s="1288" t="s">
        <v>3</v>
      </c>
      <c r="G1" s="1289"/>
      <c r="H1" s="1290"/>
      <c r="I1" s="1288" t="s">
        <v>4</v>
      </c>
      <c r="J1" s="1289"/>
      <c r="K1" s="1290"/>
      <c r="L1" s="1294" t="s">
        <v>5</v>
      </c>
      <c r="M1" s="1294" t="s">
        <v>6</v>
      </c>
      <c r="N1" s="1294" t="s">
        <v>7</v>
      </c>
      <c r="O1" s="1296" t="s">
        <v>8</v>
      </c>
      <c r="P1" s="1297"/>
      <c r="Q1" s="1298"/>
      <c r="R1" s="1299" t="s">
        <v>9</v>
      </c>
      <c r="S1" s="1300"/>
      <c r="T1" s="1300"/>
      <c r="U1" s="1301"/>
      <c r="V1" s="1302" t="s">
        <v>10</v>
      </c>
      <c r="W1" s="1303"/>
      <c r="X1" s="1303"/>
      <c r="Y1" s="1304"/>
      <c r="Z1" s="1279" t="s">
        <v>11</v>
      </c>
      <c r="AA1" s="1280"/>
      <c r="AB1" s="1281"/>
      <c r="AC1" s="1309" t="s">
        <v>12</v>
      </c>
      <c r="AD1" s="1310"/>
      <c r="AE1" s="1311" t="s">
        <v>13</v>
      </c>
      <c r="AF1" s="1312"/>
      <c r="AG1" s="1312"/>
      <c r="AH1" s="1312"/>
      <c r="AI1" s="1312"/>
      <c r="AJ1" s="1312"/>
      <c r="AK1" s="1312"/>
      <c r="AL1" s="1313"/>
      <c r="AM1" s="1314" t="s">
        <v>99</v>
      </c>
      <c r="AN1" s="1315"/>
      <c r="AO1" s="1315"/>
      <c r="AP1" s="1315"/>
      <c r="AQ1" s="1316"/>
      <c r="AR1" s="1317" t="s">
        <v>100</v>
      </c>
      <c r="AS1" s="1318"/>
      <c r="AT1" s="1319"/>
      <c r="AU1" s="1317" t="s">
        <v>101</v>
      </c>
      <c r="AV1" s="1318"/>
      <c r="AW1" s="1318"/>
      <c r="AX1" s="1318"/>
      <c r="AY1" s="1318"/>
      <c r="AZ1" s="1318"/>
      <c r="BA1" s="1318"/>
      <c r="BB1" s="1318"/>
      <c r="BC1" s="1319"/>
      <c r="BD1" s="1320" t="s">
        <v>14</v>
      </c>
      <c r="BE1" s="1321"/>
      <c r="BF1" s="1321"/>
      <c r="BG1" s="1321"/>
      <c r="BH1" s="1321"/>
      <c r="BI1" s="1321"/>
      <c r="BJ1" s="1321"/>
      <c r="BK1" s="1321"/>
      <c r="BL1" s="1322"/>
      <c r="BM1" s="1305" t="s">
        <v>15</v>
      </c>
      <c r="BN1" s="1306"/>
      <c r="BO1" s="1307" t="s">
        <v>16</v>
      </c>
      <c r="BP1" s="1308"/>
      <c r="BQ1" s="1305" t="s">
        <v>130</v>
      </c>
      <c r="BR1" s="1306"/>
      <c r="BS1" s="1323" t="s">
        <v>171</v>
      </c>
      <c r="BT1" s="1324"/>
    </row>
    <row r="2" spans="1:72" ht="225" x14ac:dyDescent="0.25">
      <c r="A2" s="1283"/>
      <c r="B2" s="1286"/>
      <c r="C2" s="1291"/>
      <c r="D2" s="1292"/>
      <c r="E2" s="1293"/>
      <c r="F2" s="1291"/>
      <c r="G2" s="1292"/>
      <c r="H2" s="1293"/>
      <c r="I2" s="1291"/>
      <c r="J2" s="1292"/>
      <c r="K2" s="1293"/>
      <c r="L2" s="1295"/>
      <c r="M2" s="1295"/>
      <c r="N2" s="1295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578" t="s">
        <v>23</v>
      </c>
      <c r="V2" s="42" t="s">
        <v>24</v>
      </c>
      <c r="W2" s="217" t="s">
        <v>25</v>
      </c>
      <c r="X2" s="218" t="s">
        <v>26</v>
      </c>
      <c r="Y2" s="579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581" t="s">
        <v>105</v>
      </c>
      <c r="AQ2" s="581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582" t="s">
        <v>14</v>
      </c>
      <c r="BE2" s="582" t="s">
        <v>167</v>
      </c>
      <c r="BF2" s="582" t="s">
        <v>39</v>
      </c>
      <c r="BG2" s="582" t="s">
        <v>40</v>
      </c>
      <c r="BH2" s="582" t="s">
        <v>41</v>
      </c>
      <c r="BI2" s="582" t="s">
        <v>42</v>
      </c>
      <c r="BJ2" s="582" t="s">
        <v>43</v>
      </c>
      <c r="BK2" s="582" t="s">
        <v>44</v>
      </c>
      <c r="BL2" s="582" t="s">
        <v>46</v>
      </c>
      <c r="BM2" s="580" t="s">
        <v>47</v>
      </c>
      <c r="BN2" s="580" t="s">
        <v>48</v>
      </c>
      <c r="BO2" s="581" t="s">
        <v>49</v>
      </c>
      <c r="BP2" s="581" t="s">
        <v>50</v>
      </c>
      <c r="BQ2" s="580" t="s">
        <v>131</v>
      </c>
      <c r="BR2" s="580" t="s">
        <v>132</v>
      </c>
      <c r="BS2" s="359" t="s">
        <v>172</v>
      </c>
      <c r="BT2" s="359" t="s">
        <v>173</v>
      </c>
    </row>
    <row r="3" spans="1:72" ht="75" x14ac:dyDescent="0.25">
      <c r="A3" s="1284"/>
      <c r="B3" s="1287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107" t="s">
        <v>54</v>
      </c>
      <c r="BR3" s="107" t="s">
        <v>54</v>
      </c>
      <c r="BS3" s="360" t="s">
        <v>120</v>
      </c>
      <c r="BT3" s="360" t="s">
        <v>174</v>
      </c>
    </row>
    <row r="4" spans="1:72" ht="15.75" x14ac:dyDescent="0.25">
      <c r="A4" s="583">
        <v>1</v>
      </c>
      <c r="B4" s="584">
        <v>2</v>
      </c>
      <c r="C4" s="29">
        <v>3</v>
      </c>
      <c r="D4" s="583">
        <v>4</v>
      </c>
      <c r="E4" s="584">
        <v>5</v>
      </c>
      <c r="F4" s="29">
        <v>6</v>
      </c>
      <c r="G4" s="583">
        <v>7</v>
      </c>
      <c r="H4" s="584">
        <v>8</v>
      </c>
      <c r="I4" s="29">
        <v>9</v>
      </c>
      <c r="J4" s="583">
        <v>10</v>
      </c>
      <c r="K4" s="584">
        <v>11</v>
      </c>
      <c r="L4" s="29">
        <v>12</v>
      </c>
      <c r="M4" s="583">
        <v>13</v>
      </c>
      <c r="N4" s="584">
        <v>14</v>
      </c>
      <c r="O4" s="29">
        <v>15</v>
      </c>
      <c r="P4" s="583">
        <v>16</v>
      </c>
      <c r="Q4" s="584">
        <v>17</v>
      </c>
      <c r="R4" s="29">
        <v>18</v>
      </c>
      <c r="S4" s="583">
        <v>19</v>
      </c>
      <c r="T4" s="584">
        <v>20</v>
      </c>
      <c r="U4" s="29">
        <v>21</v>
      </c>
      <c r="V4" s="583">
        <v>22</v>
      </c>
      <c r="W4" s="584">
        <v>23</v>
      </c>
      <c r="X4" s="29">
        <v>24</v>
      </c>
      <c r="Y4" s="583">
        <v>25</v>
      </c>
      <c r="Z4" s="584">
        <v>26</v>
      </c>
      <c r="AA4" s="29">
        <v>27</v>
      </c>
      <c r="AB4" s="583">
        <v>28</v>
      </c>
      <c r="AC4" s="584">
        <v>29</v>
      </c>
      <c r="AD4" s="29">
        <v>30</v>
      </c>
      <c r="AE4" s="583">
        <v>31</v>
      </c>
      <c r="AF4" s="584">
        <v>32</v>
      </c>
      <c r="AG4" s="29">
        <v>33</v>
      </c>
      <c r="AH4" s="583">
        <v>34</v>
      </c>
      <c r="AI4" s="584">
        <v>35</v>
      </c>
      <c r="AJ4" s="29">
        <v>36</v>
      </c>
      <c r="AK4" s="583">
        <v>37</v>
      </c>
      <c r="AL4" s="584">
        <v>38</v>
      </c>
      <c r="AM4" s="29">
        <v>39</v>
      </c>
      <c r="AN4" s="583">
        <v>40</v>
      </c>
      <c r="AO4" s="584">
        <v>41</v>
      </c>
      <c r="AP4" s="29">
        <v>42</v>
      </c>
      <c r="AQ4" s="583">
        <v>43</v>
      </c>
      <c r="AR4" s="584">
        <v>44</v>
      </c>
      <c r="AS4" s="29">
        <v>45</v>
      </c>
      <c r="AT4" s="583">
        <v>46</v>
      </c>
      <c r="AU4" s="584">
        <v>47</v>
      </c>
      <c r="AV4" s="29">
        <v>48</v>
      </c>
      <c r="AW4" s="583">
        <v>49</v>
      </c>
      <c r="AX4" s="584">
        <v>50</v>
      </c>
      <c r="AY4" s="29">
        <v>51</v>
      </c>
      <c r="AZ4" s="583">
        <v>52</v>
      </c>
      <c r="BA4" s="584">
        <v>53</v>
      </c>
      <c r="BB4" s="29">
        <v>54</v>
      </c>
      <c r="BC4" s="583">
        <v>55</v>
      </c>
      <c r="BD4" s="584">
        <v>56</v>
      </c>
      <c r="BE4" s="29">
        <v>57</v>
      </c>
      <c r="BF4" s="583">
        <v>58</v>
      </c>
      <c r="BG4" s="584">
        <v>59</v>
      </c>
      <c r="BH4" s="29">
        <v>60</v>
      </c>
      <c r="BI4" s="583">
        <v>61</v>
      </c>
      <c r="BJ4" s="584">
        <v>62</v>
      </c>
      <c r="BK4" s="29">
        <v>63</v>
      </c>
      <c r="BL4" s="584">
        <v>65</v>
      </c>
      <c r="BM4" s="29">
        <v>66</v>
      </c>
      <c r="BN4" s="583">
        <v>67</v>
      </c>
      <c r="BO4" s="584">
        <v>68</v>
      </c>
      <c r="BP4" s="29">
        <v>69</v>
      </c>
      <c r="BQ4" s="583">
        <v>70</v>
      </c>
      <c r="BR4" s="584">
        <v>71</v>
      </c>
      <c r="BS4" s="29">
        <v>72</v>
      </c>
      <c r="BT4" s="583">
        <v>73</v>
      </c>
    </row>
    <row r="5" spans="1:72" ht="15.75" x14ac:dyDescent="0.25">
      <c r="A5" s="585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8.59</v>
      </c>
      <c r="P5" s="585"/>
      <c r="Q5" s="585"/>
      <c r="R5" s="585">
        <v>40</v>
      </c>
      <c r="S5" s="585">
        <v>70</v>
      </c>
      <c r="T5" s="585">
        <v>25</v>
      </c>
      <c r="U5" s="585"/>
      <c r="V5" s="585">
        <v>30</v>
      </c>
      <c r="W5" s="585">
        <v>70</v>
      </c>
      <c r="X5" s="585">
        <v>25</v>
      </c>
      <c r="Y5" s="585"/>
      <c r="Z5" s="585">
        <v>5</v>
      </c>
      <c r="AA5" s="585">
        <v>70</v>
      </c>
      <c r="AB5" s="585">
        <v>25</v>
      </c>
      <c r="AC5" s="585">
        <v>10</v>
      </c>
      <c r="AD5" s="585">
        <v>20</v>
      </c>
      <c r="AE5" s="339"/>
      <c r="AF5" s="585"/>
      <c r="AG5" s="339"/>
      <c r="AH5" s="585"/>
      <c r="AI5" s="339"/>
      <c r="AJ5" s="585"/>
      <c r="AK5" s="339"/>
      <c r="AL5" s="585"/>
      <c r="AM5" s="585">
        <v>10</v>
      </c>
      <c r="AN5" s="585">
        <v>1500</v>
      </c>
      <c r="AO5" s="585">
        <v>1350</v>
      </c>
      <c r="AP5" s="339"/>
      <c r="AQ5" s="585"/>
      <c r="AR5" s="585">
        <v>2</v>
      </c>
      <c r="AS5" s="339"/>
      <c r="AT5" s="585"/>
      <c r="AU5" s="585">
        <v>3</v>
      </c>
      <c r="AV5" s="585">
        <v>70</v>
      </c>
      <c r="AW5" s="585"/>
      <c r="AX5" s="585"/>
      <c r="AY5" s="585"/>
      <c r="AZ5" s="585"/>
      <c r="BA5" s="585"/>
      <c r="BB5" s="585"/>
      <c r="BC5" s="585"/>
      <c r="BD5" s="339"/>
      <c r="BE5" s="339"/>
      <c r="BF5" s="339"/>
      <c r="BG5" s="339"/>
      <c r="BH5" s="339"/>
      <c r="BI5" s="585"/>
      <c r="BJ5" s="339"/>
      <c r="BK5" s="585"/>
      <c r="BL5" s="585"/>
      <c r="BM5" s="585"/>
      <c r="BN5" s="585"/>
      <c r="BO5" s="585"/>
      <c r="BP5" s="585"/>
      <c r="BQ5" s="585"/>
      <c r="BR5" s="585"/>
      <c r="BS5" s="188"/>
      <c r="BT5" s="188"/>
    </row>
    <row r="6" spans="1:72" ht="31.5" x14ac:dyDescent="0.25">
      <c r="A6" s="450">
        <v>60</v>
      </c>
      <c r="B6" s="451" t="s">
        <v>161</v>
      </c>
      <c r="C6" s="479">
        <v>5</v>
      </c>
      <c r="D6" s="479">
        <v>5</v>
      </c>
      <c r="E6" s="395">
        <v>10</v>
      </c>
      <c r="F6" s="480">
        <v>10</v>
      </c>
      <c r="G6" s="480">
        <v>10</v>
      </c>
      <c r="H6" s="395">
        <v>10</v>
      </c>
      <c r="I6" s="480">
        <v>1</v>
      </c>
      <c r="J6" s="480">
        <v>0</v>
      </c>
      <c r="K6" s="395">
        <v>1</v>
      </c>
      <c r="L6" s="480">
        <v>0</v>
      </c>
      <c r="M6" s="480" t="s">
        <v>122</v>
      </c>
      <c r="N6" s="480">
        <v>0</v>
      </c>
      <c r="O6" s="438">
        <f>SUM(R6,V6,Z6,AM6,AR6,AU6)</f>
        <v>7.7399999999999993</v>
      </c>
      <c r="P6" s="438">
        <f>SUM(S6,W6,AA6,AC6,AN6,AV6)</f>
        <v>6.1590000000000016</v>
      </c>
      <c r="Q6" s="438">
        <f>SUM(T6,X6,AB6,AD6,AO6)</f>
        <v>1.4512500000000002</v>
      </c>
      <c r="R6" s="453">
        <v>3.44</v>
      </c>
      <c r="S6" s="453">
        <f>R6/100*70</f>
        <v>2.4079999999999999</v>
      </c>
      <c r="T6" s="453">
        <f>S6/100*25</f>
        <v>0.60199999999999998</v>
      </c>
      <c r="U6" s="453">
        <v>0</v>
      </c>
      <c r="V6" s="454">
        <v>2.58</v>
      </c>
      <c r="W6" s="454">
        <f>V6/100*70</f>
        <v>1.806</v>
      </c>
      <c r="X6" s="454">
        <f>W6/100*25</f>
        <v>0.45150000000000001</v>
      </c>
      <c r="Y6" s="454">
        <v>0</v>
      </c>
      <c r="Z6" s="455">
        <v>0.43</v>
      </c>
      <c r="AA6" s="455">
        <f>Z6/100*70</f>
        <v>0.30099999999999999</v>
      </c>
      <c r="AB6" s="455">
        <f>AA6/100*25</f>
        <v>7.5249999999999997E-2</v>
      </c>
      <c r="AC6" s="456">
        <v>0.86</v>
      </c>
      <c r="AD6" s="456">
        <f>AC6/100*20</f>
        <v>0.17199999999999999</v>
      </c>
      <c r="AE6" s="395">
        <v>0</v>
      </c>
      <c r="AF6" s="395">
        <v>0</v>
      </c>
      <c r="AG6" s="395">
        <v>2</v>
      </c>
      <c r="AH6" s="395">
        <v>6</v>
      </c>
      <c r="AI6" s="395">
        <v>0</v>
      </c>
      <c r="AJ6" s="395">
        <v>0</v>
      </c>
      <c r="AK6" s="395">
        <v>0</v>
      </c>
      <c r="AL6" s="395">
        <v>0</v>
      </c>
      <c r="AM6" s="457">
        <v>0.86</v>
      </c>
      <c r="AN6" s="457">
        <f>AM6/100*70</f>
        <v>0.60199999999999998</v>
      </c>
      <c r="AO6" s="457">
        <f>AN6/100*25</f>
        <v>0.15049999999999999</v>
      </c>
      <c r="AP6" s="457">
        <v>0</v>
      </c>
      <c r="AQ6" s="457">
        <v>0</v>
      </c>
      <c r="AR6" s="458">
        <v>0.17</v>
      </c>
      <c r="AS6" s="469">
        <v>4</v>
      </c>
      <c r="AT6" s="459"/>
      <c r="AU6" s="460">
        <v>0.26</v>
      </c>
      <c r="AV6" s="458">
        <f>AU6/100*70</f>
        <v>0.182</v>
      </c>
      <c r="AW6" s="458" t="s">
        <v>65</v>
      </c>
      <c r="AX6" s="458">
        <v>0</v>
      </c>
      <c r="AY6" s="458" t="s">
        <v>65</v>
      </c>
      <c r="AZ6" s="458">
        <v>0</v>
      </c>
      <c r="BA6" s="458" t="s">
        <v>65</v>
      </c>
      <c r="BB6" s="458" t="s">
        <v>65</v>
      </c>
      <c r="BC6" s="458" t="s">
        <v>65</v>
      </c>
      <c r="BD6" s="461">
        <v>1</v>
      </c>
      <c r="BE6" s="462" t="s">
        <v>169</v>
      </c>
      <c r="BF6" s="461">
        <v>26756.07</v>
      </c>
      <c r="BG6" s="461">
        <v>1.6</v>
      </c>
      <c r="BH6" s="463" t="s">
        <v>66</v>
      </c>
      <c r="BI6" s="461">
        <v>1450</v>
      </c>
      <c r="BJ6" s="461">
        <v>0</v>
      </c>
      <c r="BK6" s="461" t="s">
        <v>65</v>
      </c>
      <c r="BL6" s="461" t="s">
        <v>65</v>
      </c>
      <c r="BM6" s="464" t="s">
        <v>67</v>
      </c>
      <c r="BN6" s="464" t="s">
        <v>67</v>
      </c>
      <c r="BO6" s="465" t="s">
        <v>67</v>
      </c>
      <c r="BP6" s="465" t="s">
        <v>67</v>
      </c>
      <c r="BQ6" s="466">
        <v>0</v>
      </c>
      <c r="BR6" s="466">
        <v>0</v>
      </c>
      <c r="BS6" s="467" t="s">
        <v>67</v>
      </c>
      <c r="BT6" s="467" t="s">
        <v>175</v>
      </c>
    </row>
    <row r="7" spans="1:72" ht="31.5" x14ac:dyDescent="0.25">
      <c r="A7" s="50">
        <v>50</v>
      </c>
      <c r="B7" s="577" t="s">
        <v>121</v>
      </c>
      <c r="C7" s="341">
        <v>5</v>
      </c>
      <c r="D7" s="354">
        <v>6</v>
      </c>
      <c r="E7" s="342">
        <v>11</v>
      </c>
      <c r="F7" s="343">
        <v>5</v>
      </c>
      <c r="G7" s="343">
        <v>6</v>
      </c>
      <c r="H7" s="342">
        <v>11</v>
      </c>
      <c r="I7" s="343">
        <v>1</v>
      </c>
      <c r="J7" s="343">
        <v>0</v>
      </c>
      <c r="K7" s="342">
        <v>1</v>
      </c>
      <c r="L7" s="343">
        <v>0</v>
      </c>
      <c r="M7" s="343" t="s">
        <v>65</v>
      </c>
      <c r="N7" s="343">
        <v>0</v>
      </c>
      <c r="O7" s="438">
        <f>SUM(R7,V7,Z7,AM7,AR7,AU7)</f>
        <v>8.09</v>
      </c>
      <c r="P7" s="438">
        <f>SUM(S7,W7,AA7,AC7,AN7,AV7)</f>
        <v>6.4370000000000012</v>
      </c>
      <c r="Q7" s="438">
        <f>SUM(T7,X7,AB7,AD7,AO7)</f>
        <v>1.5170000000000001</v>
      </c>
      <c r="R7" s="345">
        <v>3.59</v>
      </c>
      <c r="S7" s="453">
        <f>R7/100*70</f>
        <v>2.5129999999999999</v>
      </c>
      <c r="T7" s="453">
        <f>S7/100*25</f>
        <v>0.62824999999999998</v>
      </c>
      <c r="U7" s="345">
        <v>0</v>
      </c>
      <c r="V7" s="346">
        <v>2.7</v>
      </c>
      <c r="W7" s="454">
        <f>V7/100*70</f>
        <v>1.8900000000000001</v>
      </c>
      <c r="X7" s="454">
        <f>W7/100*25</f>
        <v>0.47250000000000003</v>
      </c>
      <c r="Y7" s="346">
        <v>0</v>
      </c>
      <c r="Z7" s="347">
        <v>0.45</v>
      </c>
      <c r="AA7" s="455">
        <f>Z7/100*70</f>
        <v>0.31500000000000006</v>
      </c>
      <c r="AB7" s="455">
        <f>AA7/100*25</f>
        <v>7.8750000000000014E-2</v>
      </c>
      <c r="AC7" s="348">
        <v>0.9</v>
      </c>
      <c r="AD7" s="456">
        <f>AC7/100*20</f>
        <v>0.18000000000000002</v>
      </c>
      <c r="AE7" s="342">
        <v>0</v>
      </c>
      <c r="AF7" s="342">
        <v>0</v>
      </c>
      <c r="AG7" s="342">
        <v>1</v>
      </c>
      <c r="AH7" s="342">
        <v>1.6</v>
      </c>
      <c r="AI7" s="342">
        <v>0</v>
      </c>
      <c r="AJ7" s="342">
        <v>0</v>
      </c>
      <c r="AK7" s="342">
        <v>0</v>
      </c>
      <c r="AL7" s="342">
        <v>0</v>
      </c>
      <c r="AM7" s="349">
        <v>0.9</v>
      </c>
      <c r="AN7" s="457">
        <f>AM7/100*70</f>
        <v>0.63000000000000012</v>
      </c>
      <c r="AO7" s="457">
        <f>AN7/100*25</f>
        <v>0.15750000000000003</v>
      </c>
      <c r="AP7" s="349">
        <v>0</v>
      </c>
      <c r="AQ7" s="349">
        <v>0</v>
      </c>
      <c r="AR7" s="350">
        <v>0.18</v>
      </c>
      <c r="AS7" s="350">
        <v>1</v>
      </c>
      <c r="AT7" s="361"/>
      <c r="AU7" s="350">
        <v>0.27</v>
      </c>
      <c r="AV7" s="458">
        <f>AU7/100*70</f>
        <v>0.189</v>
      </c>
      <c r="AW7" s="350" t="s">
        <v>65</v>
      </c>
      <c r="AX7" s="350">
        <v>0</v>
      </c>
      <c r="AY7" s="350" t="s">
        <v>65</v>
      </c>
      <c r="AZ7" s="350">
        <v>0</v>
      </c>
      <c r="BA7" s="350" t="s">
        <v>65</v>
      </c>
      <c r="BB7" s="350" t="s">
        <v>65</v>
      </c>
      <c r="BC7" s="350" t="s">
        <v>67</v>
      </c>
      <c r="BD7" s="362">
        <v>1</v>
      </c>
      <c r="BE7" s="372" t="s">
        <v>170</v>
      </c>
      <c r="BF7" s="362">
        <v>15617.8</v>
      </c>
      <c r="BG7" s="368">
        <v>1.6</v>
      </c>
      <c r="BH7" s="362" t="s">
        <v>72</v>
      </c>
      <c r="BI7" s="362">
        <v>820</v>
      </c>
      <c r="BJ7" s="362">
        <v>0</v>
      </c>
      <c r="BK7" s="362" t="s">
        <v>65</v>
      </c>
      <c r="BL7" s="362" t="s">
        <v>65</v>
      </c>
      <c r="BM7" s="363" t="s">
        <v>67</v>
      </c>
      <c r="BN7" s="363" t="s">
        <v>67</v>
      </c>
      <c r="BO7" s="364" t="s">
        <v>65</v>
      </c>
      <c r="BP7" s="364" t="s">
        <v>65</v>
      </c>
      <c r="BQ7" s="66">
        <v>0</v>
      </c>
      <c r="BR7" s="66">
        <v>0</v>
      </c>
      <c r="BS7" s="467" t="s">
        <v>67</v>
      </c>
      <c r="BT7" s="467" t="s">
        <v>197</v>
      </c>
    </row>
    <row r="8" spans="1:72" x14ac:dyDescent="0.25">
      <c r="A8" s="526"/>
      <c r="B8" s="526"/>
      <c r="C8" s="526"/>
      <c r="D8" s="526"/>
      <c r="E8" s="526"/>
      <c r="F8" s="526"/>
      <c r="G8" s="526"/>
      <c r="H8" s="526"/>
      <c r="I8" s="526"/>
      <c r="J8" s="526"/>
      <c r="K8" s="526"/>
      <c r="L8" s="526"/>
      <c r="M8" s="526"/>
      <c r="N8" s="526"/>
      <c r="O8" s="526"/>
      <c r="P8" s="526"/>
      <c r="Q8" s="526"/>
      <c r="R8" s="526"/>
      <c r="S8" s="526"/>
      <c r="T8" s="526"/>
      <c r="U8" s="526"/>
      <c r="V8" s="526"/>
      <c r="W8" s="526"/>
      <c r="X8" s="526"/>
      <c r="Y8" s="526"/>
      <c r="Z8" s="526"/>
      <c r="AA8" s="526"/>
      <c r="AB8" s="526"/>
      <c r="AC8" s="526"/>
      <c r="AD8" s="526"/>
      <c r="AE8" s="526"/>
      <c r="AF8" s="526"/>
      <c r="AG8" s="526"/>
      <c r="AH8" s="526"/>
      <c r="AI8" s="526"/>
      <c r="AJ8" s="526"/>
      <c r="AK8" s="526"/>
      <c r="AL8" s="526"/>
      <c r="AM8" s="526"/>
      <c r="AN8" s="526"/>
      <c r="AO8" s="526"/>
      <c r="AP8" s="526"/>
      <c r="AQ8" s="526"/>
      <c r="AR8" s="526"/>
      <c r="AS8" s="526"/>
      <c r="AT8" s="526"/>
      <c r="AU8" s="526"/>
      <c r="AV8" s="526"/>
      <c r="AW8" s="526"/>
      <c r="AX8" s="526"/>
      <c r="AY8" s="526"/>
      <c r="AZ8" s="526"/>
      <c r="BA8" s="526"/>
      <c r="BB8" s="526"/>
      <c r="BC8" s="526"/>
      <c r="BD8" s="526"/>
      <c r="BE8" s="526"/>
      <c r="BF8" s="526"/>
      <c r="BG8" s="526"/>
      <c r="BH8" s="526"/>
      <c r="BI8" s="526"/>
      <c r="BJ8" s="526"/>
      <c r="BK8" s="526"/>
      <c r="BL8" s="526"/>
      <c r="BM8" s="526"/>
      <c r="BN8" s="526"/>
      <c r="BO8" s="526"/>
      <c r="BP8" s="526"/>
      <c r="BQ8" s="526"/>
      <c r="BR8" s="526"/>
      <c r="BS8" s="526"/>
      <c r="BT8" s="526"/>
    </row>
    <row r="9" spans="1:72" ht="32.25" thickBot="1" x14ac:dyDescent="0.3">
      <c r="A9" s="50">
        <v>60</v>
      </c>
      <c r="B9" s="577" t="s">
        <v>161</v>
      </c>
      <c r="C9" s="341">
        <v>5</v>
      </c>
      <c r="D9" s="341">
        <v>5</v>
      </c>
      <c r="E9" s="342">
        <v>10</v>
      </c>
      <c r="F9" s="343">
        <v>10</v>
      </c>
      <c r="G9" s="343">
        <v>10</v>
      </c>
      <c r="H9" s="342">
        <v>10</v>
      </c>
      <c r="I9" s="343">
        <v>1</v>
      </c>
      <c r="J9" s="343">
        <v>0</v>
      </c>
      <c r="K9" s="342">
        <v>1</v>
      </c>
      <c r="L9" s="343">
        <v>0</v>
      </c>
      <c r="M9" s="343" t="s">
        <v>65</v>
      </c>
      <c r="N9" s="343">
        <v>0</v>
      </c>
      <c r="O9" s="394">
        <f>SUM(R9,V9,Z9,AM9,AR9,AU9)</f>
        <v>232.20000000000005</v>
      </c>
      <c r="P9" s="394">
        <f>SUM(S9,W9,AA9,AC9,AN9,AV9)</f>
        <v>184.77</v>
      </c>
      <c r="Q9" s="394">
        <f>SUM(T9,X9,AB9,AD9,AO9)</f>
        <v>43.537499999999994</v>
      </c>
      <c r="R9" s="527">
        <f t="shared" ref="R9:T10" si="0">30*R6</f>
        <v>103.2</v>
      </c>
      <c r="S9" s="527">
        <f t="shared" si="0"/>
        <v>72.239999999999995</v>
      </c>
      <c r="T9" s="527">
        <f t="shared" si="0"/>
        <v>18.059999999999999</v>
      </c>
      <c r="U9" s="345">
        <v>0</v>
      </c>
      <c r="V9" s="346">
        <f t="shared" ref="V9:X10" si="1">30*V6</f>
        <v>77.400000000000006</v>
      </c>
      <c r="W9" s="528">
        <f t="shared" si="1"/>
        <v>54.18</v>
      </c>
      <c r="X9" s="528">
        <f t="shared" si="1"/>
        <v>13.545</v>
      </c>
      <c r="Y9" s="346">
        <v>0</v>
      </c>
      <c r="Z9" s="347">
        <f t="shared" ref="Z9:AD10" si="2">30*Z6</f>
        <v>12.9</v>
      </c>
      <c r="AA9" s="347">
        <f t="shared" si="2"/>
        <v>9.0299999999999994</v>
      </c>
      <c r="AB9" s="347">
        <f t="shared" si="2"/>
        <v>2.2574999999999998</v>
      </c>
      <c r="AC9" s="348">
        <f t="shared" si="2"/>
        <v>25.8</v>
      </c>
      <c r="AD9" s="348">
        <f t="shared" si="2"/>
        <v>5.1599999999999993</v>
      </c>
      <c r="AE9" s="342">
        <v>0</v>
      </c>
      <c r="AF9" s="342">
        <v>0</v>
      </c>
      <c r="AG9" s="342">
        <v>2</v>
      </c>
      <c r="AH9" s="342">
        <v>6</v>
      </c>
      <c r="AI9" s="342">
        <v>0</v>
      </c>
      <c r="AJ9" s="342">
        <v>0</v>
      </c>
      <c r="AK9" s="342">
        <v>0</v>
      </c>
      <c r="AL9" s="342">
        <v>0</v>
      </c>
      <c r="AM9" s="349">
        <f t="shared" ref="AM9:AO10" si="3">30*AM6</f>
        <v>25.8</v>
      </c>
      <c r="AN9" s="349">
        <f t="shared" si="3"/>
        <v>18.059999999999999</v>
      </c>
      <c r="AO9" s="349">
        <f t="shared" si="3"/>
        <v>4.5149999999999997</v>
      </c>
      <c r="AP9" s="349">
        <v>0</v>
      </c>
      <c r="AQ9" s="349">
        <v>0</v>
      </c>
      <c r="AR9" s="350">
        <f>30*AR6</f>
        <v>5.1000000000000005</v>
      </c>
      <c r="AS9" s="350">
        <v>4</v>
      </c>
      <c r="AT9" s="361"/>
      <c r="AU9" s="176">
        <f>30*AU6</f>
        <v>7.8000000000000007</v>
      </c>
      <c r="AV9" s="350">
        <f>30*AV6</f>
        <v>5.46</v>
      </c>
      <c r="AW9" s="342" t="s">
        <v>65</v>
      </c>
      <c r="AX9" s="342">
        <v>0</v>
      </c>
      <c r="AY9" s="342" t="s">
        <v>65</v>
      </c>
      <c r="AZ9" s="342">
        <v>0</v>
      </c>
      <c r="BA9" s="342" t="s">
        <v>65</v>
      </c>
      <c r="BB9" s="342" t="s">
        <v>65</v>
      </c>
      <c r="BC9" s="342" t="s">
        <v>65</v>
      </c>
      <c r="BD9" s="514">
        <v>1</v>
      </c>
      <c r="BE9" s="515" t="s">
        <v>169</v>
      </c>
      <c r="BF9" s="514">
        <v>1350</v>
      </c>
      <c r="BG9" s="514">
        <v>1.5</v>
      </c>
      <c r="BH9" s="516" t="s">
        <v>66</v>
      </c>
      <c r="BI9" s="514">
        <v>1260</v>
      </c>
      <c r="BJ9" s="514">
        <v>0</v>
      </c>
      <c r="BK9" s="514" t="s">
        <v>65</v>
      </c>
      <c r="BL9" s="514" t="s">
        <v>65</v>
      </c>
      <c r="BM9" s="514" t="s">
        <v>67</v>
      </c>
      <c r="BN9" s="514" t="s">
        <v>67</v>
      </c>
      <c r="BO9" s="514" t="s">
        <v>67</v>
      </c>
      <c r="BP9" s="514" t="s">
        <v>67</v>
      </c>
      <c r="BQ9" s="513">
        <v>0</v>
      </c>
      <c r="BR9" s="513">
        <v>0</v>
      </c>
      <c r="BS9" s="517" t="s">
        <v>67</v>
      </c>
      <c r="BT9" s="517" t="s">
        <v>175</v>
      </c>
    </row>
    <row r="10" spans="1:72" ht="32.25" thickBot="1" x14ac:dyDescent="0.3">
      <c r="A10" s="50">
        <v>50</v>
      </c>
      <c r="B10" s="577" t="s">
        <v>121</v>
      </c>
      <c r="C10" s="341">
        <v>5</v>
      </c>
      <c r="D10" s="354">
        <v>6</v>
      </c>
      <c r="E10" s="342">
        <v>11</v>
      </c>
      <c r="F10" s="343">
        <v>5</v>
      </c>
      <c r="G10" s="343">
        <v>6</v>
      </c>
      <c r="H10" s="342">
        <v>11</v>
      </c>
      <c r="I10" s="343">
        <v>1</v>
      </c>
      <c r="J10" s="343">
        <v>0</v>
      </c>
      <c r="K10" s="342">
        <v>1</v>
      </c>
      <c r="L10" s="343">
        <v>0</v>
      </c>
      <c r="M10" s="343" t="s">
        <v>65</v>
      </c>
      <c r="N10" s="343">
        <v>0</v>
      </c>
      <c r="O10" s="394">
        <f>SUM(R10,V10,Z10,AM10,AR10,AU10)</f>
        <v>242.7</v>
      </c>
      <c r="P10" s="394">
        <f>SUM(S10,W10,AA10,AC10,AN10,AV10)</f>
        <v>193.10999999999999</v>
      </c>
      <c r="Q10" s="394">
        <f>SUM(T10,X10,AB10,AD10,AO10)</f>
        <v>45.51</v>
      </c>
      <c r="R10" s="527">
        <f t="shared" si="0"/>
        <v>107.69999999999999</v>
      </c>
      <c r="S10" s="527">
        <f t="shared" si="0"/>
        <v>75.39</v>
      </c>
      <c r="T10" s="345">
        <f t="shared" si="0"/>
        <v>18.8475</v>
      </c>
      <c r="U10" s="345">
        <v>0</v>
      </c>
      <c r="V10" s="528">
        <f t="shared" si="1"/>
        <v>81</v>
      </c>
      <c r="W10" s="528">
        <f t="shared" si="1"/>
        <v>56.7</v>
      </c>
      <c r="X10" s="528">
        <f t="shared" si="1"/>
        <v>14.175000000000001</v>
      </c>
      <c r="Y10" s="346">
        <v>0</v>
      </c>
      <c r="Z10" s="347">
        <f t="shared" si="2"/>
        <v>13.5</v>
      </c>
      <c r="AA10" s="347">
        <f t="shared" si="2"/>
        <v>9.4500000000000011</v>
      </c>
      <c r="AB10" s="347">
        <f t="shared" si="2"/>
        <v>2.3625000000000003</v>
      </c>
      <c r="AC10" s="348">
        <f t="shared" si="2"/>
        <v>27</v>
      </c>
      <c r="AD10" s="348">
        <f t="shared" si="2"/>
        <v>5.4</v>
      </c>
      <c r="AE10" s="342">
        <v>0</v>
      </c>
      <c r="AF10" s="342">
        <v>0</v>
      </c>
      <c r="AG10" s="342">
        <v>1</v>
      </c>
      <c r="AH10" s="342">
        <v>1.6</v>
      </c>
      <c r="AI10" s="342">
        <v>0</v>
      </c>
      <c r="AJ10" s="342">
        <v>0</v>
      </c>
      <c r="AK10" s="342">
        <v>0</v>
      </c>
      <c r="AL10" s="342">
        <v>0</v>
      </c>
      <c r="AM10" s="349">
        <f t="shared" si="3"/>
        <v>27</v>
      </c>
      <c r="AN10" s="349">
        <f t="shared" si="3"/>
        <v>18.900000000000002</v>
      </c>
      <c r="AO10" s="349">
        <f t="shared" si="3"/>
        <v>4.7250000000000005</v>
      </c>
      <c r="AP10" s="349">
        <v>0</v>
      </c>
      <c r="AQ10" s="349">
        <v>0</v>
      </c>
      <c r="AR10" s="350">
        <f>30*AR7</f>
        <v>5.3999999999999995</v>
      </c>
      <c r="AS10" s="350">
        <v>1</v>
      </c>
      <c r="AT10" s="361"/>
      <c r="AU10" s="350">
        <f>30*AU7</f>
        <v>8.1000000000000014</v>
      </c>
      <c r="AV10" s="350">
        <f>30*AV7</f>
        <v>5.67</v>
      </c>
      <c r="AW10" s="342" t="s">
        <v>65</v>
      </c>
      <c r="AX10" s="342">
        <v>0</v>
      </c>
      <c r="AY10" s="342" t="s">
        <v>65</v>
      </c>
      <c r="AZ10" s="342">
        <v>0</v>
      </c>
      <c r="BA10" s="342" t="s">
        <v>65</v>
      </c>
      <c r="BB10" s="342" t="s">
        <v>65</v>
      </c>
      <c r="BC10" s="342" t="s">
        <v>67</v>
      </c>
      <c r="BD10" s="514">
        <v>1</v>
      </c>
      <c r="BE10" s="515" t="s">
        <v>170</v>
      </c>
      <c r="BF10" s="514">
        <v>15617.8</v>
      </c>
      <c r="BG10" s="514">
        <v>1.6</v>
      </c>
      <c r="BH10" s="514" t="s">
        <v>72</v>
      </c>
      <c r="BI10" s="514">
        <v>800</v>
      </c>
      <c r="BJ10" s="514">
        <v>0</v>
      </c>
      <c r="BK10" s="514" t="s">
        <v>65</v>
      </c>
      <c r="BL10" s="514" t="s">
        <v>65</v>
      </c>
      <c r="BM10" s="514" t="s">
        <v>67</v>
      </c>
      <c r="BN10" s="514" t="s">
        <v>67</v>
      </c>
      <c r="BO10" s="514" t="s">
        <v>65</v>
      </c>
      <c r="BP10" s="514" t="s">
        <v>65</v>
      </c>
      <c r="BQ10" s="513">
        <v>0</v>
      </c>
      <c r="BR10" s="513">
        <v>0</v>
      </c>
      <c r="BS10" s="518" t="s">
        <v>122</v>
      </c>
      <c r="BT10" s="519">
        <v>0</v>
      </c>
    </row>
    <row r="13" spans="1:72" x14ac:dyDescent="0.25">
      <c r="O13" s="1140" t="s">
        <v>196</v>
      </c>
      <c r="P13" s="1375"/>
      <c r="Q13" s="1375"/>
      <c r="R13" s="1141"/>
      <c r="T13" s="1140" t="s">
        <v>121</v>
      </c>
      <c r="U13" s="1375"/>
      <c r="V13" s="1375"/>
      <c r="W13" s="1141"/>
      <c r="X13" s="590"/>
      <c r="Y13" s="590"/>
    </row>
    <row r="14" spans="1:72" x14ac:dyDescent="0.25">
      <c r="O14" s="1127" t="s">
        <v>192</v>
      </c>
      <c r="P14" s="1128"/>
      <c r="Q14" s="591">
        <v>31179</v>
      </c>
      <c r="R14" s="591"/>
      <c r="T14" s="1127" t="s">
        <v>192</v>
      </c>
      <c r="U14" s="1128"/>
      <c r="V14" s="591">
        <v>32613</v>
      </c>
      <c r="W14" s="591"/>
      <c r="X14" s="589"/>
      <c r="Y14" s="589"/>
    </row>
    <row r="15" spans="1:72" x14ac:dyDescent="0.25">
      <c r="O15" s="1127" t="s">
        <v>193</v>
      </c>
      <c r="P15" s="1128"/>
      <c r="Q15" s="591">
        <v>250</v>
      </c>
      <c r="R15" s="591" t="s">
        <v>194</v>
      </c>
      <c r="T15" s="1127" t="s">
        <v>193</v>
      </c>
      <c r="U15" s="1128"/>
      <c r="V15" s="591">
        <v>300</v>
      </c>
      <c r="W15" s="591" t="s">
        <v>194</v>
      </c>
      <c r="X15" s="589"/>
      <c r="Y15" s="589"/>
    </row>
    <row r="16" spans="1:72" ht="15" customHeight="1" x14ac:dyDescent="0.25">
      <c r="O16" s="1127" t="s">
        <v>195</v>
      </c>
      <c r="P16" s="1128"/>
      <c r="Q16" s="596">
        <f>Q14*Q15/907200</f>
        <v>8.59209656084656</v>
      </c>
      <c r="R16" s="591"/>
      <c r="T16" s="1127" t="s">
        <v>195</v>
      </c>
      <c r="U16" s="1128"/>
      <c r="V16" s="596">
        <f>V14*V15/907200</f>
        <v>10.784722222222221</v>
      </c>
      <c r="W16" s="591"/>
      <c r="X16" s="594"/>
      <c r="Y16" s="589"/>
    </row>
    <row r="17" spans="8:25" ht="15" customHeight="1" x14ac:dyDescent="0.25">
      <c r="O17" s="1132" t="s">
        <v>9</v>
      </c>
      <c r="P17" s="1133"/>
      <c r="Q17" s="592">
        <f>Q16/100*40</f>
        <v>3.4368386243386242</v>
      </c>
      <c r="R17" s="591">
        <v>40</v>
      </c>
      <c r="T17" s="1132" t="s">
        <v>9</v>
      </c>
      <c r="U17" s="1133"/>
      <c r="V17" s="592">
        <f>V16/100*40</f>
        <v>4.3138888888888891</v>
      </c>
      <c r="W17" s="591">
        <v>40</v>
      </c>
      <c r="X17" s="595"/>
      <c r="Y17" s="589"/>
    </row>
    <row r="18" spans="8:25" ht="15" customHeight="1" x14ac:dyDescent="0.25">
      <c r="O18" s="1132" t="s">
        <v>10</v>
      </c>
      <c r="P18" s="1133"/>
      <c r="Q18" s="592">
        <f>Q16/100*30</f>
        <v>2.5776289682539679</v>
      </c>
      <c r="R18" s="591">
        <v>30</v>
      </c>
      <c r="T18" s="1132" t="s">
        <v>10</v>
      </c>
      <c r="U18" s="1133"/>
      <c r="V18" s="592">
        <f>V16/100*30</f>
        <v>3.2354166666666666</v>
      </c>
      <c r="W18" s="591">
        <v>30</v>
      </c>
      <c r="X18" s="595"/>
      <c r="Y18" s="589"/>
    </row>
    <row r="19" spans="8:25" ht="15" customHeight="1" x14ac:dyDescent="0.25">
      <c r="I19" s="588"/>
      <c r="O19" s="1132" t="s">
        <v>11</v>
      </c>
      <c r="P19" s="1133"/>
      <c r="Q19" s="592">
        <f>Q16/100*5</f>
        <v>0.42960482804232802</v>
      </c>
      <c r="R19" s="591">
        <v>5</v>
      </c>
      <c r="T19" s="1132" t="s">
        <v>11</v>
      </c>
      <c r="U19" s="1133"/>
      <c r="V19" s="592">
        <f>V16/100*5</f>
        <v>0.53923611111111114</v>
      </c>
      <c r="W19" s="591">
        <v>5</v>
      </c>
      <c r="X19" s="595"/>
      <c r="Y19" s="589"/>
    </row>
    <row r="20" spans="8:25" ht="15" customHeight="1" x14ac:dyDescent="0.25">
      <c r="H20" s="589"/>
      <c r="I20" s="589"/>
      <c r="J20" s="589"/>
      <c r="K20" s="589"/>
      <c r="L20" s="589"/>
      <c r="O20" s="1132" t="s">
        <v>12</v>
      </c>
      <c r="P20" s="1133"/>
      <c r="Q20" s="592">
        <f>Q16/100*10</f>
        <v>0.85920965608465605</v>
      </c>
      <c r="R20" s="591">
        <v>10</v>
      </c>
      <c r="T20" s="1132" t="s">
        <v>12</v>
      </c>
      <c r="U20" s="1133"/>
      <c r="V20" s="592">
        <f>V16/100*10</f>
        <v>1.0784722222222223</v>
      </c>
      <c r="W20" s="591">
        <v>10</v>
      </c>
      <c r="X20" s="594"/>
      <c r="Y20" s="589"/>
    </row>
    <row r="21" spans="8:25" ht="15" customHeight="1" x14ac:dyDescent="0.25">
      <c r="H21" s="589"/>
      <c r="I21" s="590"/>
      <c r="J21" s="589"/>
      <c r="K21" s="589"/>
      <c r="L21" s="589"/>
      <c r="O21" s="1132" t="s">
        <v>99</v>
      </c>
      <c r="P21" s="1133"/>
      <c r="Q21" s="592">
        <f>Q16/100*10</f>
        <v>0.85920965608465605</v>
      </c>
      <c r="R21" s="591">
        <v>10</v>
      </c>
      <c r="T21" s="1132" t="s">
        <v>99</v>
      </c>
      <c r="U21" s="1133"/>
      <c r="V21" s="592">
        <f>V16/100*10</f>
        <v>1.0784722222222223</v>
      </c>
      <c r="W21" s="591">
        <v>10</v>
      </c>
      <c r="X21" s="595"/>
      <c r="Y21" s="589"/>
    </row>
    <row r="22" spans="8:25" ht="15" customHeight="1" x14ac:dyDescent="0.25">
      <c r="H22" s="589"/>
      <c r="I22" s="589"/>
      <c r="J22" s="589"/>
      <c r="K22" s="589"/>
      <c r="L22" s="589"/>
      <c r="O22" s="1132" t="s">
        <v>100</v>
      </c>
      <c r="P22" s="1133"/>
      <c r="Q22" s="592">
        <f>Q16/100*2</f>
        <v>0.1718419312169312</v>
      </c>
      <c r="R22" s="591">
        <v>2</v>
      </c>
      <c r="T22" s="1132" t="s">
        <v>100</v>
      </c>
      <c r="U22" s="1133"/>
      <c r="V22" s="592">
        <f>V16/100*2</f>
        <v>0.21569444444444444</v>
      </c>
      <c r="W22" s="591">
        <v>2</v>
      </c>
      <c r="X22" s="595"/>
      <c r="Y22" s="589"/>
    </row>
    <row r="23" spans="8:25" x14ac:dyDescent="0.25">
      <c r="H23" s="589"/>
      <c r="I23" s="589"/>
      <c r="J23" s="589"/>
      <c r="K23" s="589"/>
      <c r="L23" s="589"/>
      <c r="O23" s="1132" t="s">
        <v>101</v>
      </c>
      <c r="P23" s="1133"/>
      <c r="Q23" s="592">
        <f>Q16/100*3</f>
        <v>0.25776289682539677</v>
      </c>
      <c r="R23" s="591">
        <v>3</v>
      </c>
      <c r="T23" s="1132" t="s">
        <v>101</v>
      </c>
      <c r="U23" s="1133"/>
      <c r="V23" s="592">
        <f>V16/100*3</f>
        <v>0.32354166666666667</v>
      </c>
      <c r="W23" s="591">
        <v>3</v>
      </c>
      <c r="X23" s="594"/>
      <c r="Y23" s="589"/>
    </row>
    <row r="24" spans="8:25" x14ac:dyDescent="0.25">
      <c r="H24" s="589"/>
      <c r="I24" s="589"/>
      <c r="J24" s="589"/>
      <c r="K24" s="589"/>
      <c r="L24" s="589"/>
      <c r="O24" s="1140" t="s">
        <v>89</v>
      </c>
      <c r="P24" s="1141"/>
      <c r="Q24" s="591">
        <f>SUM(Q17:Q23)</f>
        <v>8.5920965608465618</v>
      </c>
      <c r="R24" s="591">
        <f>SUM(R17:R23)</f>
        <v>100</v>
      </c>
      <c r="T24" s="1140" t="s">
        <v>89</v>
      </c>
      <c r="U24" s="1141"/>
      <c r="V24" s="591">
        <f>SUM(V17:V23)</f>
        <v>10.784722222222223</v>
      </c>
      <c r="W24" s="591">
        <f>SUM(W17:W23)</f>
        <v>100</v>
      </c>
      <c r="X24" s="593"/>
      <c r="Y24" s="589"/>
    </row>
    <row r="25" spans="8:25" x14ac:dyDescent="0.25">
      <c r="H25" s="589"/>
      <c r="I25" s="589"/>
      <c r="J25" s="589"/>
      <c r="K25" s="589"/>
      <c r="L25" s="589"/>
      <c r="T25" s="589"/>
      <c r="U25" s="589"/>
      <c r="V25" s="589"/>
      <c r="W25" s="589"/>
      <c r="X25" s="593"/>
      <c r="Y25" s="589"/>
    </row>
    <row r="26" spans="8:25" x14ac:dyDescent="0.25">
      <c r="H26" s="589"/>
      <c r="I26" s="589"/>
      <c r="J26" s="589"/>
      <c r="K26" s="589"/>
      <c r="L26" s="589"/>
    </row>
  </sheetData>
  <mergeCells count="46">
    <mergeCell ref="L1:L2"/>
    <mergeCell ref="A1:A3"/>
    <mergeCell ref="B1:B3"/>
    <mergeCell ref="C1:E2"/>
    <mergeCell ref="F1:H2"/>
    <mergeCell ref="I1:K2"/>
    <mergeCell ref="M1:M2"/>
    <mergeCell ref="N1:N2"/>
    <mergeCell ref="O1:Q1"/>
    <mergeCell ref="R1:U1"/>
    <mergeCell ref="V1:Y1"/>
    <mergeCell ref="BO1:BP1"/>
    <mergeCell ref="BQ1:BR1"/>
    <mergeCell ref="BS1:BT1"/>
    <mergeCell ref="AC1:AD1"/>
    <mergeCell ref="AE1:AL1"/>
    <mergeCell ref="AM1:AQ1"/>
    <mergeCell ref="AR1:AT1"/>
    <mergeCell ref="AU1:BC1"/>
    <mergeCell ref="BD1:BL1"/>
    <mergeCell ref="O24:P24"/>
    <mergeCell ref="O19:P19"/>
    <mergeCell ref="O13:R13"/>
    <mergeCell ref="O17:P17"/>
    <mergeCell ref="BM1:BN1"/>
    <mergeCell ref="Z1:AB1"/>
    <mergeCell ref="O18:P18"/>
    <mergeCell ref="O20:P20"/>
    <mergeCell ref="O21:P21"/>
    <mergeCell ref="O22:P22"/>
    <mergeCell ref="O23:P23"/>
    <mergeCell ref="O14:P14"/>
    <mergeCell ref="O15:P15"/>
    <mergeCell ref="O16:P16"/>
    <mergeCell ref="T13:W13"/>
    <mergeCell ref="T14:U14"/>
    <mergeCell ref="T15:U15"/>
    <mergeCell ref="T16:U16"/>
    <mergeCell ref="T23:U23"/>
    <mergeCell ref="T24:U24"/>
    <mergeCell ref="T17:U17"/>
    <mergeCell ref="T18:U18"/>
    <mergeCell ref="T19:U19"/>
    <mergeCell ref="T20:U20"/>
    <mergeCell ref="T21:U21"/>
    <mergeCell ref="T22:U22"/>
  </mergeCells>
  <pageMargins left="0.7" right="0.7" top="0.75" bottom="0.75" header="0.3" footer="0.3"/>
  <pageSetup paperSize="9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T31"/>
  <sheetViews>
    <sheetView topLeftCell="N5" workbookViewId="0">
      <selection activeCell="P12" sqref="P12"/>
    </sheetView>
  </sheetViews>
  <sheetFormatPr defaultRowHeight="15" x14ac:dyDescent="0.25"/>
  <cols>
    <col min="26" max="26" width="12.5703125" bestFit="1" customWidth="1"/>
  </cols>
  <sheetData>
    <row r="1" spans="1:72" ht="15.75" x14ac:dyDescent="0.25">
      <c r="A1" s="1282" t="s">
        <v>0</v>
      </c>
      <c r="B1" s="1285" t="s">
        <v>1</v>
      </c>
      <c r="C1" s="1288" t="s">
        <v>2</v>
      </c>
      <c r="D1" s="1289"/>
      <c r="E1" s="1290"/>
      <c r="F1" s="1288" t="s">
        <v>3</v>
      </c>
      <c r="G1" s="1289"/>
      <c r="H1" s="1290"/>
      <c r="I1" s="1288" t="s">
        <v>4</v>
      </c>
      <c r="J1" s="1289"/>
      <c r="K1" s="1290"/>
      <c r="L1" s="1294" t="s">
        <v>5</v>
      </c>
      <c r="M1" s="1294" t="s">
        <v>6</v>
      </c>
      <c r="N1" s="1294" t="s">
        <v>7</v>
      </c>
      <c r="O1" s="1296" t="s">
        <v>8</v>
      </c>
      <c r="P1" s="1297"/>
      <c r="Q1" s="1298"/>
      <c r="R1" s="1299" t="s">
        <v>9</v>
      </c>
      <c r="S1" s="1300"/>
      <c r="T1" s="1300"/>
      <c r="U1" s="1301"/>
      <c r="V1" s="1302" t="s">
        <v>10</v>
      </c>
      <c r="W1" s="1303"/>
      <c r="X1" s="1303"/>
      <c r="Y1" s="1304"/>
      <c r="Z1" s="1279" t="s">
        <v>11</v>
      </c>
      <c r="AA1" s="1280"/>
      <c r="AB1" s="1281"/>
      <c r="AC1" s="1309" t="s">
        <v>12</v>
      </c>
      <c r="AD1" s="1310"/>
      <c r="AE1" s="1311" t="s">
        <v>13</v>
      </c>
      <c r="AF1" s="1312"/>
      <c r="AG1" s="1312"/>
      <c r="AH1" s="1312"/>
      <c r="AI1" s="1312"/>
      <c r="AJ1" s="1312"/>
      <c r="AK1" s="1312"/>
      <c r="AL1" s="1313"/>
      <c r="AM1" s="1314" t="s">
        <v>99</v>
      </c>
      <c r="AN1" s="1315"/>
      <c r="AO1" s="1315"/>
      <c r="AP1" s="1315"/>
      <c r="AQ1" s="1316"/>
      <c r="AR1" s="1317" t="s">
        <v>100</v>
      </c>
      <c r="AS1" s="1318"/>
      <c r="AT1" s="1319"/>
      <c r="AU1" s="1317" t="s">
        <v>101</v>
      </c>
      <c r="AV1" s="1318"/>
      <c r="AW1" s="1318"/>
      <c r="AX1" s="1318"/>
      <c r="AY1" s="1318"/>
      <c r="AZ1" s="1318"/>
      <c r="BA1" s="1318"/>
      <c r="BB1" s="1318"/>
      <c r="BC1" s="1319"/>
      <c r="BD1" s="1320" t="s">
        <v>14</v>
      </c>
      <c r="BE1" s="1321"/>
      <c r="BF1" s="1321"/>
      <c r="BG1" s="1321"/>
      <c r="BH1" s="1321"/>
      <c r="BI1" s="1321"/>
      <c r="BJ1" s="1321"/>
      <c r="BK1" s="1321"/>
      <c r="BL1" s="1322"/>
      <c r="BM1" s="1305" t="s">
        <v>15</v>
      </c>
      <c r="BN1" s="1306"/>
      <c r="BO1" s="1307" t="s">
        <v>16</v>
      </c>
      <c r="BP1" s="1308"/>
      <c r="BQ1" s="1305" t="s">
        <v>130</v>
      </c>
      <c r="BR1" s="1306"/>
      <c r="BS1" s="1323" t="s">
        <v>171</v>
      </c>
      <c r="BT1" s="1324"/>
    </row>
    <row r="2" spans="1:72" ht="225" x14ac:dyDescent="0.25">
      <c r="A2" s="1283"/>
      <c r="B2" s="1286"/>
      <c r="C2" s="1291"/>
      <c r="D2" s="1292"/>
      <c r="E2" s="1293"/>
      <c r="F2" s="1291"/>
      <c r="G2" s="1292"/>
      <c r="H2" s="1293"/>
      <c r="I2" s="1291"/>
      <c r="J2" s="1292"/>
      <c r="K2" s="1293"/>
      <c r="L2" s="1295"/>
      <c r="M2" s="1295"/>
      <c r="N2" s="1295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610" t="s">
        <v>23</v>
      </c>
      <c r="V2" s="42" t="s">
        <v>24</v>
      </c>
      <c r="W2" s="217" t="s">
        <v>25</v>
      </c>
      <c r="X2" s="218" t="s">
        <v>26</v>
      </c>
      <c r="Y2" s="611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608" t="s">
        <v>105</v>
      </c>
      <c r="AQ2" s="608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609" t="s">
        <v>14</v>
      </c>
      <c r="BE2" s="609" t="s">
        <v>167</v>
      </c>
      <c r="BF2" s="609" t="s">
        <v>39</v>
      </c>
      <c r="BG2" s="609" t="s">
        <v>40</v>
      </c>
      <c r="BH2" s="609" t="s">
        <v>41</v>
      </c>
      <c r="BI2" s="609" t="s">
        <v>42</v>
      </c>
      <c r="BJ2" s="609" t="s">
        <v>43</v>
      </c>
      <c r="BK2" s="609" t="s">
        <v>44</v>
      </c>
      <c r="BL2" s="609" t="s">
        <v>46</v>
      </c>
      <c r="BM2" s="607" t="s">
        <v>47</v>
      </c>
      <c r="BN2" s="607" t="s">
        <v>48</v>
      </c>
      <c r="BO2" s="608" t="s">
        <v>49</v>
      </c>
      <c r="BP2" s="608" t="s">
        <v>50</v>
      </c>
      <c r="BQ2" s="607" t="s">
        <v>131</v>
      </c>
      <c r="BR2" s="607" t="s">
        <v>132</v>
      </c>
      <c r="BS2" s="359" t="s">
        <v>172</v>
      </c>
      <c r="BT2" s="359" t="s">
        <v>173</v>
      </c>
    </row>
    <row r="3" spans="1:72" ht="75" x14ac:dyDescent="0.25">
      <c r="A3" s="1284"/>
      <c r="B3" s="1287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107" t="s">
        <v>54</v>
      </c>
      <c r="BR3" s="107" t="s">
        <v>54</v>
      </c>
      <c r="BS3" s="360" t="s">
        <v>120</v>
      </c>
      <c r="BT3" s="360" t="s">
        <v>174</v>
      </c>
    </row>
    <row r="4" spans="1:72" ht="15.75" x14ac:dyDescent="0.25">
      <c r="A4" s="613">
        <v>1</v>
      </c>
      <c r="B4" s="614">
        <v>2</v>
      </c>
      <c r="C4" s="29">
        <v>3</v>
      </c>
      <c r="D4" s="613">
        <v>4</v>
      </c>
      <c r="E4" s="614">
        <v>5</v>
      </c>
      <c r="F4" s="29">
        <v>6</v>
      </c>
      <c r="G4" s="613">
        <v>7</v>
      </c>
      <c r="H4" s="614">
        <v>8</v>
      </c>
      <c r="I4" s="29">
        <v>9</v>
      </c>
      <c r="J4" s="613">
        <v>10</v>
      </c>
      <c r="K4" s="614">
        <v>11</v>
      </c>
      <c r="L4" s="29">
        <v>12</v>
      </c>
      <c r="M4" s="613">
        <v>13</v>
      </c>
      <c r="N4" s="614">
        <v>14</v>
      </c>
      <c r="O4" s="29">
        <v>15</v>
      </c>
      <c r="P4" s="613">
        <v>16</v>
      </c>
      <c r="Q4" s="614">
        <v>17</v>
      </c>
      <c r="R4" s="29">
        <v>18</v>
      </c>
      <c r="S4" s="613">
        <v>19</v>
      </c>
      <c r="T4" s="614">
        <v>20</v>
      </c>
      <c r="U4" s="29">
        <v>21</v>
      </c>
      <c r="V4" s="613">
        <v>22</v>
      </c>
      <c r="W4" s="614">
        <v>23</v>
      </c>
      <c r="X4" s="29">
        <v>24</v>
      </c>
      <c r="Y4" s="613">
        <v>25</v>
      </c>
      <c r="Z4" s="614">
        <v>26</v>
      </c>
      <c r="AA4" s="29">
        <v>27</v>
      </c>
      <c r="AB4" s="613">
        <v>28</v>
      </c>
      <c r="AC4" s="614">
        <v>29</v>
      </c>
      <c r="AD4" s="29">
        <v>30</v>
      </c>
      <c r="AE4" s="613">
        <v>31</v>
      </c>
      <c r="AF4" s="614">
        <v>32</v>
      </c>
      <c r="AG4" s="29">
        <v>33</v>
      </c>
      <c r="AH4" s="613">
        <v>34</v>
      </c>
      <c r="AI4" s="614">
        <v>35</v>
      </c>
      <c r="AJ4" s="29">
        <v>36</v>
      </c>
      <c r="AK4" s="613">
        <v>37</v>
      </c>
      <c r="AL4" s="614">
        <v>38</v>
      </c>
      <c r="AM4" s="29">
        <v>39</v>
      </c>
      <c r="AN4" s="613">
        <v>40</v>
      </c>
      <c r="AO4" s="614">
        <v>41</v>
      </c>
      <c r="AP4" s="29">
        <v>42</v>
      </c>
      <c r="AQ4" s="613">
        <v>43</v>
      </c>
      <c r="AR4" s="614">
        <v>44</v>
      </c>
      <c r="AS4" s="29">
        <v>45</v>
      </c>
      <c r="AT4" s="613">
        <v>46</v>
      </c>
      <c r="AU4" s="614">
        <v>47</v>
      </c>
      <c r="AV4" s="29">
        <v>48</v>
      </c>
      <c r="AW4" s="613">
        <v>49</v>
      </c>
      <c r="AX4" s="614">
        <v>50</v>
      </c>
      <c r="AY4" s="29">
        <v>51</v>
      </c>
      <c r="AZ4" s="613">
        <v>52</v>
      </c>
      <c r="BA4" s="614">
        <v>53</v>
      </c>
      <c r="BB4" s="29">
        <v>54</v>
      </c>
      <c r="BC4" s="613">
        <v>55</v>
      </c>
      <c r="BD4" s="614">
        <v>56</v>
      </c>
      <c r="BE4" s="29">
        <v>57</v>
      </c>
      <c r="BF4" s="613">
        <v>58</v>
      </c>
      <c r="BG4" s="614">
        <v>59</v>
      </c>
      <c r="BH4" s="29">
        <v>60</v>
      </c>
      <c r="BI4" s="613">
        <v>61</v>
      </c>
      <c r="BJ4" s="614">
        <v>62</v>
      </c>
      <c r="BK4" s="29">
        <v>63</v>
      </c>
      <c r="BL4" s="614">
        <v>65</v>
      </c>
      <c r="BM4" s="29">
        <v>66</v>
      </c>
      <c r="BN4" s="613">
        <v>67</v>
      </c>
      <c r="BO4" s="614">
        <v>68</v>
      </c>
      <c r="BP4" s="29">
        <v>69</v>
      </c>
      <c r="BQ4" s="613">
        <v>70</v>
      </c>
      <c r="BR4" s="614">
        <v>71</v>
      </c>
      <c r="BS4" s="29">
        <v>72</v>
      </c>
      <c r="BT4" s="613">
        <v>73</v>
      </c>
    </row>
    <row r="5" spans="1:72" ht="16.5" thickBot="1" x14ac:dyDescent="0.3">
      <c r="A5" s="612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8.59</v>
      </c>
      <c r="P5" s="612"/>
      <c r="Q5" s="612"/>
      <c r="R5" s="612">
        <v>40</v>
      </c>
      <c r="S5" s="612">
        <v>70</v>
      </c>
      <c r="T5" s="612">
        <v>25</v>
      </c>
      <c r="U5" s="612"/>
      <c r="V5" s="612">
        <v>30</v>
      </c>
      <c r="W5" s="612">
        <v>70</v>
      </c>
      <c r="X5" s="612">
        <v>25</v>
      </c>
      <c r="Y5" s="612"/>
      <c r="Z5" s="612">
        <v>5</v>
      </c>
      <c r="AA5" s="612">
        <v>70</v>
      </c>
      <c r="AB5" s="612">
        <v>25</v>
      </c>
      <c r="AC5" s="612">
        <v>10</v>
      </c>
      <c r="AD5" s="612">
        <v>20</v>
      </c>
      <c r="AE5" s="339"/>
      <c r="AF5" s="612"/>
      <c r="AG5" s="339"/>
      <c r="AH5" s="612"/>
      <c r="AI5" s="339"/>
      <c r="AJ5" s="612"/>
      <c r="AK5" s="339"/>
      <c r="AL5" s="612"/>
      <c r="AM5" s="612">
        <v>10</v>
      </c>
      <c r="AN5" s="612">
        <v>1500</v>
      </c>
      <c r="AO5" s="612">
        <v>1350</v>
      </c>
      <c r="AP5" s="339"/>
      <c r="AQ5" s="612"/>
      <c r="AR5" s="612">
        <v>2</v>
      </c>
      <c r="AS5" s="339"/>
      <c r="AT5" s="612"/>
      <c r="AU5" s="612">
        <v>3</v>
      </c>
      <c r="AV5" s="612">
        <v>70</v>
      </c>
      <c r="AW5" s="612"/>
      <c r="AX5" s="612"/>
      <c r="AY5" s="612"/>
      <c r="AZ5" s="612"/>
      <c r="BA5" s="612"/>
      <c r="BB5" s="612"/>
      <c r="BC5" s="612"/>
      <c r="BD5" s="339"/>
      <c r="BE5" s="339"/>
      <c r="BF5" s="339"/>
      <c r="BG5" s="339"/>
      <c r="BH5" s="339"/>
      <c r="BI5" s="612"/>
      <c r="BJ5" s="339"/>
      <c r="BK5" s="612"/>
      <c r="BL5" s="612"/>
      <c r="BM5" s="612"/>
      <c r="BN5" s="612"/>
      <c r="BO5" s="612"/>
      <c r="BP5" s="612"/>
      <c r="BQ5" s="612"/>
      <c r="BR5" s="612"/>
      <c r="BS5" s="188"/>
      <c r="BT5" s="188"/>
    </row>
    <row r="6" spans="1:72" ht="46.5" thickBot="1" x14ac:dyDescent="0.3">
      <c r="A6" s="450">
        <v>60</v>
      </c>
      <c r="B6" s="615" t="s">
        <v>64</v>
      </c>
      <c r="C6" s="482">
        <v>5</v>
      </c>
      <c r="D6" s="482">
        <v>5</v>
      </c>
      <c r="E6" s="484">
        <v>10</v>
      </c>
      <c r="F6" s="485">
        <v>10</v>
      </c>
      <c r="G6" s="485">
        <v>10</v>
      </c>
      <c r="H6" s="484">
        <v>10</v>
      </c>
      <c r="I6" s="485">
        <v>1</v>
      </c>
      <c r="J6" s="485">
        <v>0</v>
      </c>
      <c r="K6" s="484">
        <v>1</v>
      </c>
      <c r="L6" s="485">
        <v>0</v>
      </c>
      <c r="M6" s="485" t="s">
        <v>122</v>
      </c>
      <c r="N6" s="485">
        <v>0</v>
      </c>
      <c r="O6" s="486">
        <v>7.71</v>
      </c>
      <c r="P6" s="486">
        <v>6.16</v>
      </c>
      <c r="Q6" s="486">
        <v>1.45</v>
      </c>
      <c r="R6" s="487">
        <v>3.41</v>
      </c>
      <c r="S6" s="487">
        <v>2.41</v>
      </c>
      <c r="T6" s="487">
        <v>0.6</v>
      </c>
      <c r="U6" s="487">
        <v>0</v>
      </c>
      <c r="V6" s="488">
        <v>2.58</v>
      </c>
      <c r="W6" s="488">
        <v>1.81</v>
      </c>
      <c r="X6" s="488">
        <v>0.45</v>
      </c>
      <c r="Y6" s="488">
        <v>0</v>
      </c>
      <c r="Z6" s="489">
        <v>0.43</v>
      </c>
      <c r="AA6" s="489">
        <v>0.3</v>
      </c>
      <c r="AB6" s="489">
        <v>0.08</v>
      </c>
      <c r="AC6" s="490">
        <v>0.86</v>
      </c>
      <c r="AD6" s="490">
        <v>0.17</v>
      </c>
      <c r="AE6" s="484">
        <v>0</v>
      </c>
      <c r="AF6" s="484">
        <v>0</v>
      </c>
      <c r="AG6" s="484">
        <v>2</v>
      </c>
      <c r="AH6" s="484">
        <v>6</v>
      </c>
      <c r="AI6" s="484">
        <v>0</v>
      </c>
      <c r="AJ6" s="484">
        <v>0</v>
      </c>
      <c r="AK6" s="484">
        <v>0</v>
      </c>
      <c r="AL6" s="484">
        <v>0</v>
      </c>
      <c r="AM6" s="491">
        <v>0.86</v>
      </c>
      <c r="AN6" s="491">
        <v>0.6</v>
      </c>
      <c r="AO6" s="491">
        <v>0.15</v>
      </c>
      <c r="AP6" s="491">
        <v>0</v>
      </c>
      <c r="AQ6" s="491">
        <v>0</v>
      </c>
      <c r="AR6" s="492">
        <v>0.17</v>
      </c>
      <c r="AS6" s="492">
        <v>4</v>
      </c>
      <c r="AT6" s="493"/>
      <c r="AU6" s="616">
        <v>0.26</v>
      </c>
      <c r="AV6" s="492">
        <v>0.18</v>
      </c>
      <c r="AW6" s="492" t="s">
        <v>65</v>
      </c>
      <c r="AX6" s="492">
        <v>0</v>
      </c>
      <c r="AY6" s="492" t="s">
        <v>65</v>
      </c>
      <c r="AZ6" s="492">
        <v>0</v>
      </c>
      <c r="BA6" s="492" t="s">
        <v>65</v>
      </c>
      <c r="BB6" s="492" t="s">
        <v>65</v>
      </c>
      <c r="BC6" s="492" t="s">
        <v>65</v>
      </c>
      <c r="BD6" s="246">
        <v>1</v>
      </c>
      <c r="BE6" s="494" t="s">
        <v>169</v>
      </c>
      <c r="BF6" s="246">
        <v>26756.1</v>
      </c>
      <c r="BG6" s="246">
        <v>1.6</v>
      </c>
      <c r="BH6" s="494" t="s">
        <v>72</v>
      </c>
      <c r="BI6" s="246">
        <v>1450</v>
      </c>
      <c r="BJ6" s="246">
        <v>0</v>
      </c>
      <c r="BK6" s="246" t="s">
        <v>65</v>
      </c>
      <c r="BL6" s="246" t="s">
        <v>65</v>
      </c>
      <c r="BM6" s="496" t="s">
        <v>67</v>
      </c>
      <c r="BN6" s="496" t="s">
        <v>67</v>
      </c>
      <c r="BO6" s="497" t="s">
        <v>67</v>
      </c>
      <c r="BP6" s="497" t="s">
        <v>67</v>
      </c>
      <c r="BQ6" s="246">
        <v>0</v>
      </c>
      <c r="BR6" s="246">
        <v>0</v>
      </c>
      <c r="BS6" s="498" t="s">
        <v>67</v>
      </c>
      <c r="BT6" s="498" t="s">
        <v>175</v>
      </c>
    </row>
    <row r="7" spans="1:72" ht="31.5" thickBot="1" x14ac:dyDescent="0.3">
      <c r="A7" s="50">
        <v>50</v>
      </c>
      <c r="B7" s="615" t="s">
        <v>121</v>
      </c>
      <c r="C7" s="482">
        <v>5</v>
      </c>
      <c r="D7" s="483">
        <v>6</v>
      </c>
      <c r="E7" s="484">
        <v>11</v>
      </c>
      <c r="F7" s="485">
        <v>5</v>
      </c>
      <c r="G7" s="485">
        <v>6</v>
      </c>
      <c r="H7" s="484">
        <v>11</v>
      </c>
      <c r="I7" s="485">
        <v>1</v>
      </c>
      <c r="J7" s="485">
        <v>0</v>
      </c>
      <c r="K7" s="484">
        <v>1</v>
      </c>
      <c r="L7" s="485">
        <v>0</v>
      </c>
      <c r="M7" s="485" t="s">
        <v>65</v>
      </c>
      <c r="N7" s="485">
        <v>0</v>
      </c>
      <c r="O7" s="486">
        <v>8.06</v>
      </c>
      <c r="P7" s="486">
        <v>6.44</v>
      </c>
      <c r="Q7" s="486">
        <v>1.52</v>
      </c>
      <c r="R7" s="487">
        <v>3.56</v>
      </c>
      <c r="S7" s="487">
        <v>2.5099999999999998</v>
      </c>
      <c r="T7" s="487">
        <v>0.63</v>
      </c>
      <c r="U7" s="487">
        <v>0</v>
      </c>
      <c r="V7" s="488">
        <v>2.7</v>
      </c>
      <c r="W7" s="488">
        <v>1.89</v>
      </c>
      <c r="X7" s="488">
        <v>0.47</v>
      </c>
      <c r="Y7" s="488">
        <v>0</v>
      </c>
      <c r="Z7" s="489">
        <v>0.45</v>
      </c>
      <c r="AA7" s="489">
        <v>0.32</v>
      </c>
      <c r="AB7" s="489">
        <v>0.08</v>
      </c>
      <c r="AC7" s="490">
        <v>0.9</v>
      </c>
      <c r="AD7" s="490">
        <v>0.18</v>
      </c>
      <c r="AE7" s="484">
        <v>0</v>
      </c>
      <c r="AF7" s="484">
        <v>0</v>
      </c>
      <c r="AG7" s="484">
        <v>1</v>
      </c>
      <c r="AH7" s="484">
        <v>1.6</v>
      </c>
      <c r="AI7" s="484">
        <v>0</v>
      </c>
      <c r="AJ7" s="484">
        <v>0</v>
      </c>
      <c r="AK7" s="484">
        <v>0</v>
      </c>
      <c r="AL7" s="484">
        <v>0</v>
      </c>
      <c r="AM7" s="491">
        <v>0.9</v>
      </c>
      <c r="AN7" s="491">
        <v>0.63</v>
      </c>
      <c r="AO7" s="491">
        <v>0.16</v>
      </c>
      <c r="AP7" s="491">
        <v>0</v>
      </c>
      <c r="AQ7" s="491">
        <v>0</v>
      </c>
      <c r="AR7" s="492">
        <v>0.18</v>
      </c>
      <c r="AS7" s="492">
        <v>1</v>
      </c>
      <c r="AT7" s="493"/>
      <c r="AU7" s="492">
        <v>0.27</v>
      </c>
      <c r="AV7" s="492">
        <v>0.19</v>
      </c>
      <c r="AW7" s="492" t="s">
        <v>65</v>
      </c>
      <c r="AX7" s="492">
        <v>0</v>
      </c>
      <c r="AY7" s="492" t="s">
        <v>65</v>
      </c>
      <c r="AZ7" s="492">
        <v>0</v>
      </c>
      <c r="BA7" s="492" t="s">
        <v>65</v>
      </c>
      <c r="BB7" s="492" t="s">
        <v>65</v>
      </c>
      <c r="BC7" s="492" t="s">
        <v>67</v>
      </c>
      <c r="BD7" s="246">
        <v>1</v>
      </c>
      <c r="BE7" s="494" t="s">
        <v>170</v>
      </c>
      <c r="BF7" s="246">
        <v>15617.8</v>
      </c>
      <c r="BG7" s="495">
        <v>1.6</v>
      </c>
      <c r="BH7" s="246" t="s">
        <v>72</v>
      </c>
      <c r="BI7" s="246">
        <v>820</v>
      </c>
      <c r="BJ7" s="246">
        <v>0</v>
      </c>
      <c r="BK7" s="246" t="s">
        <v>65</v>
      </c>
      <c r="BL7" s="246" t="s">
        <v>65</v>
      </c>
      <c r="BM7" s="496" t="s">
        <v>67</v>
      </c>
      <c r="BN7" s="496" t="s">
        <v>67</v>
      </c>
      <c r="BO7" s="497" t="s">
        <v>65</v>
      </c>
      <c r="BP7" s="497" t="s">
        <v>65</v>
      </c>
      <c r="BQ7" s="246">
        <v>0</v>
      </c>
      <c r="BR7" s="246">
        <v>0</v>
      </c>
      <c r="BS7" s="498" t="s">
        <v>67</v>
      </c>
      <c r="BT7" s="498" t="s">
        <v>197</v>
      </c>
    </row>
    <row r="8" spans="1:72" x14ac:dyDescent="0.25">
      <c r="A8" s="526"/>
      <c r="B8" s="526"/>
      <c r="C8" s="526"/>
      <c r="D8" s="526"/>
      <c r="E8" s="526"/>
      <c r="F8" s="526"/>
      <c r="G8" s="526"/>
      <c r="H8" s="526"/>
      <c r="I8" s="526"/>
      <c r="J8" s="526"/>
      <c r="K8" s="526"/>
      <c r="L8" s="526"/>
      <c r="M8" s="526"/>
      <c r="N8" s="526"/>
      <c r="O8" s="526"/>
      <c r="P8" s="526"/>
      <c r="Q8" s="526"/>
      <c r="R8" s="526"/>
      <c r="S8" s="526"/>
      <c r="T8" s="526"/>
      <c r="U8" s="526"/>
      <c r="V8" s="526"/>
      <c r="W8" s="526"/>
      <c r="X8" s="526"/>
      <c r="Y8" s="526"/>
      <c r="Z8" s="526"/>
      <c r="AA8" s="526"/>
      <c r="AB8" s="526"/>
      <c r="AC8" s="526"/>
      <c r="AD8" s="526"/>
      <c r="AE8" s="526"/>
      <c r="AF8" s="526"/>
      <c r="AG8" s="526"/>
      <c r="AH8" s="526"/>
      <c r="AI8" s="526"/>
      <c r="AJ8" s="526"/>
      <c r="AK8" s="526"/>
      <c r="AL8" s="526"/>
      <c r="AM8" s="526"/>
      <c r="AN8" s="526"/>
      <c r="AO8" s="526"/>
      <c r="AP8" s="526"/>
      <c r="AQ8" s="526"/>
      <c r="AR8" s="526"/>
      <c r="AS8" s="526"/>
      <c r="AT8" s="526"/>
      <c r="AU8" s="526"/>
      <c r="AV8" s="526"/>
      <c r="AW8" s="526"/>
      <c r="AX8" s="526"/>
      <c r="AY8" s="526"/>
      <c r="AZ8" s="526"/>
      <c r="BA8" s="526"/>
      <c r="BB8" s="526"/>
      <c r="BC8" s="526"/>
      <c r="BD8" s="526"/>
      <c r="BE8" s="526"/>
      <c r="BF8" s="526"/>
      <c r="BG8" s="526"/>
      <c r="BH8" s="526"/>
      <c r="BI8" s="526"/>
      <c r="BJ8" s="526"/>
      <c r="BK8" s="526"/>
      <c r="BL8" s="526"/>
      <c r="BM8" s="526"/>
      <c r="BN8" s="526"/>
      <c r="BO8" s="526"/>
      <c r="BP8" s="526"/>
      <c r="BQ8" s="526"/>
      <c r="BR8" s="526"/>
      <c r="BS8" s="526"/>
      <c r="BT8" s="526"/>
    </row>
    <row r="9" spans="1:72" ht="31.5" x14ac:dyDescent="0.25">
      <c r="A9" s="50">
        <v>60</v>
      </c>
      <c r="B9" s="606" t="s">
        <v>161</v>
      </c>
      <c r="C9" s="341">
        <v>5</v>
      </c>
      <c r="D9" s="341">
        <v>5</v>
      </c>
      <c r="E9" s="342">
        <v>10</v>
      </c>
      <c r="F9" s="343">
        <v>10</v>
      </c>
      <c r="G9" s="343">
        <v>10</v>
      </c>
      <c r="H9" s="342">
        <v>10</v>
      </c>
      <c r="I9" s="343">
        <v>1</v>
      </c>
      <c r="J9" s="343">
        <v>0</v>
      </c>
      <c r="K9" s="342">
        <v>1</v>
      </c>
      <c r="L9" s="343">
        <v>0</v>
      </c>
      <c r="M9" s="343" t="s">
        <v>65</v>
      </c>
      <c r="N9" s="343">
        <v>0</v>
      </c>
      <c r="O9" s="394">
        <f>SUM(R9,V9,Z9,AM9,AR9,AU9)</f>
        <v>231.30000000000004</v>
      </c>
      <c r="P9" s="394">
        <f>SUM(S9,W9,AA9,AC9,AN9,AV9)</f>
        <v>184.80000000000004</v>
      </c>
      <c r="Q9" s="394">
        <f>SUM(T9,X9,AB9,AD9,AO9)</f>
        <v>43.5</v>
      </c>
      <c r="R9" s="527">
        <f>30*R6</f>
        <v>102.30000000000001</v>
      </c>
      <c r="S9" s="527">
        <f t="shared" ref="R9:T10" si="0">30*S6</f>
        <v>72.300000000000011</v>
      </c>
      <c r="T9" s="527">
        <f t="shared" si="0"/>
        <v>18</v>
      </c>
      <c r="U9" s="345">
        <v>0</v>
      </c>
      <c r="V9" s="454">
        <f t="shared" ref="V9:X10" si="1">30*V6</f>
        <v>77.400000000000006</v>
      </c>
      <c r="W9" s="528">
        <f t="shared" si="1"/>
        <v>54.300000000000004</v>
      </c>
      <c r="X9" s="528">
        <f t="shared" si="1"/>
        <v>13.5</v>
      </c>
      <c r="Y9" s="346">
        <v>0</v>
      </c>
      <c r="Z9" s="455">
        <f t="shared" ref="Z9:AD10" si="2">30*Z6</f>
        <v>12.9</v>
      </c>
      <c r="AA9" s="455">
        <f t="shared" si="2"/>
        <v>9</v>
      </c>
      <c r="AB9" s="455">
        <f t="shared" si="2"/>
        <v>2.4</v>
      </c>
      <c r="AC9" s="456">
        <f t="shared" si="2"/>
        <v>25.8</v>
      </c>
      <c r="AD9" s="456">
        <f t="shared" si="2"/>
        <v>5.1000000000000005</v>
      </c>
      <c r="AE9" s="342">
        <v>0</v>
      </c>
      <c r="AF9" s="342">
        <v>0</v>
      </c>
      <c r="AG9" s="342">
        <v>2</v>
      </c>
      <c r="AH9" s="342">
        <v>6</v>
      </c>
      <c r="AI9" s="342">
        <v>0</v>
      </c>
      <c r="AJ9" s="342">
        <v>0</v>
      </c>
      <c r="AK9" s="342">
        <v>0</v>
      </c>
      <c r="AL9" s="342">
        <v>0</v>
      </c>
      <c r="AM9" s="457">
        <f t="shared" ref="AM9:AO10" si="3">30*AM6</f>
        <v>25.8</v>
      </c>
      <c r="AN9" s="457">
        <f t="shared" si="3"/>
        <v>18</v>
      </c>
      <c r="AO9" s="457">
        <f t="shared" si="3"/>
        <v>4.5</v>
      </c>
      <c r="AP9" s="457">
        <v>0</v>
      </c>
      <c r="AQ9" s="457">
        <v>0</v>
      </c>
      <c r="AR9" s="458">
        <f>30*AR6</f>
        <v>5.1000000000000005</v>
      </c>
      <c r="AS9" s="350">
        <v>4</v>
      </c>
      <c r="AT9" s="361"/>
      <c r="AU9" s="460">
        <f>30*AU6</f>
        <v>7.8000000000000007</v>
      </c>
      <c r="AV9" s="458">
        <f>30*AV6</f>
        <v>5.3999999999999995</v>
      </c>
      <c r="AW9" s="342" t="s">
        <v>65</v>
      </c>
      <c r="AX9" s="342">
        <v>0</v>
      </c>
      <c r="AY9" s="342" t="s">
        <v>65</v>
      </c>
      <c r="AZ9" s="342">
        <v>0</v>
      </c>
      <c r="BA9" s="342" t="s">
        <v>65</v>
      </c>
      <c r="BB9" s="342" t="s">
        <v>65</v>
      </c>
      <c r="BC9" s="342" t="s">
        <v>65</v>
      </c>
      <c r="BD9" s="514">
        <v>1</v>
      </c>
      <c r="BE9" s="515" t="s">
        <v>170</v>
      </c>
      <c r="BF9" s="514">
        <v>1350</v>
      </c>
      <c r="BG9" s="514">
        <v>1.5</v>
      </c>
      <c r="BH9" s="516" t="s">
        <v>66</v>
      </c>
      <c r="BI9" s="514">
        <v>1260</v>
      </c>
      <c r="BJ9" s="514">
        <v>0</v>
      </c>
      <c r="BK9" s="514" t="s">
        <v>65</v>
      </c>
      <c r="BL9" s="514" t="s">
        <v>65</v>
      </c>
      <c r="BM9" s="514" t="s">
        <v>67</v>
      </c>
      <c r="BN9" s="514" t="s">
        <v>67</v>
      </c>
      <c r="BO9" s="514" t="s">
        <v>67</v>
      </c>
      <c r="BP9" s="514" t="s">
        <v>67</v>
      </c>
      <c r="BQ9" s="513">
        <v>0</v>
      </c>
      <c r="BR9" s="513">
        <v>0</v>
      </c>
      <c r="BS9" s="517" t="s">
        <v>67</v>
      </c>
      <c r="BT9" s="517" t="s">
        <v>175</v>
      </c>
    </row>
    <row r="10" spans="1:72" ht="31.5" x14ac:dyDescent="0.25">
      <c r="A10" s="50">
        <v>50</v>
      </c>
      <c r="B10" s="606" t="s">
        <v>121</v>
      </c>
      <c r="C10" s="341">
        <v>5</v>
      </c>
      <c r="D10" s="354">
        <v>6</v>
      </c>
      <c r="E10" s="342">
        <v>11</v>
      </c>
      <c r="F10" s="343">
        <v>5</v>
      </c>
      <c r="G10" s="343">
        <v>6</v>
      </c>
      <c r="H10" s="342">
        <v>11</v>
      </c>
      <c r="I10" s="343">
        <v>1</v>
      </c>
      <c r="J10" s="343">
        <v>0</v>
      </c>
      <c r="K10" s="342">
        <v>1</v>
      </c>
      <c r="L10" s="343">
        <v>0</v>
      </c>
      <c r="M10" s="343" t="s">
        <v>65</v>
      </c>
      <c r="N10" s="343">
        <v>0</v>
      </c>
      <c r="O10" s="394">
        <f>SUM(R10,V10,Z10,AM10,AR10,AU10)</f>
        <v>241.8</v>
      </c>
      <c r="P10" s="394">
        <f>SUM(S10,W10,AA10,AC10,AN10,AV10)</f>
        <v>193.2</v>
      </c>
      <c r="Q10" s="394">
        <f>SUM(T10,X10,AB10,AD10,AO10)</f>
        <v>45.599999999999994</v>
      </c>
      <c r="R10" s="527">
        <f t="shared" si="0"/>
        <v>106.8</v>
      </c>
      <c r="S10" s="527">
        <f t="shared" si="0"/>
        <v>75.3</v>
      </c>
      <c r="T10" s="527">
        <f t="shared" si="0"/>
        <v>18.899999999999999</v>
      </c>
      <c r="U10" s="345">
        <v>0</v>
      </c>
      <c r="V10" s="528">
        <f t="shared" si="1"/>
        <v>81</v>
      </c>
      <c r="W10" s="528">
        <f t="shared" si="1"/>
        <v>56.699999999999996</v>
      </c>
      <c r="X10" s="528">
        <f t="shared" si="1"/>
        <v>14.1</v>
      </c>
      <c r="Y10" s="346">
        <v>0</v>
      </c>
      <c r="Z10" s="455">
        <f t="shared" si="2"/>
        <v>13.5</v>
      </c>
      <c r="AA10" s="455">
        <f t="shared" si="2"/>
        <v>9.6</v>
      </c>
      <c r="AB10" s="455">
        <f t="shared" si="2"/>
        <v>2.4</v>
      </c>
      <c r="AC10" s="456">
        <f t="shared" si="2"/>
        <v>27</v>
      </c>
      <c r="AD10" s="456">
        <f t="shared" si="2"/>
        <v>5.3999999999999995</v>
      </c>
      <c r="AE10" s="342">
        <v>0</v>
      </c>
      <c r="AF10" s="342">
        <v>0</v>
      </c>
      <c r="AG10" s="342">
        <v>1</v>
      </c>
      <c r="AH10" s="342">
        <v>1.6</v>
      </c>
      <c r="AI10" s="342">
        <v>0</v>
      </c>
      <c r="AJ10" s="342">
        <v>0</v>
      </c>
      <c r="AK10" s="342">
        <v>0</v>
      </c>
      <c r="AL10" s="342">
        <v>0</v>
      </c>
      <c r="AM10" s="457">
        <f t="shared" si="3"/>
        <v>27</v>
      </c>
      <c r="AN10" s="457">
        <f t="shared" si="3"/>
        <v>18.899999999999999</v>
      </c>
      <c r="AO10" s="457">
        <f t="shared" si="3"/>
        <v>4.8</v>
      </c>
      <c r="AP10" s="457">
        <v>0</v>
      </c>
      <c r="AQ10" s="457">
        <v>0</v>
      </c>
      <c r="AR10" s="458">
        <f>30*AR7</f>
        <v>5.3999999999999995</v>
      </c>
      <c r="AS10" s="350">
        <v>1</v>
      </c>
      <c r="AT10" s="361"/>
      <c r="AU10" s="458">
        <f>30*AU7</f>
        <v>8.1000000000000014</v>
      </c>
      <c r="AV10" s="458">
        <f>30*AV7</f>
        <v>5.7</v>
      </c>
      <c r="AW10" s="342" t="s">
        <v>65</v>
      </c>
      <c r="AX10" s="342">
        <v>0</v>
      </c>
      <c r="AY10" s="342" t="s">
        <v>65</v>
      </c>
      <c r="AZ10" s="342">
        <v>0</v>
      </c>
      <c r="BA10" s="342" t="s">
        <v>65</v>
      </c>
      <c r="BB10" s="342" t="s">
        <v>65</v>
      </c>
      <c r="BC10" s="342" t="s">
        <v>67</v>
      </c>
      <c r="BD10" s="514">
        <v>1</v>
      </c>
      <c r="BE10" s="515" t="s">
        <v>170</v>
      </c>
      <c r="BF10" s="514">
        <v>15617.8</v>
      </c>
      <c r="BG10" s="514">
        <v>1.6</v>
      </c>
      <c r="BH10" s="514" t="s">
        <v>72</v>
      </c>
      <c r="BI10" s="514">
        <v>800</v>
      </c>
      <c r="BJ10" s="514">
        <v>0</v>
      </c>
      <c r="BK10" s="514" t="s">
        <v>65</v>
      </c>
      <c r="BL10" s="514" t="s">
        <v>65</v>
      </c>
      <c r="BM10" s="514" t="s">
        <v>67</v>
      </c>
      <c r="BN10" s="514" t="s">
        <v>67</v>
      </c>
      <c r="BO10" s="514" t="s">
        <v>65</v>
      </c>
      <c r="BP10" s="514" t="s">
        <v>65</v>
      </c>
      <c r="BQ10" s="513">
        <v>0</v>
      </c>
      <c r="BR10" s="513">
        <v>0</v>
      </c>
      <c r="BS10" s="517" t="s">
        <v>67</v>
      </c>
      <c r="BT10" s="517" t="s">
        <v>198</v>
      </c>
    </row>
    <row r="11" spans="1:72" x14ac:dyDescent="0.25">
      <c r="P11" s="393">
        <f>P9+P10</f>
        <v>378</v>
      </c>
    </row>
    <row r="12" spans="1:72" x14ac:dyDescent="0.25">
      <c r="P12" s="393"/>
    </row>
    <row r="13" spans="1:72" x14ac:dyDescent="0.25">
      <c r="P13" s="393"/>
    </row>
    <row r="14" spans="1:72" x14ac:dyDescent="0.25">
      <c r="Y14" t="s">
        <v>199</v>
      </c>
    </row>
    <row r="15" spans="1:72" x14ac:dyDescent="0.25">
      <c r="Z15" s="449">
        <f>108*32613/1000000</f>
        <v>3.5222039999999999</v>
      </c>
    </row>
    <row r="16" spans="1:72" x14ac:dyDescent="0.25">
      <c r="S16" s="393"/>
      <c r="Z16" s="449">
        <f>Z15*31</f>
        <v>109.18832399999999</v>
      </c>
    </row>
    <row r="18" spans="19:32" x14ac:dyDescent="0.25">
      <c r="Y18" t="s">
        <v>200</v>
      </c>
    </row>
    <row r="19" spans="19:32" x14ac:dyDescent="0.25">
      <c r="U19" s="393"/>
      <c r="Z19" s="449">
        <f>120*32613/250</f>
        <v>15654.24</v>
      </c>
    </row>
    <row r="20" spans="19:32" x14ac:dyDescent="0.25">
      <c r="Z20" s="449">
        <f>Z19/1000</f>
        <v>15.65424</v>
      </c>
    </row>
    <row r="21" spans="19:32" x14ac:dyDescent="0.25">
      <c r="Z21" s="449">
        <f>Z20*31</f>
        <v>485.28143999999998</v>
      </c>
    </row>
    <row r="22" spans="19:32" x14ac:dyDescent="0.25">
      <c r="Z22" s="449">
        <f>Z21/100*5</f>
        <v>24.264071999999999</v>
      </c>
    </row>
    <row r="25" spans="19:32" x14ac:dyDescent="0.25">
      <c r="S25" s="617" t="s">
        <v>203</v>
      </c>
      <c r="T25" s="618" t="s">
        <v>204</v>
      </c>
      <c r="U25" s="618" t="s">
        <v>205</v>
      </c>
      <c r="V25" s="618" t="s">
        <v>206</v>
      </c>
      <c r="W25" s="617" t="s">
        <v>207</v>
      </c>
      <c r="AB25" s="617" t="s">
        <v>203</v>
      </c>
      <c r="AC25" s="618" t="s">
        <v>204</v>
      </c>
      <c r="AD25" s="618" t="s">
        <v>205</v>
      </c>
      <c r="AE25" s="618" t="s">
        <v>206</v>
      </c>
      <c r="AF25" s="617" t="s">
        <v>207</v>
      </c>
    </row>
    <row r="26" spans="19:32" x14ac:dyDescent="0.25">
      <c r="S26" s="619" t="s">
        <v>90</v>
      </c>
      <c r="T26" s="620">
        <v>0</v>
      </c>
      <c r="U26" s="620">
        <v>47</v>
      </c>
      <c r="V26" s="620">
        <v>5</v>
      </c>
      <c r="W26" s="619">
        <v>1200</v>
      </c>
      <c r="AB26" s="619" t="s">
        <v>90</v>
      </c>
      <c r="AC26" s="620">
        <v>0</v>
      </c>
      <c r="AD26" s="620">
        <v>49</v>
      </c>
      <c r="AE26" s="620">
        <v>9</v>
      </c>
      <c r="AF26" s="619">
        <v>720.28599999999994</v>
      </c>
    </row>
    <row r="27" spans="19:32" x14ac:dyDescent="0.25">
      <c r="S27" s="619" t="s">
        <v>86</v>
      </c>
      <c r="T27" s="620">
        <v>0</v>
      </c>
      <c r="U27" s="620">
        <v>72</v>
      </c>
      <c r="V27" s="620">
        <v>18</v>
      </c>
      <c r="W27" s="619">
        <v>0</v>
      </c>
      <c r="AB27" s="619" t="s">
        <v>86</v>
      </c>
      <c r="AC27" s="620">
        <v>0</v>
      </c>
      <c r="AD27" s="620">
        <v>75</v>
      </c>
      <c r="AE27" s="620">
        <v>19</v>
      </c>
      <c r="AF27" s="619">
        <v>2.7</v>
      </c>
    </row>
    <row r="28" spans="19:32" x14ac:dyDescent="0.25">
      <c r="S28" s="619" t="s">
        <v>87</v>
      </c>
      <c r="T28" s="620">
        <v>0</v>
      </c>
      <c r="U28" s="620">
        <v>54</v>
      </c>
      <c r="V28" s="620">
        <v>14</v>
      </c>
      <c r="W28" s="619">
        <v>0</v>
      </c>
      <c r="AB28" s="619" t="s">
        <v>87</v>
      </c>
      <c r="AC28" s="620">
        <v>0</v>
      </c>
      <c r="AD28" s="620">
        <v>57</v>
      </c>
      <c r="AE28" s="620">
        <v>14</v>
      </c>
      <c r="AF28" s="619">
        <v>1.7</v>
      </c>
    </row>
    <row r="29" spans="19:32" x14ac:dyDescent="0.25">
      <c r="S29" s="619" t="s">
        <v>201</v>
      </c>
      <c r="T29" s="620">
        <v>0</v>
      </c>
      <c r="U29" s="620">
        <v>9</v>
      </c>
      <c r="V29" s="620">
        <v>7</v>
      </c>
      <c r="W29" s="619">
        <v>0</v>
      </c>
      <c r="AB29" s="619" t="s">
        <v>201</v>
      </c>
      <c r="AC29" s="620">
        <v>0</v>
      </c>
      <c r="AD29" s="620">
        <v>8</v>
      </c>
      <c r="AE29" s="620">
        <v>4</v>
      </c>
      <c r="AF29" s="619">
        <v>0.08</v>
      </c>
    </row>
    <row r="30" spans="19:32" x14ac:dyDescent="0.25">
      <c r="S30" s="619" t="s">
        <v>202</v>
      </c>
      <c r="T30" s="620">
        <v>0</v>
      </c>
      <c r="U30" s="620">
        <v>3</v>
      </c>
      <c r="V30" s="620">
        <v>0</v>
      </c>
      <c r="W30" s="619">
        <v>0</v>
      </c>
      <c r="AB30" s="619" t="s">
        <v>202</v>
      </c>
      <c r="AC30" s="620">
        <v>0</v>
      </c>
      <c r="AD30" s="620">
        <v>4</v>
      </c>
      <c r="AE30" s="620">
        <v>0</v>
      </c>
      <c r="AF30" s="619">
        <v>0.05</v>
      </c>
    </row>
    <row r="31" spans="19:32" x14ac:dyDescent="0.25">
      <c r="T31">
        <f>SUM(T26:T30)</f>
        <v>0</v>
      </c>
      <c r="U31">
        <f>SUM(U26:U30)</f>
        <v>185</v>
      </c>
      <c r="V31">
        <f>SUM(V26:V30)</f>
        <v>44</v>
      </c>
      <c r="W31">
        <f>SUM(W26:W30)</f>
        <v>1200</v>
      </c>
      <c r="AC31">
        <f>SUM(AC26:AC30)</f>
        <v>0</v>
      </c>
      <c r="AD31">
        <f>SUM(AD26:AD30)</f>
        <v>193</v>
      </c>
      <c r="AE31">
        <f>SUM(AE26:AE30)</f>
        <v>46</v>
      </c>
      <c r="AF31">
        <f>SUM(AF26:AF30)</f>
        <v>724.81600000000003</v>
      </c>
    </row>
  </sheetData>
  <mergeCells count="22">
    <mergeCell ref="BM1:BN1"/>
    <mergeCell ref="BO1:BP1"/>
    <mergeCell ref="BQ1:BR1"/>
    <mergeCell ref="BS1:BT1"/>
    <mergeCell ref="AC1:AD1"/>
    <mergeCell ref="AE1:AL1"/>
    <mergeCell ref="AM1:AQ1"/>
    <mergeCell ref="AR1:AT1"/>
    <mergeCell ref="AU1:BC1"/>
    <mergeCell ref="BD1:BL1"/>
    <mergeCell ref="Z1:AB1"/>
    <mergeCell ref="A1:A3"/>
    <mergeCell ref="B1:B3"/>
    <mergeCell ref="C1:E2"/>
    <mergeCell ref="F1:H2"/>
    <mergeCell ref="I1:K2"/>
    <mergeCell ref="L1:L2"/>
    <mergeCell ref="M1:M2"/>
    <mergeCell ref="N1:N2"/>
    <mergeCell ref="O1:Q1"/>
    <mergeCell ref="R1:U1"/>
    <mergeCell ref="V1:Y1"/>
  </mergeCells>
  <pageMargins left="0.7" right="0.7" top="0.75" bottom="0.75" header="0.3" footer="0.3"/>
  <pageSetup paperSize="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47"/>
  <sheetViews>
    <sheetView topLeftCell="F4" workbookViewId="0">
      <selection activeCell="P11" sqref="P11:Q11"/>
    </sheetView>
  </sheetViews>
  <sheetFormatPr defaultRowHeight="15" x14ac:dyDescent="0.25"/>
  <cols>
    <col min="17" max="17" width="10.5703125" bestFit="1" customWidth="1"/>
    <col min="26" max="26" width="9.7109375" bestFit="1" customWidth="1"/>
    <col min="27" max="28" width="9.28515625" bestFit="1" customWidth="1"/>
    <col min="29" max="29" width="9.7109375" customWidth="1"/>
    <col min="30" max="30" width="9.28515625" bestFit="1" customWidth="1"/>
    <col min="58" max="58" width="10.85546875" customWidth="1"/>
  </cols>
  <sheetData>
    <row r="1" spans="1:72" ht="15.75" x14ac:dyDescent="0.25">
      <c r="A1" s="1282" t="s">
        <v>0</v>
      </c>
      <c r="B1" s="1285" t="s">
        <v>1</v>
      </c>
      <c r="C1" s="1288" t="s">
        <v>2</v>
      </c>
      <c r="D1" s="1289"/>
      <c r="E1" s="1290"/>
      <c r="F1" s="1288" t="s">
        <v>3</v>
      </c>
      <c r="G1" s="1289"/>
      <c r="H1" s="1290"/>
      <c r="I1" s="1288" t="s">
        <v>4</v>
      </c>
      <c r="J1" s="1289"/>
      <c r="K1" s="1290"/>
      <c r="L1" s="1294" t="s">
        <v>5</v>
      </c>
      <c r="M1" s="1294" t="s">
        <v>6</v>
      </c>
      <c r="N1" s="1294" t="s">
        <v>7</v>
      </c>
      <c r="O1" s="1296" t="s">
        <v>8</v>
      </c>
      <c r="P1" s="1297"/>
      <c r="Q1" s="1298"/>
      <c r="R1" s="1299" t="s">
        <v>9</v>
      </c>
      <c r="S1" s="1300"/>
      <c r="T1" s="1300"/>
      <c r="U1" s="1301"/>
      <c r="V1" s="1302" t="s">
        <v>10</v>
      </c>
      <c r="W1" s="1303"/>
      <c r="X1" s="1303"/>
      <c r="Y1" s="1304"/>
      <c r="Z1" s="1279" t="s">
        <v>11</v>
      </c>
      <c r="AA1" s="1280"/>
      <c r="AB1" s="1281"/>
      <c r="AC1" s="1309" t="s">
        <v>12</v>
      </c>
      <c r="AD1" s="1310"/>
      <c r="AE1" s="1311" t="s">
        <v>13</v>
      </c>
      <c r="AF1" s="1312"/>
      <c r="AG1" s="1312"/>
      <c r="AH1" s="1312"/>
      <c r="AI1" s="1312"/>
      <c r="AJ1" s="1312"/>
      <c r="AK1" s="1312"/>
      <c r="AL1" s="1313"/>
      <c r="AM1" s="1314" t="s">
        <v>99</v>
      </c>
      <c r="AN1" s="1315"/>
      <c r="AO1" s="1315"/>
      <c r="AP1" s="1315"/>
      <c r="AQ1" s="1316"/>
      <c r="AR1" s="1317" t="s">
        <v>100</v>
      </c>
      <c r="AS1" s="1318"/>
      <c r="AT1" s="1319"/>
      <c r="AU1" s="1317" t="s">
        <v>101</v>
      </c>
      <c r="AV1" s="1318"/>
      <c r="AW1" s="1318"/>
      <c r="AX1" s="1318"/>
      <c r="AY1" s="1318"/>
      <c r="AZ1" s="1318"/>
      <c r="BA1" s="1318"/>
      <c r="BB1" s="1318"/>
      <c r="BC1" s="1319"/>
      <c r="BD1" s="1320" t="s">
        <v>14</v>
      </c>
      <c r="BE1" s="1321"/>
      <c r="BF1" s="1321"/>
      <c r="BG1" s="1321"/>
      <c r="BH1" s="1321"/>
      <c r="BI1" s="1321"/>
      <c r="BJ1" s="1321"/>
      <c r="BK1" s="1321"/>
      <c r="BL1" s="1322"/>
      <c r="BM1" s="1305" t="s">
        <v>15</v>
      </c>
      <c r="BN1" s="1306"/>
      <c r="BO1" s="1307" t="s">
        <v>16</v>
      </c>
      <c r="BP1" s="1308"/>
      <c r="BQ1" s="1305" t="s">
        <v>130</v>
      </c>
      <c r="BR1" s="1306"/>
      <c r="BS1" s="1323" t="s">
        <v>171</v>
      </c>
      <c r="BT1" s="1324"/>
    </row>
    <row r="2" spans="1:72" ht="225" x14ac:dyDescent="0.25">
      <c r="A2" s="1283"/>
      <c r="B2" s="1286"/>
      <c r="C2" s="1291"/>
      <c r="D2" s="1292"/>
      <c r="E2" s="1293"/>
      <c r="F2" s="1291"/>
      <c r="G2" s="1292"/>
      <c r="H2" s="1293"/>
      <c r="I2" s="1291"/>
      <c r="J2" s="1292"/>
      <c r="K2" s="1293"/>
      <c r="L2" s="1295"/>
      <c r="M2" s="1295"/>
      <c r="N2" s="1295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601" t="s">
        <v>23</v>
      </c>
      <c r="V2" s="42" t="s">
        <v>24</v>
      </c>
      <c r="W2" s="217" t="s">
        <v>25</v>
      </c>
      <c r="X2" s="218" t="s">
        <v>26</v>
      </c>
      <c r="Y2" s="602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599" t="s">
        <v>105</v>
      </c>
      <c r="AQ2" s="599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600" t="s">
        <v>14</v>
      </c>
      <c r="BE2" s="600" t="s">
        <v>167</v>
      </c>
      <c r="BF2" s="600" t="s">
        <v>39</v>
      </c>
      <c r="BG2" s="600" t="s">
        <v>40</v>
      </c>
      <c r="BH2" s="600" t="s">
        <v>41</v>
      </c>
      <c r="BI2" s="600" t="s">
        <v>42</v>
      </c>
      <c r="BJ2" s="600" t="s">
        <v>43</v>
      </c>
      <c r="BK2" s="600" t="s">
        <v>44</v>
      </c>
      <c r="BL2" s="600" t="s">
        <v>46</v>
      </c>
      <c r="BM2" s="598" t="s">
        <v>47</v>
      </c>
      <c r="BN2" s="598" t="s">
        <v>48</v>
      </c>
      <c r="BO2" s="599" t="s">
        <v>49</v>
      </c>
      <c r="BP2" s="599" t="s">
        <v>50</v>
      </c>
      <c r="BQ2" s="598" t="s">
        <v>131</v>
      </c>
      <c r="BR2" s="598" t="s">
        <v>132</v>
      </c>
      <c r="BS2" s="359" t="s">
        <v>172</v>
      </c>
      <c r="BT2" s="359" t="s">
        <v>173</v>
      </c>
    </row>
    <row r="3" spans="1:72" ht="75" x14ac:dyDescent="0.25">
      <c r="A3" s="1284"/>
      <c r="B3" s="1287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107" t="s">
        <v>54</v>
      </c>
      <c r="BR3" s="107" t="s">
        <v>54</v>
      </c>
      <c r="BS3" s="360" t="s">
        <v>120</v>
      </c>
      <c r="BT3" s="360" t="s">
        <v>174</v>
      </c>
    </row>
    <row r="4" spans="1:72" ht="15.75" x14ac:dyDescent="0.25">
      <c r="A4" s="603">
        <v>1</v>
      </c>
      <c r="B4" s="604">
        <v>2</v>
      </c>
      <c r="C4" s="29">
        <v>3</v>
      </c>
      <c r="D4" s="603">
        <v>4</v>
      </c>
      <c r="E4" s="604">
        <v>5</v>
      </c>
      <c r="F4" s="29">
        <v>6</v>
      </c>
      <c r="G4" s="603">
        <v>7</v>
      </c>
      <c r="H4" s="604">
        <v>8</v>
      </c>
      <c r="I4" s="29">
        <v>9</v>
      </c>
      <c r="J4" s="603">
        <v>10</v>
      </c>
      <c r="K4" s="604">
        <v>11</v>
      </c>
      <c r="L4" s="29">
        <v>12</v>
      </c>
      <c r="M4" s="603">
        <v>13</v>
      </c>
      <c r="N4" s="604">
        <v>14</v>
      </c>
      <c r="O4" s="29">
        <v>15</v>
      </c>
      <c r="P4" s="603">
        <v>16</v>
      </c>
      <c r="Q4" s="604">
        <v>17</v>
      </c>
      <c r="R4" s="29">
        <v>18</v>
      </c>
      <c r="S4" s="603">
        <v>19</v>
      </c>
      <c r="T4" s="604">
        <v>20</v>
      </c>
      <c r="U4" s="29">
        <v>21</v>
      </c>
      <c r="V4" s="603">
        <v>22</v>
      </c>
      <c r="W4" s="604">
        <v>23</v>
      </c>
      <c r="X4" s="29">
        <v>24</v>
      </c>
      <c r="Y4" s="603">
        <v>25</v>
      </c>
      <c r="Z4" s="604">
        <v>26</v>
      </c>
      <c r="AA4" s="29">
        <v>27</v>
      </c>
      <c r="AB4" s="603">
        <v>28</v>
      </c>
      <c r="AC4" s="604">
        <v>29</v>
      </c>
      <c r="AD4" s="29">
        <v>30</v>
      </c>
      <c r="AE4" s="603">
        <v>31</v>
      </c>
      <c r="AF4" s="604">
        <v>32</v>
      </c>
      <c r="AG4" s="29">
        <v>33</v>
      </c>
      <c r="AH4" s="603">
        <v>34</v>
      </c>
      <c r="AI4" s="604">
        <v>35</v>
      </c>
      <c r="AJ4" s="29">
        <v>36</v>
      </c>
      <c r="AK4" s="603">
        <v>37</v>
      </c>
      <c r="AL4" s="604">
        <v>38</v>
      </c>
      <c r="AM4" s="29">
        <v>39</v>
      </c>
      <c r="AN4" s="603">
        <v>40</v>
      </c>
      <c r="AO4" s="604">
        <v>41</v>
      </c>
      <c r="AP4" s="29">
        <v>42</v>
      </c>
      <c r="AQ4" s="603">
        <v>43</v>
      </c>
      <c r="AR4" s="604">
        <v>44</v>
      </c>
      <c r="AS4" s="29">
        <v>45</v>
      </c>
      <c r="AT4" s="603">
        <v>46</v>
      </c>
      <c r="AU4" s="604">
        <v>47</v>
      </c>
      <c r="AV4" s="29">
        <v>48</v>
      </c>
      <c r="AW4" s="603">
        <v>49</v>
      </c>
      <c r="AX4" s="604">
        <v>50</v>
      </c>
      <c r="AY4" s="29">
        <v>51</v>
      </c>
      <c r="AZ4" s="603">
        <v>52</v>
      </c>
      <c r="BA4" s="604">
        <v>53</v>
      </c>
      <c r="BB4" s="29">
        <v>54</v>
      </c>
      <c r="BC4" s="603">
        <v>55</v>
      </c>
      <c r="BD4" s="604">
        <v>56</v>
      </c>
      <c r="BE4" s="29">
        <v>57</v>
      </c>
      <c r="BF4" s="603">
        <v>58</v>
      </c>
      <c r="BG4" s="604">
        <v>59</v>
      </c>
      <c r="BH4" s="29">
        <v>60</v>
      </c>
      <c r="BI4" s="603">
        <v>61</v>
      </c>
      <c r="BJ4" s="604">
        <v>62</v>
      </c>
      <c r="BK4" s="29">
        <v>63</v>
      </c>
      <c r="BL4" s="604">
        <v>65</v>
      </c>
      <c r="BM4" s="29">
        <v>66</v>
      </c>
      <c r="BN4" s="603">
        <v>67</v>
      </c>
      <c r="BO4" s="604">
        <v>68</v>
      </c>
      <c r="BP4" s="29">
        <v>69</v>
      </c>
      <c r="BQ4" s="603">
        <v>70</v>
      </c>
      <c r="BR4" s="604">
        <v>71</v>
      </c>
      <c r="BS4" s="29">
        <v>72</v>
      </c>
      <c r="BT4" s="603">
        <v>73</v>
      </c>
    </row>
    <row r="5" spans="1:72" ht="15.75" x14ac:dyDescent="0.25">
      <c r="A5" s="605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8.59</v>
      </c>
      <c r="P5" s="605"/>
      <c r="Q5" s="605"/>
      <c r="R5" s="605">
        <v>40</v>
      </c>
      <c r="S5" s="605">
        <v>70</v>
      </c>
      <c r="T5" s="605">
        <v>25</v>
      </c>
      <c r="U5" s="605"/>
      <c r="V5" s="605">
        <v>30</v>
      </c>
      <c r="W5" s="605">
        <v>70</v>
      </c>
      <c r="X5" s="605">
        <v>25</v>
      </c>
      <c r="Y5" s="605"/>
      <c r="Z5" s="605">
        <v>5</v>
      </c>
      <c r="AA5" s="605">
        <v>70</v>
      </c>
      <c r="AB5" s="605">
        <v>25</v>
      </c>
      <c r="AC5" s="605">
        <v>10</v>
      </c>
      <c r="AD5" s="605">
        <v>20</v>
      </c>
      <c r="AE5" s="339"/>
      <c r="AF5" s="605"/>
      <c r="AG5" s="339"/>
      <c r="AH5" s="605"/>
      <c r="AI5" s="339"/>
      <c r="AJ5" s="605"/>
      <c r="AK5" s="339"/>
      <c r="AL5" s="605"/>
      <c r="AM5" s="605">
        <v>10</v>
      </c>
      <c r="AN5" s="605">
        <v>1500</v>
      </c>
      <c r="AO5" s="605">
        <v>1350</v>
      </c>
      <c r="AP5" s="339"/>
      <c r="AQ5" s="605"/>
      <c r="AR5" s="605">
        <v>2</v>
      </c>
      <c r="AS5" s="339"/>
      <c r="AT5" s="605"/>
      <c r="AU5" s="605">
        <v>3</v>
      </c>
      <c r="AV5" s="605">
        <v>70</v>
      </c>
      <c r="AW5" s="605"/>
      <c r="AX5" s="605"/>
      <c r="AY5" s="605"/>
      <c r="AZ5" s="605"/>
      <c r="BA5" s="605"/>
      <c r="BB5" s="605"/>
      <c r="BC5" s="605"/>
      <c r="BD5" s="339"/>
      <c r="BE5" s="339"/>
      <c r="BF5" s="339"/>
      <c r="BG5" s="339"/>
      <c r="BH5" s="339"/>
      <c r="BI5" s="605"/>
      <c r="BJ5" s="339"/>
      <c r="BK5" s="605"/>
      <c r="BL5" s="605"/>
      <c r="BM5" s="605"/>
      <c r="BN5" s="605"/>
      <c r="BO5" s="605"/>
      <c r="BP5" s="605"/>
      <c r="BQ5" s="605"/>
      <c r="BR5" s="605"/>
      <c r="BS5" s="188"/>
      <c r="BT5" s="188"/>
    </row>
    <row r="6" spans="1:72" ht="31.5" x14ac:dyDescent="0.25">
      <c r="A6" s="450">
        <v>60</v>
      </c>
      <c r="B6" s="451" t="s">
        <v>161</v>
      </c>
      <c r="C6" s="479">
        <v>5</v>
      </c>
      <c r="D6" s="479">
        <v>5</v>
      </c>
      <c r="E6" s="395">
        <v>10</v>
      </c>
      <c r="F6" s="480">
        <v>10</v>
      </c>
      <c r="G6" s="480">
        <v>10</v>
      </c>
      <c r="H6" s="395">
        <v>10</v>
      </c>
      <c r="I6" s="480">
        <v>1</v>
      </c>
      <c r="J6" s="480">
        <v>0</v>
      </c>
      <c r="K6" s="395">
        <v>1</v>
      </c>
      <c r="L6" s="480">
        <v>0</v>
      </c>
      <c r="M6" s="480" t="s">
        <v>176</v>
      </c>
      <c r="N6" s="480">
        <v>0</v>
      </c>
      <c r="O6" s="438">
        <f>SUM(R6,V6,Z6,AM6,AR6,AU6)</f>
        <v>7.423571428571428</v>
      </c>
      <c r="P6" s="438">
        <f>SUM(S6,W6,AA6,AC6,AN6,AV6)</f>
        <v>5.6584111111111106</v>
      </c>
      <c r="Q6" s="438">
        <f>SUM(T6,X6,AB6,AD6,AO6)</f>
        <v>1.3424291666666666</v>
      </c>
      <c r="R6" s="453">
        <f>Q17</f>
        <v>3.2993650793650793</v>
      </c>
      <c r="S6" s="453">
        <f>R6/100*70</f>
        <v>2.3095555555555554</v>
      </c>
      <c r="T6" s="453">
        <f>S6/100*25</f>
        <v>0.57738888888888884</v>
      </c>
      <c r="U6" s="453">
        <v>0</v>
      </c>
      <c r="V6" s="454">
        <f>Q18</f>
        <v>2.4745238095238093</v>
      </c>
      <c r="W6" s="454">
        <f>V6/100*70</f>
        <v>1.7321666666666666</v>
      </c>
      <c r="X6" s="454">
        <f>W6/100*25</f>
        <v>0.43304166666666666</v>
      </c>
      <c r="Y6" s="454">
        <v>0</v>
      </c>
      <c r="Z6" s="455">
        <f>Q19</f>
        <v>0.41242063492063491</v>
      </c>
      <c r="AA6" s="455">
        <f>Z6/100*70</f>
        <v>0.28869444444444442</v>
      </c>
      <c r="AB6" s="455">
        <f>AA6/100*25</f>
        <v>7.2173611111111105E-2</v>
      </c>
      <c r="AC6" s="456">
        <f>Q20/100*70</f>
        <v>0.57738888888888884</v>
      </c>
      <c r="AD6" s="456">
        <f>AC6/100*20</f>
        <v>0.11547777777777776</v>
      </c>
      <c r="AE6" s="395">
        <v>0</v>
      </c>
      <c r="AF6" s="395">
        <v>0</v>
      </c>
      <c r="AG6" s="395">
        <v>2</v>
      </c>
      <c r="AH6" s="395">
        <v>6</v>
      </c>
      <c r="AI6" s="395">
        <v>0</v>
      </c>
      <c r="AJ6" s="395">
        <v>0</v>
      </c>
      <c r="AK6" s="395">
        <v>0</v>
      </c>
      <c r="AL6" s="395">
        <v>0</v>
      </c>
      <c r="AM6" s="457">
        <f>Q21</f>
        <v>0.82484126984126982</v>
      </c>
      <c r="AN6" s="457">
        <f>AM6/100*70</f>
        <v>0.57738888888888884</v>
      </c>
      <c r="AO6" s="457">
        <f>AN6/100*25</f>
        <v>0.14434722222222221</v>
      </c>
      <c r="AP6" s="457">
        <v>0</v>
      </c>
      <c r="AQ6" s="457">
        <v>0</v>
      </c>
      <c r="AR6" s="458">
        <f>Q22</f>
        <v>0.16496825396825396</v>
      </c>
      <c r="AS6" s="469">
        <v>4</v>
      </c>
      <c r="AT6" s="459"/>
      <c r="AU6" s="460">
        <f>Q23</f>
        <v>0.24745238095238092</v>
      </c>
      <c r="AV6" s="458">
        <f>AU6/100*70</f>
        <v>0.17321666666666666</v>
      </c>
      <c r="AW6" s="458" t="s">
        <v>65</v>
      </c>
      <c r="AX6" s="458">
        <v>0</v>
      </c>
      <c r="AY6" s="458" t="s">
        <v>65</v>
      </c>
      <c r="AZ6" s="458">
        <v>0</v>
      </c>
      <c r="BA6" s="458" t="s">
        <v>65</v>
      </c>
      <c r="BB6" s="458" t="s">
        <v>65</v>
      </c>
      <c r="BC6" s="458" t="s">
        <v>65</v>
      </c>
      <c r="BD6" s="461">
        <v>1</v>
      </c>
      <c r="BE6" s="462" t="s">
        <v>169</v>
      </c>
      <c r="BF6" s="461">
        <v>26756.07</v>
      </c>
      <c r="BG6" s="461">
        <v>1.6</v>
      </c>
      <c r="BH6" s="463" t="s">
        <v>66</v>
      </c>
      <c r="BI6" s="461">
        <v>1450</v>
      </c>
      <c r="BJ6" s="461">
        <v>0</v>
      </c>
      <c r="BK6" s="461" t="s">
        <v>65</v>
      </c>
      <c r="BL6" s="461" t="s">
        <v>65</v>
      </c>
      <c r="BM6" s="464" t="s">
        <v>67</v>
      </c>
      <c r="BN6" s="464" t="s">
        <v>67</v>
      </c>
      <c r="BO6" s="465" t="s">
        <v>67</v>
      </c>
      <c r="BP6" s="465" t="s">
        <v>67</v>
      </c>
      <c r="BQ6" s="466">
        <v>0</v>
      </c>
      <c r="BR6" s="466">
        <v>0</v>
      </c>
      <c r="BS6" s="467" t="s">
        <v>67</v>
      </c>
      <c r="BT6" s="467" t="s">
        <v>175</v>
      </c>
    </row>
    <row r="7" spans="1:72" ht="31.5" x14ac:dyDescent="0.25">
      <c r="A7" s="50">
        <v>50</v>
      </c>
      <c r="B7" s="597" t="s">
        <v>121</v>
      </c>
      <c r="C7" s="341">
        <v>5</v>
      </c>
      <c r="D7" s="354">
        <v>6</v>
      </c>
      <c r="E7" s="342">
        <v>11</v>
      </c>
      <c r="F7" s="343">
        <v>5</v>
      </c>
      <c r="G7" s="343">
        <v>6</v>
      </c>
      <c r="H7" s="342">
        <v>11</v>
      </c>
      <c r="I7" s="343">
        <v>1</v>
      </c>
      <c r="J7" s="343">
        <v>0</v>
      </c>
      <c r="K7" s="342">
        <v>1</v>
      </c>
      <c r="L7" s="343">
        <v>0</v>
      </c>
      <c r="M7" s="343" t="s">
        <v>65</v>
      </c>
      <c r="N7" s="343">
        <v>0</v>
      </c>
      <c r="O7" s="438">
        <f>SUM(R7,V7,Z7,AM7,AR7,AU7)</f>
        <v>7.7650000000000006</v>
      </c>
      <c r="P7" s="438">
        <f>SUM(S7,W7,AA7,AC7,AN7,AV7)</f>
        <v>5.9186555555555556</v>
      </c>
      <c r="Q7" s="438">
        <f>SUM(T7,X7,AB7,AD7,AO7)</f>
        <v>1.4041708333333334</v>
      </c>
      <c r="R7" s="453">
        <f>V17</f>
        <v>3.4511111111111115</v>
      </c>
      <c r="S7" s="453">
        <f>R7/100*70</f>
        <v>2.415777777777778</v>
      </c>
      <c r="T7" s="453">
        <f>S7/100*25</f>
        <v>0.60394444444444451</v>
      </c>
      <c r="U7" s="345">
        <v>0</v>
      </c>
      <c r="V7" s="454">
        <f>V18</f>
        <v>2.5883333333333338</v>
      </c>
      <c r="W7" s="454">
        <f>V7/100*70</f>
        <v>1.8118333333333336</v>
      </c>
      <c r="X7" s="454">
        <f>W7/100*25</f>
        <v>0.45295833333333341</v>
      </c>
      <c r="Y7" s="346">
        <v>0</v>
      </c>
      <c r="Z7" s="455">
        <f>V19</f>
        <v>0.43138888888888893</v>
      </c>
      <c r="AA7" s="455">
        <f>Z7/100*70</f>
        <v>0.30197222222222225</v>
      </c>
      <c r="AB7" s="455">
        <f>AA7/100*25</f>
        <v>7.5493055555555563E-2</v>
      </c>
      <c r="AC7" s="456">
        <f>V20/100*70</f>
        <v>0.60394444444444451</v>
      </c>
      <c r="AD7" s="456">
        <f>AC7/100*20</f>
        <v>0.1207888888888889</v>
      </c>
      <c r="AE7" s="342">
        <v>0</v>
      </c>
      <c r="AF7" s="342">
        <v>0</v>
      </c>
      <c r="AG7" s="342">
        <v>1</v>
      </c>
      <c r="AH7" s="342">
        <v>1.6</v>
      </c>
      <c r="AI7" s="342">
        <v>0</v>
      </c>
      <c r="AJ7" s="342">
        <v>0</v>
      </c>
      <c r="AK7" s="342">
        <v>0</v>
      </c>
      <c r="AL7" s="342">
        <v>0</v>
      </c>
      <c r="AM7" s="457">
        <f>V21</f>
        <v>0.86277777777777787</v>
      </c>
      <c r="AN7" s="457">
        <f>AM7/100*70</f>
        <v>0.60394444444444451</v>
      </c>
      <c r="AO7" s="457">
        <f>AN7/100*25</f>
        <v>0.15098611111111113</v>
      </c>
      <c r="AP7" s="349">
        <v>0</v>
      </c>
      <c r="AQ7" s="349">
        <v>0</v>
      </c>
      <c r="AR7" s="458">
        <f>V22</f>
        <v>0.17255555555555557</v>
      </c>
      <c r="AS7" s="350">
        <v>1</v>
      </c>
      <c r="AT7" s="361"/>
      <c r="AU7" s="458">
        <f>V23</f>
        <v>0.25883333333333336</v>
      </c>
      <c r="AV7" s="458">
        <f>AU7/100*70</f>
        <v>0.18118333333333334</v>
      </c>
      <c r="AW7" s="350" t="s">
        <v>65</v>
      </c>
      <c r="AX7" s="350">
        <v>0</v>
      </c>
      <c r="AY7" s="350" t="s">
        <v>65</v>
      </c>
      <c r="AZ7" s="350">
        <v>0</v>
      </c>
      <c r="BA7" s="350" t="s">
        <v>65</v>
      </c>
      <c r="BB7" s="350" t="s">
        <v>65</v>
      </c>
      <c r="BC7" s="350" t="s">
        <v>67</v>
      </c>
      <c r="BD7" s="362">
        <v>1</v>
      </c>
      <c r="BE7" s="372" t="s">
        <v>170</v>
      </c>
      <c r="BF7" s="362">
        <v>15617.8</v>
      </c>
      <c r="BG7" s="368">
        <v>1.6</v>
      </c>
      <c r="BH7" s="362" t="s">
        <v>72</v>
      </c>
      <c r="BI7" s="362">
        <v>820</v>
      </c>
      <c r="BJ7" s="362">
        <v>0</v>
      </c>
      <c r="BK7" s="362" t="s">
        <v>65</v>
      </c>
      <c r="BL7" s="362" t="s">
        <v>65</v>
      </c>
      <c r="BM7" s="363" t="s">
        <v>67</v>
      </c>
      <c r="BN7" s="363" t="s">
        <v>67</v>
      </c>
      <c r="BO7" s="364" t="s">
        <v>65</v>
      </c>
      <c r="BP7" s="364" t="s">
        <v>65</v>
      </c>
      <c r="BQ7" s="66">
        <v>0</v>
      </c>
      <c r="BR7" s="66">
        <v>0</v>
      </c>
      <c r="BS7" s="467" t="s">
        <v>67</v>
      </c>
      <c r="BT7" s="467" t="s">
        <v>197</v>
      </c>
    </row>
    <row r="8" spans="1:72" x14ac:dyDescent="0.25">
      <c r="A8" s="526"/>
      <c r="B8" s="526"/>
      <c r="C8" s="526"/>
      <c r="D8" s="526"/>
      <c r="E8" s="526"/>
      <c r="F8" s="526"/>
      <c r="G8" s="526"/>
      <c r="H8" s="526"/>
      <c r="I8" s="526"/>
      <c r="J8" s="526"/>
      <c r="K8" s="526"/>
      <c r="L8" s="526"/>
      <c r="M8" s="526"/>
      <c r="N8" s="526"/>
      <c r="O8" s="526"/>
      <c r="P8" s="526"/>
      <c r="Q8" s="526"/>
      <c r="R8" s="526"/>
      <c r="S8" s="526"/>
      <c r="T8" s="526"/>
      <c r="U8" s="526"/>
      <c r="V8" s="526"/>
      <c r="W8" s="526"/>
      <c r="X8" s="526"/>
      <c r="Y8" s="526"/>
      <c r="Z8" s="526"/>
      <c r="AA8" s="526"/>
      <c r="AB8" s="526"/>
      <c r="AC8" s="526"/>
      <c r="AD8" s="526"/>
      <c r="AE8" s="526"/>
      <c r="AF8" s="526"/>
      <c r="AG8" s="526"/>
      <c r="AH8" s="526"/>
      <c r="AI8" s="526"/>
      <c r="AJ8" s="526"/>
      <c r="AK8" s="526"/>
      <c r="AL8" s="526"/>
      <c r="AM8" s="526"/>
      <c r="AN8" s="526"/>
      <c r="AO8" s="526"/>
      <c r="AP8" s="526"/>
      <c r="AQ8" s="526"/>
      <c r="AR8" s="526"/>
      <c r="AS8" s="526"/>
      <c r="AT8" s="526"/>
      <c r="AU8" s="526"/>
      <c r="AV8" s="526"/>
      <c r="AW8" s="526"/>
      <c r="AX8" s="526"/>
      <c r="AY8" s="526"/>
      <c r="AZ8" s="526"/>
      <c r="BA8" s="526"/>
      <c r="BB8" s="526"/>
      <c r="BC8" s="526"/>
      <c r="BD8" s="526"/>
      <c r="BE8" s="526"/>
      <c r="BF8" s="526"/>
      <c r="BG8" s="526"/>
      <c r="BH8" s="526"/>
      <c r="BI8" s="526"/>
      <c r="BJ8" s="526"/>
      <c r="BK8" s="526"/>
      <c r="BL8" s="526"/>
      <c r="BM8" s="526"/>
      <c r="BN8" s="526"/>
      <c r="BO8" s="526"/>
      <c r="BP8" s="526"/>
      <c r="BQ8" s="526"/>
      <c r="BR8" s="526"/>
      <c r="BS8" s="526"/>
      <c r="BT8" s="526"/>
    </row>
    <row r="9" spans="1:72" ht="31.5" x14ac:dyDescent="0.25">
      <c r="A9" s="50">
        <v>60</v>
      </c>
      <c r="B9" s="597" t="s">
        <v>161</v>
      </c>
      <c r="C9" s="341">
        <v>5</v>
      </c>
      <c r="D9" s="341">
        <v>5</v>
      </c>
      <c r="E9" s="342">
        <v>10</v>
      </c>
      <c r="F9" s="343">
        <v>10</v>
      </c>
      <c r="G9" s="343">
        <v>10</v>
      </c>
      <c r="H9" s="342">
        <v>10</v>
      </c>
      <c r="I9" s="343">
        <v>1</v>
      </c>
      <c r="J9" s="343">
        <v>0</v>
      </c>
      <c r="K9" s="342">
        <v>1</v>
      </c>
      <c r="L9" s="343">
        <v>0</v>
      </c>
      <c r="M9" s="480" t="s">
        <v>176</v>
      </c>
      <c r="N9" s="343">
        <v>0</v>
      </c>
      <c r="O9" s="394">
        <f>SUM(R9,V9,Z9,AM9,AR9,AU9)</f>
        <v>222.70714285714283</v>
      </c>
      <c r="P9" s="394">
        <f>SUM(S9,W9,AA9,AC9,AN9,AV9)</f>
        <v>169.7523333333333</v>
      </c>
      <c r="Q9" s="394">
        <f>SUM(T9,X9,AB9,AD9,AO9)</f>
        <v>40.272874999999999</v>
      </c>
      <c r="R9" s="527">
        <f>30*R6</f>
        <v>98.980952380952374</v>
      </c>
      <c r="S9" s="527">
        <f t="shared" ref="R9:T10" si="0">30*S6</f>
        <v>69.286666666666662</v>
      </c>
      <c r="T9" s="527">
        <f t="shared" si="0"/>
        <v>17.321666666666665</v>
      </c>
      <c r="U9" s="345">
        <v>0</v>
      </c>
      <c r="V9" s="454">
        <f t="shared" ref="V9:X10" si="1">30*V6</f>
        <v>74.23571428571428</v>
      </c>
      <c r="W9" s="528">
        <f t="shared" si="1"/>
        <v>51.964999999999996</v>
      </c>
      <c r="X9" s="528">
        <f t="shared" si="1"/>
        <v>12.991249999999999</v>
      </c>
      <c r="Y9" s="346">
        <v>0</v>
      </c>
      <c r="Z9" s="455">
        <f t="shared" ref="Z9:AD10" si="2">30*Z6</f>
        <v>12.372619047619047</v>
      </c>
      <c r="AA9" s="455">
        <f t="shared" si="2"/>
        <v>8.6608333333333327</v>
      </c>
      <c r="AB9" s="455">
        <f t="shared" si="2"/>
        <v>2.1652083333333332</v>
      </c>
      <c r="AC9" s="456">
        <f t="shared" si="2"/>
        <v>17.321666666666665</v>
      </c>
      <c r="AD9" s="456">
        <f t="shared" si="2"/>
        <v>3.4643333333333328</v>
      </c>
      <c r="AE9" s="342">
        <v>0</v>
      </c>
      <c r="AF9" s="342">
        <v>0</v>
      </c>
      <c r="AG9" s="342">
        <v>2</v>
      </c>
      <c r="AH9" s="342">
        <v>6</v>
      </c>
      <c r="AI9" s="342">
        <v>0</v>
      </c>
      <c r="AJ9" s="342">
        <v>0</v>
      </c>
      <c r="AK9" s="342">
        <v>0</v>
      </c>
      <c r="AL9" s="342">
        <v>0</v>
      </c>
      <c r="AM9" s="457">
        <f t="shared" ref="AM9:AO10" si="3">30*AM6</f>
        <v>24.745238095238093</v>
      </c>
      <c r="AN9" s="457">
        <f t="shared" si="3"/>
        <v>17.321666666666665</v>
      </c>
      <c r="AO9" s="457">
        <f t="shared" si="3"/>
        <v>4.3304166666666664</v>
      </c>
      <c r="AP9" s="457">
        <v>0</v>
      </c>
      <c r="AQ9" s="457">
        <v>0</v>
      </c>
      <c r="AR9" s="458">
        <f>30*AR6</f>
        <v>4.9490476190476187</v>
      </c>
      <c r="AS9" s="350">
        <v>4</v>
      </c>
      <c r="AT9" s="361"/>
      <c r="AU9" s="460">
        <f>30*AU6</f>
        <v>7.423571428571428</v>
      </c>
      <c r="AV9" s="458">
        <f>30*AV6</f>
        <v>5.1964999999999995</v>
      </c>
      <c r="AW9" s="342" t="s">
        <v>65</v>
      </c>
      <c r="AX9" s="342">
        <v>0</v>
      </c>
      <c r="AY9" s="342" t="s">
        <v>65</v>
      </c>
      <c r="AZ9" s="342">
        <v>0</v>
      </c>
      <c r="BA9" s="342" t="s">
        <v>65</v>
      </c>
      <c r="BB9" s="342" t="s">
        <v>65</v>
      </c>
      <c r="BC9" s="342" t="s">
        <v>65</v>
      </c>
      <c r="BD9" s="514">
        <v>1</v>
      </c>
      <c r="BE9" s="515" t="s">
        <v>170</v>
      </c>
      <c r="BF9" s="514">
        <v>1350</v>
      </c>
      <c r="BG9" s="514">
        <v>1.5</v>
      </c>
      <c r="BH9" s="516" t="s">
        <v>66</v>
      </c>
      <c r="BI9" s="514">
        <v>1260</v>
      </c>
      <c r="BJ9" s="514">
        <v>0</v>
      </c>
      <c r="BK9" s="514" t="s">
        <v>65</v>
      </c>
      <c r="BL9" s="514" t="s">
        <v>65</v>
      </c>
      <c r="BM9" s="514" t="s">
        <v>67</v>
      </c>
      <c r="BN9" s="514" t="s">
        <v>67</v>
      </c>
      <c r="BO9" s="514" t="s">
        <v>67</v>
      </c>
      <c r="BP9" s="514" t="s">
        <v>67</v>
      </c>
      <c r="BQ9" s="513">
        <v>0</v>
      </c>
      <c r="BR9" s="513">
        <v>0</v>
      </c>
      <c r="BS9" s="517" t="s">
        <v>67</v>
      </c>
      <c r="BT9" s="517" t="s">
        <v>175</v>
      </c>
    </row>
    <row r="10" spans="1:72" ht="31.5" x14ac:dyDescent="0.25">
      <c r="A10" s="50">
        <v>50</v>
      </c>
      <c r="B10" s="597" t="s">
        <v>121</v>
      </c>
      <c r="C10" s="341">
        <v>5</v>
      </c>
      <c r="D10" s="354">
        <v>6</v>
      </c>
      <c r="E10" s="342">
        <v>11</v>
      </c>
      <c r="F10" s="343">
        <v>5</v>
      </c>
      <c r="G10" s="343">
        <v>6</v>
      </c>
      <c r="H10" s="342">
        <v>11</v>
      </c>
      <c r="I10" s="343">
        <v>1</v>
      </c>
      <c r="J10" s="343">
        <v>0</v>
      </c>
      <c r="K10" s="342">
        <v>1</v>
      </c>
      <c r="L10" s="343">
        <v>0</v>
      </c>
      <c r="M10" s="343" t="s">
        <v>65</v>
      </c>
      <c r="N10" s="343">
        <v>0</v>
      </c>
      <c r="O10" s="394">
        <f>SUM(R10,V10,Z10,AM10,AR10,AU10)</f>
        <v>232.95000000000005</v>
      </c>
      <c r="P10" s="394">
        <f>SUM(S10,W10,AA10,AC10,AN10,AV10)</f>
        <v>177.55966666666669</v>
      </c>
      <c r="Q10" s="394">
        <f>SUM(T10,X10,AB10,AD10,AO10)</f>
        <v>42.125125000000004</v>
      </c>
      <c r="R10" s="527">
        <f t="shared" si="0"/>
        <v>103.53333333333335</v>
      </c>
      <c r="S10" s="527">
        <f t="shared" si="0"/>
        <v>72.473333333333343</v>
      </c>
      <c r="T10" s="453">
        <f t="shared" si="0"/>
        <v>18.118333333333336</v>
      </c>
      <c r="U10" s="345">
        <v>0</v>
      </c>
      <c r="V10" s="528">
        <f t="shared" si="1"/>
        <v>77.65000000000002</v>
      </c>
      <c r="W10" s="528">
        <f t="shared" si="1"/>
        <v>54.355000000000011</v>
      </c>
      <c r="X10" s="528">
        <f t="shared" si="1"/>
        <v>13.588750000000003</v>
      </c>
      <c r="Y10" s="346">
        <v>0</v>
      </c>
      <c r="Z10" s="455">
        <f t="shared" si="2"/>
        <v>12.941666666666668</v>
      </c>
      <c r="AA10" s="455">
        <f t="shared" si="2"/>
        <v>9.0591666666666679</v>
      </c>
      <c r="AB10" s="455">
        <f t="shared" si="2"/>
        <v>2.264791666666667</v>
      </c>
      <c r="AC10" s="456">
        <f t="shared" si="2"/>
        <v>18.118333333333336</v>
      </c>
      <c r="AD10" s="456">
        <f t="shared" si="2"/>
        <v>3.6236666666666673</v>
      </c>
      <c r="AE10" s="342">
        <v>0</v>
      </c>
      <c r="AF10" s="342">
        <v>0</v>
      </c>
      <c r="AG10" s="342">
        <v>1</v>
      </c>
      <c r="AH10" s="342">
        <v>1.6</v>
      </c>
      <c r="AI10" s="342">
        <v>0</v>
      </c>
      <c r="AJ10" s="342">
        <v>0</v>
      </c>
      <c r="AK10" s="342">
        <v>0</v>
      </c>
      <c r="AL10" s="342">
        <v>0</v>
      </c>
      <c r="AM10" s="457">
        <f t="shared" si="3"/>
        <v>25.883333333333336</v>
      </c>
      <c r="AN10" s="457">
        <f t="shared" si="3"/>
        <v>18.118333333333336</v>
      </c>
      <c r="AO10" s="457">
        <f t="shared" si="3"/>
        <v>4.529583333333334</v>
      </c>
      <c r="AP10" s="457">
        <v>0</v>
      </c>
      <c r="AQ10" s="457">
        <v>0</v>
      </c>
      <c r="AR10" s="458">
        <f>30*AR7</f>
        <v>5.1766666666666676</v>
      </c>
      <c r="AS10" s="350">
        <v>1</v>
      </c>
      <c r="AT10" s="361"/>
      <c r="AU10" s="458">
        <f>30*AU7</f>
        <v>7.7650000000000006</v>
      </c>
      <c r="AV10" s="458">
        <f>30*AV7</f>
        <v>5.4355000000000002</v>
      </c>
      <c r="AW10" s="342" t="s">
        <v>65</v>
      </c>
      <c r="AX10" s="342">
        <v>0</v>
      </c>
      <c r="AY10" s="342" t="s">
        <v>65</v>
      </c>
      <c r="AZ10" s="342">
        <v>0</v>
      </c>
      <c r="BA10" s="342" t="s">
        <v>65</v>
      </c>
      <c r="BB10" s="342" t="s">
        <v>65</v>
      </c>
      <c r="BC10" s="342" t="s">
        <v>67</v>
      </c>
      <c r="BD10" s="514">
        <v>1</v>
      </c>
      <c r="BE10" s="515" t="s">
        <v>170</v>
      </c>
      <c r="BF10" s="514">
        <v>15617.8</v>
      </c>
      <c r="BG10" s="514">
        <v>1.6</v>
      </c>
      <c r="BH10" s="514" t="s">
        <v>72</v>
      </c>
      <c r="BI10" s="514">
        <v>800</v>
      </c>
      <c r="BJ10" s="514">
        <v>0</v>
      </c>
      <c r="BK10" s="514" t="s">
        <v>65</v>
      </c>
      <c r="BL10" s="514" t="s">
        <v>65</v>
      </c>
      <c r="BM10" s="514" t="s">
        <v>67</v>
      </c>
      <c r="BN10" s="514" t="s">
        <v>67</v>
      </c>
      <c r="BO10" s="514" t="s">
        <v>65</v>
      </c>
      <c r="BP10" s="514" t="s">
        <v>65</v>
      </c>
      <c r="BQ10" s="513">
        <v>0</v>
      </c>
      <c r="BR10" s="513">
        <v>0</v>
      </c>
      <c r="BS10" s="517" t="s">
        <v>67</v>
      </c>
      <c r="BT10" s="517" t="s">
        <v>198</v>
      </c>
    </row>
    <row r="11" spans="1:72" x14ac:dyDescent="0.25">
      <c r="P11" s="393">
        <f>P9+P10</f>
        <v>347.31200000000001</v>
      </c>
      <c r="Q11" s="393">
        <f>Q9+Q10</f>
        <v>82.397999999999996</v>
      </c>
    </row>
    <row r="13" spans="1:72" x14ac:dyDescent="0.25">
      <c r="O13" s="1140" t="s">
        <v>196</v>
      </c>
      <c r="P13" s="1375"/>
      <c r="Q13" s="1375"/>
      <c r="R13" s="1141"/>
      <c r="T13" s="1140" t="s">
        <v>121</v>
      </c>
      <c r="U13" s="1375"/>
      <c r="V13" s="1375"/>
      <c r="W13" s="1141"/>
      <c r="X13" s="590"/>
      <c r="Y13" s="590"/>
    </row>
    <row r="14" spans="1:72" x14ac:dyDescent="0.25">
      <c r="O14" s="1127" t="s">
        <v>192</v>
      </c>
      <c r="P14" s="1128"/>
      <c r="Q14" s="591">
        <v>31179</v>
      </c>
      <c r="R14" s="591"/>
      <c r="T14" s="1127" t="s">
        <v>192</v>
      </c>
      <c r="U14" s="1128"/>
      <c r="V14" s="591">
        <v>32613</v>
      </c>
      <c r="W14" s="591"/>
      <c r="X14" s="589"/>
      <c r="Y14" s="589"/>
    </row>
    <row r="15" spans="1:72" x14ac:dyDescent="0.25">
      <c r="I15" s="393"/>
      <c r="L15" s="393"/>
      <c r="O15" s="1127" t="s">
        <v>193</v>
      </c>
      <c r="P15" s="1128"/>
      <c r="Q15" s="591">
        <v>240</v>
      </c>
      <c r="R15" s="591" t="s">
        <v>194</v>
      </c>
      <c r="T15" s="1127" t="s">
        <v>193</v>
      </c>
      <c r="U15" s="1128"/>
      <c r="V15" s="591">
        <v>240</v>
      </c>
      <c r="W15" s="591" t="s">
        <v>194</v>
      </c>
      <c r="X15" s="589"/>
      <c r="Y15" s="589"/>
    </row>
    <row r="16" spans="1:72" x14ac:dyDescent="0.25">
      <c r="O16" s="1127" t="s">
        <v>195</v>
      </c>
      <c r="P16" s="1128"/>
      <c r="Q16" s="596">
        <f>Q14*Q15/907200</f>
        <v>8.2484126984126984</v>
      </c>
      <c r="R16" s="591"/>
      <c r="T16" s="1127" t="s">
        <v>195</v>
      </c>
      <c r="U16" s="1128"/>
      <c r="V16" s="596">
        <f>V14*V15/907200</f>
        <v>8.6277777777777782</v>
      </c>
      <c r="W16" s="591"/>
      <c r="X16" s="594"/>
      <c r="Y16" s="589"/>
      <c r="AA16">
        <v>15</v>
      </c>
    </row>
    <row r="17" spans="8:27" x14ac:dyDescent="0.25">
      <c r="O17" s="1132" t="s">
        <v>9</v>
      </c>
      <c r="P17" s="1133"/>
      <c r="Q17" s="592">
        <f>Q16/100*40</f>
        <v>3.2993650793650793</v>
      </c>
      <c r="R17" s="591">
        <v>40</v>
      </c>
      <c r="T17" s="1132" t="s">
        <v>9</v>
      </c>
      <c r="U17" s="1133"/>
      <c r="V17" s="592">
        <f>V16/100*40</f>
        <v>3.4511111111111115</v>
      </c>
      <c r="W17" s="591">
        <v>40</v>
      </c>
      <c r="X17" s="595"/>
      <c r="Y17" s="589"/>
      <c r="AA17">
        <v>11</v>
      </c>
    </row>
    <row r="18" spans="8:27" x14ac:dyDescent="0.25">
      <c r="O18" s="1132" t="s">
        <v>10</v>
      </c>
      <c r="P18" s="1133"/>
      <c r="Q18" s="592">
        <f>Q16/100*30</f>
        <v>2.4745238095238093</v>
      </c>
      <c r="R18" s="591">
        <v>30</v>
      </c>
      <c r="T18" s="1132" t="s">
        <v>10</v>
      </c>
      <c r="U18" s="1133"/>
      <c r="V18" s="592">
        <f>V16/100*30</f>
        <v>2.5883333333333338</v>
      </c>
      <c r="W18" s="591">
        <v>30</v>
      </c>
      <c r="X18" s="595"/>
      <c r="Y18" s="589"/>
      <c r="AA18">
        <v>5</v>
      </c>
    </row>
    <row r="19" spans="8:27" ht="17.25" x14ac:dyDescent="0.25">
      <c r="I19" s="588"/>
      <c r="L19" s="393"/>
      <c r="O19" s="1132" t="s">
        <v>11</v>
      </c>
      <c r="P19" s="1133"/>
      <c r="Q19" s="592">
        <f>Q16/100*5</f>
        <v>0.41242063492063491</v>
      </c>
      <c r="R19" s="591">
        <v>5</v>
      </c>
      <c r="T19" s="1132" t="s">
        <v>11</v>
      </c>
      <c r="U19" s="1133"/>
      <c r="V19" s="592">
        <f>V16/100*5</f>
        <v>0.43138888888888893</v>
      </c>
      <c r="W19" s="591">
        <v>5</v>
      </c>
      <c r="X19" s="595"/>
      <c r="Y19" s="589"/>
      <c r="AA19">
        <v>11</v>
      </c>
    </row>
    <row r="20" spans="8:27" x14ac:dyDescent="0.25">
      <c r="H20" s="589"/>
      <c r="I20" s="589"/>
      <c r="J20" s="589"/>
      <c r="K20" s="589"/>
      <c r="L20" s="589"/>
      <c r="O20" s="1132" t="s">
        <v>12</v>
      </c>
      <c r="P20" s="1133"/>
      <c r="Q20" s="592">
        <f>Q16/100*10</f>
        <v>0.82484126984126982</v>
      </c>
      <c r="R20" s="591">
        <v>10</v>
      </c>
      <c r="T20" s="1132" t="s">
        <v>12</v>
      </c>
      <c r="U20" s="1133"/>
      <c r="V20" s="592">
        <f>V16/100*10</f>
        <v>0.86277777777777787</v>
      </c>
      <c r="W20" s="591">
        <v>10</v>
      </c>
      <c r="X20" s="594"/>
      <c r="Y20" s="589"/>
      <c r="AA20">
        <f>SUM(AA15:AA19)</f>
        <v>42</v>
      </c>
    </row>
    <row r="21" spans="8:27" x14ac:dyDescent="0.25">
      <c r="H21" s="589"/>
      <c r="I21" s="590"/>
      <c r="J21" s="589"/>
      <c r="K21" s="589"/>
      <c r="L21" s="589"/>
      <c r="O21" s="1132" t="s">
        <v>99</v>
      </c>
      <c r="P21" s="1133"/>
      <c r="Q21" s="592">
        <f>Q16/100*10</f>
        <v>0.82484126984126982</v>
      </c>
      <c r="R21" s="591">
        <v>10</v>
      </c>
      <c r="T21" s="1132" t="s">
        <v>99</v>
      </c>
      <c r="U21" s="1133"/>
      <c r="V21" s="592">
        <f>V16/100*10</f>
        <v>0.86277777777777787</v>
      </c>
      <c r="W21" s="591">
        <v>10</v>
      </c>
      <c r="X21" s="595"/>
      <c r="Y21" s="589"/>
      <c r="AA21">
        <v>40</v>
      </c>
    </row>
    <row r="22" spans="8:27" x14ac:dyDescent="0.25">
      <c r="H22" s="589"/>
      <c r="I22" s="589"/>
      <c r="J22" s="589"/>
      <c r="K22" s="589"/>
      <c r="L22" s="589"/>
      <c r="O22" s="1132" t="s">
        <v>100</v>
      </c>
      <c r="P22" s="1133"/>
      <c r="Q22" s="592">
        <f>Q16/100*2</f>
        <v>0.16496825396825396</v>
      </c>
      <c r="R22" s="591">
        <v>2</v>
      </c>
      <c r="T22" s="1132" t="s">
        <v>100</v>
      </c>
      <c r="U22" s="1133"/>
      <c r="V22" s="592">
        <f>V16/100*2</f>
        <v>0.17255555555555557</v>
      </c>
      <c r="W22" s="591">
        <v>2</v>
      </c>
      <c r="X22" s="595"/>
      <c r="Y22" s="589"/>
      <c r="AA22">
        <f>AA21-AA20</f>
        <v>-2</v>
      </c>
    </row>
    <row r="23" spans="8:27" x14ac:dyDescent="0.25">
      <c r="H23" s="589"/>
      <c r="I23" s="589"/>
      <c r="J23" s="589"/>
      <c r="K23" s="589"/>
      <c r="L23" s="589"/>
      <c r="O23" s="1132" t="s">
        <v>101</v>
      </c>
      <c r="P23" s="1133"/>
      <c r="Q23" s="592">
        <f>Q16/100*3</f>
        <v>0.24745238095238092</v>
      </c>
      <c r="R23" s="591">
        <v>3</v>
      </c>
      <c r="T23" s="1132" t="s">
        <v>101</v>
      </c>
      <c r="U23" s="1133"/>
      <c r="V23" s="592">
        <f>V16/100*3</f>
        <v>0.25883333333333336</v>
      </c>
      <c r="W23" s="591">
        <v>3</v>
      </c>
      <c r="X23" s="594"/>
      <c r="Y23" s="589"/>
    </row>
    <row r="24" spans="8:27" x14ac:dyDescent="0.25">
      <c r="H24" s="589"/>
      <c r="I24" s="589"/>
      <c r="J24" s="589"/>
      <c r="K24" s="589"/>
      <c r="L24" s="589"/>
      <c r="O24" s="1140" t="s">
        <v>89</v>
      </c>
      <c r="P24" s="1141"/>
      <c r="Q24" s="596">
        <f>SUM(Q17:Q23)</f>
        <v>8.2484126984126984</v>
      </c>
      <c r="R24" s="591">
        <f>SUM(R17:R23)</f>
        <v>100</v>
      </c>
      <c r="T24" s="1140" t="s">
        <v>89</v>
      </c>
      <c r="U24" s="1141"/>
      <c r="V24" s="596">
        <f>SUM(V17:V23)</f>
        <v>8.62777777777778</v>
      </c>
      <c r="W24" s="591">
        <f>SUM(W17:W23)</f>
        <v>100</v>
      </c>
      <c r="X24" s="593"/>
      <c r="Y24" s="589"/>
    </row>
    <row r="25" spans="8:27" x14ac:dyDescent="0.25">
      <c r="H25" s="589"/>
      <c r="I25" s="589"/>
      <c r="J25" s="589"/>
      <c r="K25" s="589"/>
      <c r="L25" s="589"/>
      <c r="T25" s="589"/>
      <c r="U25" s="589"/>
      <c r="V25" s="589"/>
      <c r="W25" s="589"/>
      <c r="X25" s="593"/>
      <c r="Y25" s="589"/>
    </row>
    <row r="26" spans="8:27" x14ac:dyDescent="0.25">
      <c r="H26" s="589"/>
      <c r="I26" s="589"/>
      <c r="J26" s="589"/>
      <c r="K26" s="589"/>
      <c r="L26" s="589"/>
    </row>
    <row r="28" spans="8:27" x14ac:dyDescent="0.25">
      <c r="P28" t="s">
        <v>199</v>
      </c>
    </row>
    <row r="29" spans="8:27" x14ac:dyDescent="0.25">
      <c r="Q29" s="449">
        <f>108*32613/1000000</f>
        <v>3.5222039999999999</v>
      </c>
    </row>
    <row r="30" spans="8:27" x14ac:dyDescent="0.25">
      <c r="Q30" s="449">
        <f>Q29*31</f>
        <v>109.18832399999999</v>
      </c>
    </row>
    <row r="32" spans="8:27" x14ac:dyDescent="0.25">
      <c r="P32" t="s">
        <v>200</v>
      </c>
    </row>
    <row r="33" spans="16:30" x14ac:dyDescent="0.25">
      <c r="Q33" s="449">
        <f>120*32613/250</f>
        <v>15654.24</v>
      </c>
    </row>
    <row r="34" spans="16:30" x14ac:dyDescent="0.25">
      <c r="Q34" s="449">
        <f>Q33/1000</f>
        <v>15.65424</v>
      </c>
    </row>
    <row r="35" spans="16:30" x14ac:dyDescent="0.25">
      <c r="Q35" s="449">
        <f>Q34*31</f>
        <v>485.28143999999998</v>
      </c>
    </row>
    <row r="36" spans="16:30" x14ac:dyDescent="0.25">
      <c r="Q36" s="449">
        <f>Q35/100*5</f>
        <v>24.264071999999999</v>
      </c>
    </row>
    <row r="41" spans="16:30" ht="36" x14ac:dyDescent="0.25">
      <c r="P41" s="622" t="s">
        <v>203</v>
      </c>
      <c r="Q41" s="621" t="s">
        <v>204</v>
      </c>
      <c r="R41" s="621" t="s">
        <v>205</v>
      </c>
      <c r="S41" s="621" t="s">
        <v>206</v>
      </c>
      <c r="T41" s="622" t="s">
        <v>207</v>
      </c>
      <c r="X41" s="1377" t="s">
        <v>203</v>
      </c>
      <c r="Y41" s="1377"/>
      <c r="Z41" s="621" t="s">
        <v>204</v>
      </c>
      <c r="AA41" s="621" t="s">
        <v>205</v>
      </c>
      <c r="AB41" s="621" t="s">
        <v>206</v>
      </c>
      <c r="AC41" s="622" t="s">
        <v>207</v>
      </c>
    </row>
    <row r="42" spans="16:30" x14ac:dyDescent="0.25">
      <c r="P42" s="619" t="s">
        <v>90</v>
      </c>
      <c r="Q42" s="620">
        <v>0</v>
      </c>
      <c r="R42" s="620">
        <v>38</v>
      </c>
      <c r="S42" s="620">
        <v>12</v>
      </c>
      <c r="T42" s="623">
        <v>1200</v>
      </c>
      <c r="V42" s="620">
        <v>7</v>
      </c>
      <c r="X42" s="1376" t="s">
        <v>90</v>
      </c>
      <c r="Y42" s="1376"/>
      <c r="Z42" s="620">
        <v>0</v>
      </c>
      <c r="AA42" s="620">
        <v>41</v>
      </c>
      <c r="AB42" s="620">
        <v>11</v>
      </c>
      <c r="AC42" s="1376">
        <v>720.28599999999994</v>
      </c>
      <c r="AD42" s="1376"/>
    </row>
    <row r="43" spans="16:30" x14ac:dyDescent="0.25">
      <c r="P43" s="619" t="s">
        <v>86</v>
      </c>
      <c r="Q43" s="620">
        <v>0</v>
      </c>
      <c r="R43" s="620">
        <v>69</v>
      </c>
      <c r="S43" s="620">
        <v>11</v>
      </c>
      <c r="T43" s="619">
        <v>0</v>
      </c>
      <c r="X43" s="1376" t="s">
        <v>86</v>
      </c>
      <c r="Y43" s="1376"/>
      <c r="Z43" s="620">
        <v>0</v>
      </c>
      <c r="AA43" s="620">
        <v>72</v>
      </c>
      <c r="AB43" s="620">
        <v>15</v>
      </c>
      <c r="AC43" s="1376">
        <v>2.7</v>
      </c>
      <c r="AD43" s="1376"/>
    </row>
    <row r="44" spans="16:30" x14ac:dyDescent="0.25">
      <c r="P44" s="619" t="s">
        <v>87</v>
      </c>
      <c r="Q44" s="620">
        <v>0</v>
      </c>
      <c r="R44" s="620">
        <v>52</v>
      </c>
      <c r="S44" s="620">
        <v>12</v>
      </c>
      <c r="T44" s="619">
        <v>0</v>
      </c>
      <c r="X44" s="1376" t="s">
        <v>87</v>
      </c>
      <c r="Y44" s="1376"/>
      <c r="Z44" s="620">
        <v>0</v>
      </c>
      <c r="AA44" s="620">
        <v>54</v>
      </c>
      <c r="AB44" s="620">
        <v>11</v>
      </c>
      <c r="AC44" s="1376">
        <v>1.7</v>
      </c>
      <c r="AD44" s="1376"/>
    </row>
    <row r="45" spans="16:30" x14ac:dyDescent="0.25">
      <c r="P45" s="619" t="s">
        <v>201</v>
      </c>
      <c r="Q45" s="620">
        <v>0</v>
      </c>
      <c r="R45" s="620">
        <v>8</v>
      </c>
      <c r="S45" s="620">
        <v>5</v>
      </c>
      <c r="T45" s="619">
        <v>0</v>
      </c>
      <c r="X45" s="1376" t="s">
        <v>201</v>
      </c>
      <c r="Y45" s="1376"/>
      <c r="Z45" s="620">
        <v>0</v>
      </c>
      <c r="AA45" s="620">
        <v>7</v>
      </c>
      <c r="AB45" s="620">
        <v>5</v>
      </c>
      <c r="AC45" s="1376">
        <v>0.08</v>
      </c>
      <c r="AD45" s="1376"/>
    </row>
    <row r="46" spans="16:30" x14ac:dyDescent="0.25">
      <c r="P46" s="619" t="s">
        <v>202</v>
      </c>
      <c r="Q46" s="620">
        <v>0</v>
      </c>
      <c r="R46" s="620">
        <v>3</v>
      </c>
      <c r="S46" s="620">
        <v>0</v>
      </c>
      <c r="T46" s="619">
        <v>0</v>
      </c>
      <c r="X46" s="1376" t="s">
        <v>202</v>
      </c>
      <c r="Y46" s="1376"/>
      <c r="Z46" s="620">
        <v>0</v>
      </c>
      <c r="AA46" s="620">
        <v>4</v>
      </c>
      <c r="AB46" s="620">
        <v>0</v>
      </c>
      <c r="AC46" s="1376">
        <v>0.05</v>
      </c>
      <c r="AD46" s="1376"/>
    </row>
    <row r="47" spans="16:30" x14ac:dyDescent="0.25">
      <c r="Q47" s="98">
        <f>SUM(Q42:Q46)</f>
        <v>0</v>
      </c>
      <c r="R47" s="98">
        <f>SUM(R42:R46)</f>
        <v>170</v>
      </c>
      <c r="S47" s="98">
        <f>SUM(S42:S46)</f>
        <v>40</v>
      </c>
      <c r="T47" s="98">
        <f>SUM(T42:T46)</f>
        <v>1200</v>
      </c>
      <c r="Z47" s="98">
        <f>SUM(Z42:Z46)</f>
        <v>0</v>
      </c>
      <c r="AA47" s="98">
        <f>SUM(AA42:AA46)</f>
        <v>178</v>
      </c>
      <c r="AB47" s="98">
        <f>SUM(AB42:AB46)</f>
        <v>42</v>
      </c>
      <c r="AC47" s="1378">
        <f>SUM(AC42:AC46)</f>
        <v>724.81600000000003</v>
      </c>
      <c r="AD47" s="1378"/>
    </row>
  </sheetData>
  <mergeCells count="58">
    <mergeCell ref="X42:Y42"/>
    <mergeCell ref="X41:Y41"/>
    <mergeCell ref="AC47:AD47"/>
    <mergeCell ref="X46:Y46"/>
    <mergeCell ref="X45:Y45"/>
    <mergeCell ref="X44:Y44"/>
    <mergeCell ref="X43:Y43"/>
    <mergeCell ref="AC42:AD42"/>
    <mergeCell ref="AC43:AD43"/>
    <mergeCell ref="AC44:AD44"/>
    <mergeCell ref="AC45:AD45"/>
    <mergeCell ref="AC46:AD46"/>
    <mergeCell ref="L1:L2"/>
    <mergeCell ref="A1:A3"/>
    <mergeCell ref="B1:B3"/>
    <mergeCell ref="C1:E2"/>
    <mergeCell ref="F1:H2"/>
    <mergeCell ref="I1:K2"/>
    <mergeCell ref="M1:M2"/>
    <mergeCell ref="N1:N2"/>
    <mergeCell ref="O1:Q1"/>
    <mergeCell ref="R1:U1"/>
    <mergeCell ref="V1:Y1"/>
    <mergeCell ref="BM1:BN1"/>
    <mergeCell ref="BO1:BP1"/>
    <mergeCell ref="BQ1:BR1"/>
    <mergeCell ref="BS1:BT1"/>
    <mergeCell ref="O13:R13"/>
    <mergeCell ref="T13:W13"/>
    <mergeCell ref="AC1:AD1"/>
    <mergeCell ref="AE1:AL1"/>
    <mergeCell ref="AM1:AQ1"/>
    <mergeCell ref="AR1:AT1"/>
    <mergeCell ref="AU1:BC1"/>
    <mergeCell ref="BD1:BL1"/>
    <mergeCell ref="Z1:AB1"/>
    <mergeCell ref="O14:P14"/>
    <mergeCell ref="T14:U14"/>
    <mergeCell ref="O15:P15"/>
    <mergeCell ref="T15:U15"/>
    <mergeCell ref="O16:P16"/>
    <mergeCell ref="T16:U16"/>
    <mergeCell ref="O17:P17"/>
    <mergeCell ref="T17:U17"/>
    <mergeCell ref="O18:P18"/>
    <mergeCell ref="T18:U18"/>
    <mergeCell ref="O19:P19"/>
    <mergeCell ref="T19:U19"/>
    <mergeCell ref="O23:P23"/>
    <mergeCell ref="T23:U23"/>
    <mergeCell ref="O24:P24"/>
    <mergeCell ref="T24:U24"/>
    <mergeCell ref="O20:P20"/>
    <mergeCell ref="T20:U20"/>
    <mergeCell ref="O21:P21"/>
    <mergeCell ref="T21:U21"/>
    <mergeCell ref="O22:P22"/>
    <mergeCell ref="T22:U22"/>
  </mergeCells>
  <pageMargins left="0.7" right="0.7" top="0.75" bottom="0.75" header="0.3" footer="0.3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50"/>
  <sheetViews>
    <sheetView topLeftCell="A7" workbookViewId="0">
      <selection activeCell="P11" sqref="P11:Q11"/>
    </sheetView>
  </sheetViews>
  <sheetFormatPr defaultRowHeight="15" x14ac:dyDescent="0.25"/>
  <cols>
    <col min="11" max="11" width="9.5703125" bestFit="1" customWidth="1"/>
    <col min="17" max="17" width="10.5703125" bestFit="1" customWidth="1"/>
    <col min="26" max="26" width="9.7109375" bestFit="1" customWidth="1"/>
    <col min="27" max="28" width="9.28515625" bestFit="1" customWidth="1"/>
    <col min="29" max="29" width="9.7109375" customWidth="1"/>
    <col min="30" max="30" width="9.28515625" bestFit="1" customWidth="1"/>
    <col min="58" max="58" width="10.85546875" customWidth="1"/>
  </cols>
  <sheetData>
    <row r="1" spans="1:72" ht="15.75" x14ac:dyDescent="0.25">
      <c r="A1" s="1282" t="s">
        <v>0</v>
      </c>
      <c r="B1" s="1285" t="s">
        <v>1</v>
      </c>
      <c r="C1" s="1288" t="s">
        <v>2</v>
      </c>
      <c r="D1" s="1289"/>
      <c r="E1" s="1290"/>
      <c r="F1" s="1288" t="s">
        <v>3</v>
      </c>
      <c r="G1" s="1289"/>
      <c r="H1" s="1290"/>
      <c r="I1" s="1288" t="s">
        <v>4</v>
      </c>
      <c r="J1" s="1289"/>
      <c r="K1" s="1290"/>
      <c r="L1" s="1294" t="s">
        <v>5</v>
      </c>
      <c r="M1" s="1294" t="s">
        <v>6</v>
      </c>
      <c r="N1" s="1294" t="s">
        <v>7</v>
      </c>
      <c r="O1" s="1296" t="s">
        <v>8</v>
      </c>
      <c r="P1" s="1297"/>
      <c r="Q1" s="1298"/>
      <c r="R1" s="1299" t="s">
        <v>9</v>
      </c>
      <c r="S1" s="1300"/>
      <c r="T1" s="1300"/>
      <c r="U1" s="1301"/>
      <c r="V1" s="1302" t="s">
        <v>10</v>
      </c>
      <c r="W1" s="1303"/>
      <c r="X1" s="1303"/>
      <c r="Y1" s="1304"/>
      <c r="Z1" s="1279" t="s">
        <v>11</v>
      </c>
      <c r="AA1" s="1280"/>
      <c r="AB1" s="1281"/>
      <c r="AC1" s="1309" t="s">
        <v>12</v>
      </c>
      <c r="AD1" s="1310"/>
      <c r="AE1" s="1311" t="s">
        <v>13</v>
      </c>
      <c r="AF1" s="1312"/>
      <c r="AG1" s="1312"/>
      <c r="AH1" s="1312"/>
      <c r="AI1" s="1312"/>
      <c r="AJ1" s="1312"/>
      <c r="AK1" s="1312"/>
      <c r="AL1" s="1313"/>
      <c r="AM1" s="1314" t="s">
        <v>99</v>
      </c>
      <c r="AN1" s="1315"/>
      <c r="AO1" s="1315"/>
      <c r="AP1" s="1315"/>
      <c r="AQ1" s="1316"/>
      <c r="AR1" s="1317" t="s">
        <v>100</v>
      </c>
      <c r="AS1" s="1318"/>
      <c r="AT1" s="1319"/>
      <c r="AU1" s="1317" t="s">
        <v>101</v>
      </c>
      <c r="AV1" s="1318"/>
      <c r="AW1" s="1318"/>
      <c r="AX1" s="1318"/>
      <c r="AY1" s="1318"/>
      <c r="AZ1" s="1318"/>
      <c r="BA1" s="1318"/>
      <c r="BB1" s="1318"/>
      <c r="BC1" s="1319"/>
      <c r="BD1" s="1320" t="s">
        <v>14</v>
      </c>
      <c r="BE1" s="1321"/>
      <c r="BF1" s="1321"/>
      <c r="BG1" s="1321"/>
      <c r="BH1" s="1321"/>
      <c r="BI1" s="1321"/>
      <c r="BJ1" s="1321"/>
      <c r="BK1" s="1321"/>
      <c r="BL1" s="1322"/>
      <c r="BM1" s="1305" t="s">
        <v>15</v>
      </c>
      <c r="BN1" s="1306"/>
      <c r="BO1" s="1307" t="s">
        <v>16</v>
      </c>
      <c r="BP1" s="1308"/>
      <c r="BQ1" s="1305" t="s">
        <v>130</v>
      </c>
      <c r="BR1" s="1306"/>
      <c r="BS1" s="1323" t="s">
        <v>171</v>
      </c>
      <c r="BT1" s="1324"/>
    </row>
    <row r="2" spans="1:72" ht="225" x14ac:dyDescent="0.25">
      <c r="A2" s="1283"/>
      <c r="B2" s="1286"/>
      <c r="C2" s="1291"/>
      <c r="D2" s="1292"/>
      <c r="E2" s="1293"/>
      <c r="F2" s="1291"/>
      <c r="G2" s="1292"/>
      <c r="H2" s="1293"/>
      <c r="I2" s="1291"/>
      <c r="J2" s="1292"/>
      <c r="K2" s="1293"/>
      <c r="L2" s="1295"/>
      <c r="M2" s="1295"/>
      <c r="N2" s="1295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625" t="s">
        <v>23</v>
      </c>
      <c r="V2" s="42" t="s">
        <v>24</v>
      </c>
      <c r="W2" s="217" t="s">
        <v>25</v>
      </c>
      <c r="X2" s="218" t="s">
        <v>26</v>
      </c>
      <c r="Y2" s="626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628" t="s">
        <v>105</v>
      </c>
      <c r="AQ2" s="628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629" t="s">
        <v>14</v>
      </c>
      <c r="BE2" s="629" t="s">
        <v>167</v>
      </c>
      <c r="BF2" s="629" t="s">
        <v>39</v>
      </c>
      <c r="BG2" s="629" t="s">
        <v>40</v>
      </c>
      <c r="BH2" s="629" t="s">
        <v>41</v>
      </c>
      <c r="BI2" s="629" t="s">
        <v>42</v>
      </c>
      <c r="BJ2" s="629" t="s">
        <v>43</v>
      </c>
      <c r="BK2" s="629" t="s">
        <v>44</v>
      </c>
      <c r="BL2" s="629" t="s">
        <v>46</v>
      </c>
      <c r="BM2" s="627" t="s">
        <v>47</v>
      </c>
      <c r="BN2" s="627" t="s">
        <v>48</v>
      </c>
      <c r="BO2" s="628" t="s">
        <v>49</v>
      </c>
      <c r="BP2" s="628" t="s">
        <v>50</v>
      </c>
      <c r="BQ2" s="627" t="s">
        <v>131</v>
      </c>
      <c r="BR2" s="627" t="s">
        <v>132</v>
      </c>
      <c r="BS2" s="359" t="s">
        <v>172</v>
      </c>
      <c r="BT2" s="359" t="s">
        <v>173</v>
      </c>
    </row>
    <row r="3" spans="1:72" ht="75" x14ac:dyDescent="0.25">
      <c r="A3" s="1284"/>
      <c r="B3" s="1287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107" t="s">
        <v>54</v>
      </c>
      <c r="BR3" s="107" t="s">
        <v>54</v>
      </c>
      <c r="BS3" s="360" t="s">
        <v>120</v>
      </c>
      <c r="BT3" s="360" t="s">
        <v>174</v>
      </c>
    </row>
    <row r="4" spans="1:72" ht="15.75" x14ac:dyDescent="0.25">
      <c r="A4" s="631">
        <v>1</v>
      </c>
      <c r="B4" s="632">
        <v>2</v>
      </c>
      <c r="C4" s="29">
        <v>3</v>
      </c>
      <c r="D4" s="631">
        <v>4</v>
      </c>
      <c r="E4" s="632">
        <v>5</v>
      </c>
      <c r="F4" s="29">
        <v>6</v>
      </c>
      <c r="G4" s="631">
        <v>7</v>
      </c>
      <c r="H4" s="632">
        <v>8</v>
      </c>
      <c r="I4" s="29">
        <v>9</v>
      </c>
      <c r="J4" s="631">
        <v>10</v>
      </c>
      <c r="K4" s="632">
        <v>11</v>
      </c>
      <c r="L4" s="29">
        <v>12</v>
      </c>
      <c r="M4" s="631">
        <v>13</v>
      </c>
      <c r="N4" s="632">
        <v>14</v>
      </c>
      <c r="O4" s="29">
        <v>15</v>
      </c>
      <c r="P4" s="631">
        <v>16</v>
      </c>
      <c r="Q4" s="632">
        <v>17</v>
      </c>
      <c r="R4" s="29">
        <v>18</v>
      </c>
      <c r="S4" s="631">
        <v>19</v>
      </c>
      <c r="T4" s="632">
        <v>20</v>
      </c>
      <c r="U4" s="29">
        <v>21</v>
      </c>
      <c r="V4" s="631">
        <v>22</v>
      </c>
      <c r="W4" s="632">
        <v>23</v>
      </c>
      <c r="X4" s="29">
        <v>24</v>
      </c>
      <c r="Y4" s="631">
        <v>25</v>
      </c>
      <c r="Z4" s="632">
        <v>26</v>
      </c>
      <c r="AA4" s="29">
        <v>27</v>
      </c>
      <c r="AB4" s="631">
        <v>28</v>
      </c>
      <c r="AC4" s="632">
        <v>29</v>
      </c>
      <c r="AD4" s="29">
        <v>30</v>
      </c>
      <c r="AE4" s="631">
        <v>31</v>
      </c>
      <c r="AF4" s="632">
        <v>32</v>
      </c>
      <c r="AG4" s="29">
        <v>33</v>
      </c>
      <c r="AH4" s="631">
        <v>34</v>
      </c>
      <c r="AI4" s="632">
        <v>35</v>
      </c>
      <c r="AJ4" s="29">
        <v>36</v>
      </c>
      <c r="AK4" s="631">
        <v>37</v>
      </c>
      <c r="AL4" s="632">
        <v>38</v>
      </c>
      <c r="AM4" s="29">
        <v>39</v>
      </c>
      <c r="AN4" s="631">
        <v>40</v>
      </c>
      <c r="AO4" s="632">
        <v>41</v>
      </c>
      <c r="AP4" s="29">
        <v>42</v>
      </c>
      <c r="AQ4" s="631">
        <v>43</v>
      </c>
      <c r="AR4" s="632">
        <v>44</v>
      </c>
      <c r="AS4" s="29">
        <v>45</v>
      </c>
      <c r="AT4" s="631">
        <v>46</v>
      </c>
      <c r="AU4" s="632">
        <v>47</v>
      </c>
      <c r="AV4" s="29">
        <v>48</v>
      </c>
      <c r="AW4" s="631">
        <v>49</v>
      </c>
      <c r="AX4" s="632">
        <v>50</v>
      </c>
      <c r="AY4" s="29">
        <v>51</v>
      </c>
      <c r="AZ4" s="631">
        <v>52</v>
      </c>
      <c r="BA4" s="632">
        <v>53</v>
      </c>
      <c r="BB4" s="29">
        <v>54</v>
      </c>
      <c r="BC4" s="631">
        <v>55</v>
      </c>
      <c r="BD4" s="632">
        <v>56</v>
      </c>
      <c r="BE4" s="29">
        <v>57</v>
      </c>
      <c r="BF4" s="631">
        <v>58</v>
      </c>
      <c r="BG4" s="632">
        <v>59</v>
      </c>
      <c r="BH4" s="29">
        <v>60</v>
      </c>
      <c r="BI4" s="631">
        <v>61</v>
      </c>
      <c r="BJ4" s="632">
        <v>62</v>
      </c>
      <c r="BK4" s="29">
        <v>63</v>
      </c>
      <c r="BL4" s="632">
        <v>65</v>
      </c>
      <c r="BM4" s="29">
        <v>66</v>
      </c>
      <c r="BN4" s="631">
        <v>67</v>
      </c>
      <c r="BO4" s="632">
        <v>68</v>
      </c>
      <c r="BP4" s="29">
        <v>69</v>
      </c>
      <c r="BQ4" s="631">
        <v>70</v>
      </c>
      <c r="BR4" s="632">
        <v>71</v>
      </c>
      <c r="BS4" s="29">
        <v>72</v>
      </c>
      <c r="BT4" s="631">
        <v>73</v>
      </c>
    </row>
    <row r="5" spans="1:72" ht="15.75" x14ac:dyDescent="0.25">
      <c r="A5" s="630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8.59</v>
      </c>
      <c r="P5" s="630"/>
      <c r="Q5" s="630"/>
      <c r="R5" s="630">
        <v>40</v>
      </c>
      <c r="S5" s="630">
        <v>70</v>
      </c>
      <c r="T5" s="630">
        <v>25</v>
      </c>
      <c r="U5" s="630"/>
      <c r="V5" s="630">
        <v>30</v>
      </c>
      <c r="W5" s="630">
        <v>70</v>
      </c>
      <c r="X5" s="630">
        <v>25</v>
      </c>
      <c r="Y5" s="630"/>
      <c r="Z5" s="630">
        <v>5</v>
      </c>
      <c r="AA5" s="630">
        <v>70</v>
      </c>
      <c r="AB5" s="630">
        <v>25</v>
      </c>
      <c r="AC5" s="630">
        <v>10</v>
      </c>
      <c r="AD5" s="630">
        <v>20</v>
      </c>
      <c r="AE5" s="339"/>
      <c r="AF5" s="630"/>
      <c r="AG5" s="339"/>
      <c r="AH5" s="630"/>
      <c r="AI5" s="339"/>
      <c r="AJ5" s="630"/>
      <c r="AK5" s="339"/>
      <c r="AL5" s="630"/>
      <c r="AM5" s="630">
        <v>10</v>
      </c>
      <c r="AN5" s="630">
        <v>1500</v>
      </c>
      <c r="AO5" s="630">
        <v>1350</v>
      </c>
      <c r="AP5" s="339"/>
      <c r="AQ5" s="630"/>
      <c r="AR5" s="630">
        <v>2</v>
      </c>
      <c r="AS5" s="339"/>
      <c r="AT5" s="630"/>
      <c r="AU5" s="630">
        <v>3</v>
      </c>
      <c r="AV5" s="630">
        <v>70</v>
      </c>
      <c r="AW5" s="630"/>
      <c r="AX5" s="630"/>
      <c r="AY5" s="630"/>
      <c r="AZ5" s="630"/>
      <c r="BA5" s="630"/>
      <c r="BB5" s="630"/>
      <c r="BC5" s="630"/>
      <c r="BD5" s="339"/>
      <c r="BE5" s="339"/>
      <c r="BF5" s="339"/>
      <c r="BG5" s="339"/>
      <c r="BH5" s="339"/>
      <c r="BI5" s="630"/>
      <c r="BJ5" s="339"/>
      <c r="BK5" s="630"/>
      <c r="BL5" s="630"/>
      <c r="BM5" s="630"/>
      <c r="BN5" s="630"/>
      <c r="BO5" s="630"/>
      <c r="BP5" s="630"/>
      <c r="BQ5" s="630"/>
      <c r="BR5" s="630"/>
      <c r="BS5" s="188"/>
      <c r="BT5" s="188"/>
    </row>
    <row r="6" spans="1:72" ht="31.5" x14ac:dyDescent="0.25">
      <c r="A6" s="450">
        <v>60</v>
      </c>
      <c r="B6" s="451" t="s">
        <v>161</v>
      </c>
      <c r="C6" s="479">
        <v>5</v>
      </c>
      <c r="D6" s="479">
        <v>5</v>
      </c>
      <c r="E6" s="395">
        <v>10</v>
      </c>
      <c r="F6" s="480">
        <v>10</v>
      </c>
      <c r="G6" s="480">
        <v>10</v>
      </c>
      <c r="H6" s="395">
        <v>10</v>
      </c>
      <c r="I6" s="480">
        <v>1</v>
      </c>
      <c r="J6" s="480">
        <v>0</v>
      </c>
      <c r="K6" s="395">
        <v>1</v>
      </c>
      <c r="L6" s="480">
        <v>0</v>
      </c>
      <c r="M6" s="480" t="s">
        <v>176</v>
      </c>
      <c r="N6" s="480">
        <v>0</v>
      </c>
      <c r="O6" s="438">
        <f>SUM(R6,V6,Z6,AM6,AR6,AU6)</f>
        <v>7.8875446428571419</v>
      </c>
      <c r="P6" s="438">
        <f>SUM(S6,W6,AA6,AC6,AN6,AV6)</f>
        <v>6.0120618055555557</v>
      </c>
      <c r="Q6" s="438">
        <f>SUM(T6,X6,AB6,AD6,AO6)</f>
        <v>1.4263309895833334</v>
      </c>
      <c r="R6" s="453">
        <f>Q17</f>
        <v>3.5055753968253969</v>
      </c>
      <c r="S6" s="453">
        <f>R6/100*70</f>
        <v>2.453902777777778</v>
      </c>
      <c r="T6" s="453">
        <f>S6/100*25</f>
        <v>0.6134756944444445</v>
      </c>
      <c r="U6" s="453">
        <v>0</v>
      </c>
      <c r="V6" s="454">
        <f>Q18</f>
        <v>2.6291815476190474</v>
      </c>
      <c r="W6" s="454">
        <f>V6/100*70</f>
        <v>1.8404270833333334</v>
      </c>
      <c r="X6" s="454">
        <f>W6/100*25</f>
        <v>0.46010677083333335</v>
      </c>
      <c r="Y6" s="454">
        <v>0</v>
      </c>
      <c r="Z6" s="455">
        <f>Q19</f>
        <v>0.43819692460317461</v>
      </c>
      <c r="AA6" s="455">
        <f>Z6/100*70</f>
        <v>0.30673784722222225</v>
      </c>
      <c r="AB6" s="455">
        <f>AA6/100*25</f>
        <v>7.6684461805555562E-2</v>
      </c>
      <c r="AC6" s="456">
        <f>Q20/100*70</f>
        <v>0.6134756944444445</v>
      </c>
      <c r="AD6" s="456">
        <f>AC6/100*20</f>
        <v>0.1226951388888889</v>
      </c>
      <c r="AE6" s="395">
        <v>0</v>
      </c>
      <c r="AF6" s="395">
        <v>0</v>
      </c>
      <c r="AG6" s="395">
        <v>2</v>
      </c>
      <c r="AH6" s="395">
        <v>6</v>
      </c>
      <c r="AI6" s="395">
        <v>0</v>
      </c>
      <c r="AJ6" s="395">
        <v>0</v>
      </c>
      <c r="AK6" s="395">
        <v>0</v>
      </c>
      <c r="AL6" s="395">
        <v>0</v>
      </c>
      <c r="AM6" s="457">
        <f>Q21</f>
        <v>0.87639384920634922</v>
      </c>
      <c r="AN6" s="457">
        <f>AM6/100*70</f>
        <v>0.6134756944444445</v>
      </c>
      <c r="AO6" s="457">
        <f>AN6/100*25</f>
        <v>0.15336892361111112</v>
      </c>
      <c r="AP6" s="457">
        <v>0</v>
      </c>
      <c r="AQ6" s="457">
        <v>0</v>
      </c>
      <c r="AR6" s="458">
        <f>Q22</f>
        <v>0.17527876984126983</v>
      </c>
      <c r="AS6" s="469">
        <v>4</v>
      </c>
      <c r="AT6" s="459"/>
      <c r="AU6" s="460">
        <f>Q23</f>
        <v>0.26291815476190472</v>
      </c>
      <c r="AV6" s="458">
        <f>AU6/100*70</f>
        <v>0.1840427083333333</v>
      </c>
      <c r="AW6" s="458" t="s">
        <v>65</v>
      </c>
      <c r="AX6" s="458">
        <v>0</v>
      </c>
      <c r="AY6" s="458" t="s">
        <v>65</v>
      </c>
      <c r="AZ6" s="458">
        <v>0</v>
      </c>
      <c r="BA6" s="458" t="s">
        <v>65</v>
      </c>
      <c r="BB6" s="458" t="s">
        <v>65</v>
      </c>
      <c r="BC6" s="458" t="s">
        <v>65</v>
      </c>
      <c r="BD6" s="461">
        <v>1</v>
      </c>
      <c r="BE6" s="462" t="s">
        <v>169</v>
      </c>
      <c r="BF6" s="461">
        <v>26756.07</v>
      </c>
      <c r="BG6" s="461">
        <v>1.6</v>
      </c>
      <c r="BH6" s="463" t="s">
        <v>66</v>
      </c>
      <c r="BI6" s="461">
        <v>1450</v>
      </c>
      <c r="BJ6" s="461">
        <v>0</v>
      </c>
      <c r="BK6" s="461" t="s">
        <v>65</v>
      </c>
      <c r="BL6" s="461" t="s">
        <v>65</v>
      </c>
      <c r="BM6" s="464" t="s">
        <v>67</v>
      </c>
      <c r="BN6" s="464" t="s">
        <v>67</v>
      </c>
      <c r="BO6" s="465" t="s">
        <v>67</v>
      </c>
      <c r="BP6" s="465" t="s">
        <v>67</v>
      </c>
      <c r="BQ6" s="466">
        <v>0</v>
      </c>
      <c r="BR6" s="466">
        <v>0</v>
      </c>
      <c r="BS6" s="467" t="s">
        <v>67</v>
      </c>
      <c r="BT6" s="467" t="s">
        <v>175</v>
      </c>
    </row>
    <row r="7" spans="1:72" ht="31.5" x14ac:dyDescent="0.25">
      <c r="A7" s="50">
        <v>50</v>
      </c>
      <c r="B7" s="624" t="s">
        <v>121</v>
      </c>
      <c r="C7" s="341">
        <v>5</v>
      </c>
      <c r="D7" s="354">
        <v>6</v>
      </c>
      <c r="E7" s="342">
        <v>11</v>
      </c>
      <c r="F7" s="343">
        <v>5</v>
      </c>
      <c r="G7" s="343">
        <v>6</v>
      </c>
      <c r="H7" s="342">
        <v>11</v>
      </c>
      <c r="I7" s="343">
        <v>1</v>
      </c>
      <c r="J7" s="343">
        <v>0</v>
      </c>
      <c r="K7" s="342">
        <v>1</v>
      </c>
      <c r="L7" s="343">
        <v>0</v>
      </c>
      <c r="M7" s="343" t="s">
        <v>65</v>
      </c>
      <c r="N7" s="343">
        <v>0</v>
      </c>
      <c r="O7" s="438">
        <f>SUM(R7,V7,Z7,AM7,AR7,AU7)</f>
        <v>8.2503124999999997</v>
      </c>
      <c r="P7" s="438">
        <f>SUM(S7,W7,AA7,AC7,AN7,AV7)</f>
        <v>6.2885715277777781</v>
      </c>
      <c r="Q7" s="438">
        <f>SUM(T7,X7,AB7,AD7,AO7)</f>
        <v>1.4919315104166666</v>
      </c>
      <c r="R7" s="453">
        <f>V17</f>
        <v>3.6668055555555554</v>
      </c>
      <c r="S7" s="453">
        <f>R7/100*70</f>
        <v>2.5667638888888886</v>
      </c>
      <c r="T7" s="453">
        <f>S7/100*25</f>
        <v>0.64169097222222216</v>
      </c>
      <c r="U7" s="345">
        <v>0</v>
      </c>
      <c r="V7" s="454">
        <f>V18</f>
        <v>2.7501041666666666</v>
      </c>
      <c r="W7" s="454">
        <f>V7/100*70</f>
        <v>1.9250729166666667</v>
      </c>
      <c r="X7" s="454">
        <f>W7/100*25</f>
        <v>0.48126822916666667</v>
      </c>
      <c r="Y7" s="346">
        <v>0</v>
      </c>
      <c r="Z7" s="455">
        <f>V19</f>
        <v>0.45835069444444443</v>
      </c>
      <c r="AA7" s="455">
        <f>Z7/100*70</f>
        <v>0.32084548611111108</v>
      </c>
      <c r="AB7" s="455">
        <f>AA7/100*25</f>
        <v>8.0211371527777769E-2</v>
      </c>
      <c r="AC7" s="456">
        <f>V20/100*70</f>
        <v>0.64169097222222216</v>
      </c>
      <c r="AD7" s="456">
        <f>AC7/100*20</f>
        <v>0.12833819444444444</v>
      </c>
      <c r="AE7" s="342">
        <v>0</v>
      </c>
      <c r="AF7" s="342">
        <v>0</v>
      </c>
      <c r="AG7" s="342">
        <v>1</v>
      </c>
      <c r="AH7" s="342">
        <v>1.6</v>
      </c>
      <c r="AI7" s="342">
        <v>0</v>
      </c>
      <c r="AJ7" s="342">
        <v>0</v>
      </c>
      <c r="AK7" s="342">
        <v>0</v>
      </c>
      <c r="AL7" s="342">
        <v>0</v>
      </c>
      <c r="AM7" s="457">
        <f>V21</f>
        <v>0.91670138888888886</v>
      </c>
      <c r="AN7" s="457">
        <f>AM7/100*70</f>
        <v>0.64169097222222216</v>
      </c>
      <c r="AO7" s="457">
        <f>AN7/100*25</f>
        <v>0.16042274305555554</v>
      </c>
      <c r="AP7" s="349">
        <v>0</v>
      </c>
      <c r="AQ7" s="349">
        <v>0</v>
      </c>
      <c r="AR7" s="458">
        <f>V22</f>
        <v>0.18334027777777778</v>
      </c>
      <c r="AS7" s="350">
        <v>1</v>
      </c>
      <c r="AT7" s="361"/>
      <c r="AU7" s="458">
        <f>V23</f>
        <v>0.2750104166666667</v>
      </c>
      <c r="AV7" s="458">
        <f>AU7/100*70</f>
        <v>0.19250729166666669</v>
      </c>
      <c r="AW7" s="350" t="s">
        <v>65</v>
      </c>
      <c r="AX7" s="350">
        <v>0</v>
      </c>
      <c r="AY7" s="350" t="s">
        <v>65</v>
      </c>
      <c r="AZ7" s="350">
        <v>0</v>
      </c>
      <c r="BA7" s="350" t="s">
        <v>65</v>
      </c>
      <c r="BB7" s="350" t="s">
        <v>65</v>
      </c>
      <c r="BC7" s="350" t="s">
        <v>67</v>
      </c>
      <c r="BD7" s="362">
        <v>1</v>
      </c>
      <c r="BE7" s="372" t="s">
        <v>170</v>
      </c>
      <c r="BF7" s="362">
        <v>15617.8</v>
      </c>
      <c r="BG7" s="368">
        <v>1.6</v>
      </c>
      <c r="BH7" s="362" t="s">
        <v>72</v>
      </c>
      <c r="BI7" s="362">
        <v>820</v>
      </c>
      <c r="BJ7" s="362">
        <v>0</v>
      </c>
      <c r="BK7" s="362" t="s">
        <v>65</v>
      </c>
      <c r="BL7" s="362" t="s">
        <v>65</v>
      </c>
      <c r="BM7" s="363" t="s">
        <v>67</v>
      </c>
      <c r="BN7" s="363" t="s">
        <v>67</v>
      </c>
      <c r="BO7" s="364" t="s">
        <v>65</v>
      </c>
      <c r="BP7" s="364" t="s">
        <v>65</v>
      </c>
      <c r="BQ7" s="66">
        <v>0</v>
      </c>
      <c r="BR7" s="66">
        <v>0</v>
      </c>
      <c r="BS7" s="467" t="s">
        <v>67</v>
      </c>
      <c r="BT7" s="467" t="s">
        <v>197</v>
      </c>
    </row>
    <row r="8" spans="1:72" x14ac:dyDescent="0.25">
      <c r="A8" s="526"/>
      <c r="B8" s="526"/>
      <c r="C8" s="526"/>
      <c r="D8" s="526"/>
      <c r="E8" s="526"/>
      <c r="F8" s="526"/>
      <c r="G8" s="526"/>
      <c r="H8" s="526"/>
      <c r="I8" s="526"/>
      <c r="J8" s="526"/>
      <c r="K8" s="526"/>
      <c r="L8" s="526"/>
      <c r="M8" s="526"/>
      <c r="N8" s="526"/>
      <c r="O8" s="526"/>
      <c r="P8" s="526"/>
      <c r="Q8" s="526"/>
      <c r="R8" s="526"/>
      <c r="S8" s="526"/>
      <c r="T8" s="526"/>
      <c r="U8" s="526"/>
      <c r="V8" s="526"/>
      <c r="W8" s="526"/>
      <c r="X8" s="526"/>
      <c r="Y8" s="526"/>
      <c r="Z8" s="526"/>
      <c r="AA8" s="526"/>
      <c r="AB8" s="526"/>
      <c r="AC8" s="526"/>
      <c r="AD8" s="526"/>
      <c r="AE8" s="526"/>
      <c r="AF8" s="526"/>
      <c r="AG8" s="526"/>
      <c r="AH8" s="526"/>
      <c r="AI8" s="526"/>
      <c r="AJ8" s="526"/>
      <c r="AK8" s="526"/>
      <c r="AL8" s="526"/>
      <c r="AM8" s="526"/>
      <c r="AN8" s="526"/>
      <c r="AO8" s="526"/>
      <c r="AP8" s="526"/>
      <c r="AQ8" s="526"/>
      <c r="AR8" s="526"/>
      <c r="AS8" s="526"/>
      <c r="AT8" s="526"/>
      <c r="AU8" s="526"/>
      <c r="AV8" s="526"/>
      <c r="AW8" s="526"/>
      <c r="AX8" s="526"/>
      <c r="AY8" s="526"/>
      <c r="AZ8" s="526"/>
      <c r="BA8" s="526"/>
      <c r="BB8" s="526"/>
      <c r="BC8" s="526"/>
      <c r="BD8" s="526"/>
      <c r="BE8" s="526"/>
      <c r="BF8" s="526"/>
      <c r="BG8" s="526"/>
      <c r="BH8" s="526"/>
      <c r="BI8" s="526"/>
      <c r="BJ8" s="526"/>
      <c r="BK8" s="526"/>
      <c r="BL8" s="526"/>
      <c r="BM8" s="526"/>
      <c r="BN8" s="526"/>
      <c r="BO8" s="526"/>
      <c r="BP8" s="526"/>
      <c r="BQ8" s="526"/>
      <c r="BR8" s="526"/>
      <c r="BS8" s="526"/>
      <c r="BT8" s="526"/>
    </row>
    <row r="9" spans="1:72" ht="31.5" x14ac:dyDescent="0.25">
      <c r="A9" s="50">
        <v>60</v>
      </c>
      <c r="B9" s="624" t="s">
        <v>161</v>
      </c>
      <c r="C9" s="341">
        <v>5</v>
      </c>
      <c r="D9" s="341">
        <v>5</v>
      </c>
      <c r="E9" s="342">
        <v>10</v>
      </c>
      <c r="F9" s="343">
        <v>10</v>
      </c>
      <c r="G9" s="343">
        <v>10</v>
      </c>
      <c r="H9" s="342">
        <v>10</v>
      </c>
      <c r="I9" s="343">
        <v>1</v>
      </c>
      <c r="J9" s="343">
        <v>0</v>
      </c>
      <c r="K9" s="342">
        <v>1</v>
      </c>
      <c r="L9" s="343">
        <v>0</v>
      </c>
      <c r="M9" s="480" t="s">
        <v>176</v>
      </c>
      <c r="N9" s="343">
        <v>0</v>
      </c>
      <c r="O9" s="394">
        <f>SUM(R9,V9,Z9,AM9,AR9,AU9)</f>
        <v>236.62633928571427</v>
      </c>
      <c r="P9" s="394">
        <f>SUM(S9,W9,AA9,AC9,AN9,AV9)</f>
        <v>180.36185416666666</v>
      </c>
      <c r="Q9" s="394">
        <f>SUM(T9,X9,AB9,AD9,AO9)</f>
        <v>42.789929687500006</v>
      </c>
      <c r="R9" s="527">
        <f>30*R6</f>
        <v>105.1672619047619</v>
      </c>
      <c r="S9" s="527">
        <f t="shared" ref="R9:T10" si="0">30*S6</f>
        <v>73.617083333333341</v>
      </c>
      <c r="T9" s="527">
        <f t="shared" si="0"/>
        <v>18.404270833333335</v>
      </c>
      <c r="U9" s="345">
        <v>0</v>
      </c>
      <c r="V9" s="454">
        <f t="shared" ref="V9:X10" si="1">30*V6</f>
        <v>78.875446428571422</v>
      </c>
      <c r="W9" s="528">
        <f t="shared" si="1"/>
        <v>55.212812499999998</v>
      </c>
      <c r="X9" s="528">
        <f t="shared" si="1"/>
        <v>13.803203125</v>
      </c>
      <c r="Y9" s="346">
        <v>0</v>
      </c>
      <c r="Z9" s="455">
        <f t="shared" ref="Z9:AD10" si="2">30*Z6</f>
        <v>13.145907738095238</v>
      </c>
      <c r="AA9" s="455">
        <f t="shared" si="2"/>
        <v>9.2021354166666676</v>
      </c>
      <c r="AB9" s="455">
        <f t="shared" si="2"/>
        <v>2.3005338541666669</v>
      </c>
      <c r="AC9" s="456">
        <f t="shared" si="2"/>
        <v>18.404270833333335</v>
      </c>
      <c r="AD9" s="456">
        <f t="shared" si="2"/>
        <v>3.6808541666666672</v>
      </c>
      <c r="AE9" s="342">
        <v>0</v>
      </c>
      <c r="AF9" s="342">
        <v>0</v>
      </c>
      <c r="AG9" s="342">
        <v>2</v>
      </c>
      <c r="AH9" s="342">
        <v>6</v>
      </c>
      <c r="AI9" s="342">
        <v>0</v>
      </c>
      <c r="AJ9" s="342">
        <v>0</v>
      </c>
      <c r="AK9" s="342">
        <v>0</v>
      </c>
      <c r="AL9" s="342">
        <v>0</v>
      </c>
      <c r="AM9" s="457">
        <f t="shared" ref="AM9:AO10" si="3">30*AM6</f>
        <v>26.291815476190475</v>
      </c>
      <c r="AN9" s="457">
        <f t="shared" si="3"/>
        <v>18.404270833333335</v>
      </c>
      <c r="AO9" s="457">
        <f t="shared" si="3"/>
        <v>4.6010677083333338</v>
      </c>
      <c r="AP9" s="457">
        <v>0</v>
      </c>
      <c r="AQ9" s="457">
        <v>0</v>
      </c>
      <c r="AR9" s="458">
        <f>30*AR6</f>
        <v>5.2583630952380949</v>
      </c>
      <c r="AS9" s="350">
        <v>4</v>
      </c>
      <c r="AT9" s="361"/>
      <c r="AU9" s="460">
        <f>30*AU6</f>
        <v>7.8875446428571419</v>
      </c>
      <c r="AV9" s="458">
        <f>30*AV6</f>
        <v>5.5212812499999995</v>
      </c>
      <c r="AW9" s="342" t="s">
        <v>65</v>
      </c>
      <c r="AX9" s="342">
        <v>0</v>
      </c>
      <c r="AY9" s="342" t="s">
        <v>65</v>
      </c>
      <c r="AZ9" s="342">
        <v>0</v>
      </c>
      <c r="BA9" s="342" t="s">
        <v>65</v>
      </c>
      <c r="BB9" s="342" t="s">
        <v>65</v>
      </c>
      <c r="BC9" s="342" t="s">
        <v>65</v>
      </c>
      <c r="BD9" s="514">
        <v>1</v>
      </c>
      <c r="BE9" s="515" t="s">
        <v>170</v>
      </c>
      <c r="BF9" s="514">
        <v>1350</v>
      </c>
      <c r="BG9" s="514">
        <v>1.5</v>
      </c>
      <c r="BH9" s="516" t="s">
        <v>66</v>
      </c>
      <c r="BI9" s="514">
        <v>1260</v>
      </c>
      <c r="BJ9" s="514">
        <v>0</v>
      </c>
      <c r="BK9" s="514" t="s">
        <v>65</v>
      </c>
      <c r="BL9" s="514" t="s">
        <v>65</v>
      </c>
      <c r="BM9" s="514" t="s">
        <v>67</v>
      </c>
      <c r="BN9" s="514" t="s">
        <v>67</v>
      </c>
      <c r="BO9" s="514" t="s">
        <v>67</v>
      </c>
      <c r="BP9" s="514" t="s">
        <v>67</v>
      </c>
      <c r="BQ9" s="513">
        <v>0</v>
      </c>
      <c r="BR9" s="513">
        <v>0</v>
      </c>
      <c r="BS9" s="517" t="s">
        <v>67</v>
      </c>
      <c r="BT9" s="517" t="s">
        <v>175</v>
      </c>
    </row>
    <row r="10" spans="1:72" ht="31.5" x14ac:dyDescent="0.25">
      <c r="A10" s="50">
        <v>50</v>
      </c>
      <c r="B10" s="624" t="s">
        <v>121</v>
      </c>
      <c r="C10" s="341">
        <v>5</v>
      </c>
      <c r="D10" s="354">
        <v>6</v>
      </c>
      <c r="E10" s="342">
        <v>11</v>
      </c>
      <c r="F10" s="343">
        <v>5</v>
      </c>
      <c r="G10" s="343">
        <v>6</v>
      </c>
      <c r="H10" s="342">
        <v>11</v>
      </c>
      <c r="I10" s="343">
        <v>1</v>
      </c>
      <c r="J10" s="343">
        <v>0</v>
      </c>
      <c r="K10" s="342">
        <v>1</v>
      </c>
      <c r="L10" s="343">
        <v>0</v>
      </c>
      <c r="M10" s="343" t="s">
        <v>65</v>
      </c>
      <c r="N10" s="343">
        <v>0</v>
      </c>
      <c r="O10" s="394">
        <f>SUM(R10,V10,Z10,AM10,AR10,AU10)</f>
        <v>247.50937499999998</v>
      </c>
      <c r="P10" s="394">
        <f>SUM(S10,W10,AA10,AC10,AN10,AV10)</f>
        <v>188.65714583333332</v>
      </c>
      <c r="Q10" s="394">
        <f>SUM(T10,X10,AB10,AD10,AO10)</f>
        <v>44.757945312499999</v>
      </c>
      <c r="R10" s="527">
        <f t="shared" si="0"/>
        <v>110.00416666666666</v>
      </c>
      <c r="S10" s="527">
        <f t="shared" si="0"/>
        <v>77.002916666666664</v>
      </c>
      <c r="T10" s="453">
        <f t="shared" si="0"/>
        <v>19.250729166666666</v>
      </c>
      <c r="U10" s="345">
        <v>0</v>
      </c>
      <c r="V10" s="528">
        <f t="shared" si="1"/>
        <v>82.503124999999997</v>
      </c>
      <c r="W10" s="528">
        <f t="shared" si="1"/>
        <v>57.752187499999998</v>
      </c>
      <c r="X10" s="528">
        <f t="shared" si="1"/>
        <v>14.438046875</v>
      </c>
      <c r="Y10" s="346">
        <v>0</v>
      </c>
      <c r="Z10" s="455">
        <f t="shared" si="2"/>
        <v>13.750520833333333</v>
      </c>
      <c r="AA10" s="455">
        <f t="shared" si="2"/>
        <v>9.625364583333333</v>
      </c>
      <c r="AB10" s="455">
        <f t="shared" si="2"/>
        <v>2.4063411458333333</v>
      </c>
      <c r="AC10" s="456">
        <f t="shared" si="2"/>
        <v>19.250729166666666</v>
      </c>
      <c r="AD10" s="456">
        <f t="shared" si="2"/>
        <v>3.8501458333333334</v>
      </c>
      <c r="AE10" s="342">
        <v>0</v>
      </c>
      <c r="AF10" s="342">
        <v>0</v>
      </c>
      <c r="AG10" s="342">
        <v>1</v>
      </c>
      <c r="AH10" s="342">
        <v>1.6</v>
      </c>
      <c r="AI10" s="342">
        <v>0</v>
      </c>
      <c r="AJ10" s="342">
        <v>0</v>
      </c>
      <c r="AK10" s="342">
        <v>0</v>
      </c>
      <c r="AL10" s="342">
        <v>0</v>
      </c>
      <c r="AM10" s="457">
        <f t="shared" si="3"/>
        <v>27.501041666666666</v>
      </c>
      <c r="AN10" s="457">
        <f t="shared" si="3"/>
        <v>19.250729166666666</v>
      </c>
      <c r="AO10" s="457">
        <f t="shared" si="3"/>
        <v>4.8126822916666665</v>
      </c>
      <c r="AP10" s="457">
        <v>0</v>
      </c>
      <c r="AQ10" s="457">
        <v>0</v>
      </c>
      <c r="AR10" s="458">
        <f>30*AR7</f>
        <v>5.5002083333333331</v>
      </c>
      <c r="AS10" s="350">
        <v>1</v>
      </c>
      <c r="AT10" s="361"/>
      <c r="AU10" s="458">
        <f>30*AU7</f>
        <v>8.2503125000000015</v>
      </c>
      <c r="AV10" s="458">
        <f>30*AV7</f>
        <v>5.7752187500000005</v>
      </c>
      <c r="AW10" s="342" t="s">
        <v>65</v>
      </c>
      <c r="AX10" s="342">
        <v>0</v>
      </c>
      <c r="AY10" s="342" t="s">
        <v>65</v>
      </c>
      <c r="AZ10" s="342">
        <v>0</v>
      </c>
      <c r="BA10" s="342" t="s">
        <v>65</v>
      </c>
      <c r="BB10" s="342" t="s">
        <v>65</v>
      </c>
      <c r="BC10" s="342" t="s">
        <v>67</v>
      </c>
      <c r="BD10" s="514">
        <v>1</v>
      </c>
      <c r="BE10" s="515" t="s">
        <v>170</v>
      </c>
      <c r="BF10" s="514">
        <v>15617.8</v>
      </c>
      <c r="BG10" s="514">
        <v>1.6</v>
      </c>
      <c r="BH10" s="514" t="s">
        <v>72</v>
      </c>
      <c r="BI10" s="514">
        <v>800</v>
      </c>
      <c r="BJ10" s="514">
        <v>0</v>
      </c>
      <c r="BK10" s="514" t="s">
        <v>65</v>
      </c>
      <c r="BL10" s="514" t="s">
        <v>65</v>
      </c>
      <c r="BM10" s="514" t="s">
        <v>67</v>
      </c>
      <c r="BN10" s="514" t="s">
        <v>67</v>
      </c>
      <c r="BO10" s="514" t="s">
        <v>65</v>
      </c>
      <c r="BP10" s="514" t="s">
        <v>65</v>
      </c>
      <c r="BQ10" s="513">
        <v>0</v>
      </c>
      <c r="BR10" s="513">
        <v>0</v>
      </c>
      <c r="BS10" s="517" t="s">
        <v>67</v>
      </c>
      <c r="BT10" s="517" t="s">
        <v>198</v>
      </c>
    </row>
    <row r="11" spans="1:72" x14ac:dyDescent="0.25">
      <c r="P11" s="393">
        <f>P9+P10</f>
        <v>369.01900000000001</v>
      </c>
      <c r="Q11" s="393">
        <f>Q9+Q10</f>
        <v>87.547875000000005</v>
      </c>
    </row>
    <row r="13" spans="1:72" x14ac:dyDescent="0.25">
      <c r="O13" s="1140" t="s">
        <v>196</v>
      </c>
      <c r="P13" s="1375"/>
      <c r="Q13" s="1375"/>
      <c r="R13" s="1141"/>
      <c r="T13" s="1140" t="s">
        <v>121</v>
      </c>
      <c r="U13" s="1375"/>
      <c r="V13" s="1375"/>
      <c r="W13" s="1141"/>
      <c r="X13" s="590"/>
      <c r="Y13" s="590"/>
    </row>
    <row r="14" spans="1:72" x14ac:dyDescent="0.25">
      <c r="L14">
        <v>19.25</v>
      </c>
      <c r="O14" s="1127" t="s">
        <v>192</v>
      </c>
      <c r="P14" s="1128"/>
      <c r="Q14" s="591">
        <v>31179</v>
      </c>
      <c r="R14" s="591"/>
      <c r="T14" s="1127" t="s">
        <v>192</v>
      </c>
      <c r="U14" s="1128"/>
      <c r="V14" s="591">
        <v>32613</v>
      </c>
      <c r="W14" s="591"/>
      <c r="X14" s="589"/>
      <c r="Y14" s="589"/>
    </row>
    <row r="15" spans="1:72" x14ac:dyDescent="0.25">
      <c r="G15">
        <v>189</v>
      </c>
      <c r="L15" s="393">
        <v>14</v>
      </c>
      <c r="O15" s="1127" t="s">
        <v>193</v>
      </c>
      <c r="P15" s="1128"/>
      <c r="Q15" s="591">
        <v>255</v>
      </c>
      <c r="R15" s="591" t="s">
        <v>194</v>
      </c>
      <c r="T15" s="1127" t="s">
        <v>193</v>
      </c>
      <c r="U15" s="1128"/>
      <c r="V15" s="591">
        <v>255</v>
      </c>
      <c r="W15" s="591" t="s">
        <v>194</v>
      </c>
      <c r="X15" s="589"/>
      <c r="Y15" s="589"/>
    </row>
    <row r="16" spans="1:72" x14ac:dyDescent="0.25">
      <c r="G16">
        <v>146</v>
      </c>
      <c r="L16">
        <v>4</v>
      </c>
      <c r="O16" s="1127" t="s">
        <v>195</v>
      </c>
      <c r="P16" s="1128"/>
      <c r="Q16" s="596">
        <f>Q14*Q15/907200</f>
        <v>8.7639384920634917</v>
      </c>
      <c r="R16" s="591"/>
      <c r="T16" s="1127" t="s">
        <v>195</v>
      </c>
      <c r="U16" s="1128"/>
      <c r="V16" s="596">
        <f>V14*V15/907200</f>
        <v>9.1670138888888886</v>
      </c>
      <c r="W16" s="591"/>
      <c r="X16" s="594"/>
      <c r="Y16" s="589"/>
      <c r="AA16">
        <v>15</v>
      </c>
    </row>
    <row r="17" spans="7:27" x14ac:dyDescent="0.25">
      <c r="G17">
        <f>G15-G16</f>
        <v>43</v>
      </c>
      <c r="L17" s="393">
        <f>SUM(L14,L15,L16,L13)</f>
        <v>37.25</v>
      </c>
      <c r="O17" s="1132" t="s">
        <v>9</v>
      </c>
      <c r="P17" s="1133"/>
      <c r="Q17" s="592">
        <f>Q16/100*40</f>
        <v>3.5055753968253969</v>
      </c>
      <c r="R17" s="591">
        <v>40</v>
      </c>
      <c r="T17" s="1132" t="s">
        <v>9</v>
      </c>
      <c r="U17" s="1133"/>
      <c r="V17" s="592">
        <f>V16/100*40</f>
        <v>3.6668055555555554</v>
      </c>
      <c r="W17" s="591">
        <v>40</v>
      </c>
      <c r="X17" s="595"/>
      <c r="Y17" s="589"/>
      <c r="AA17">
        <v>11</v>
      </c>
    </row>
    <row r="18" spans="7:27" x14ac:dyDescent="0.25">
      <c r="L18" s="393">
        <f>Q10-L17</f>
        <v>7.5079453124999986</v>
      </c>
      <c r="O18" s="1132" t="s">
        <v>10</v>
      </c>
      <c r="P18" s="1133"/>
      <c r="Q18" s="592">
        <f>Q16/100*30</f>
        <v>2.6291815476190474</v>
      </c>
      <c r="R18" s="591">
        <v>30</v>
      </c>
      <c r="T18" s="1132" t="s">
        <v>10</v>
      </c>
      <c r="U18" s="1133"/>
      <c r="V18" s="592">
        <f>V16/100*30</f>
        <v>2.7501041666666666</v>
      </c>
      <c r="W18" s="591">
        <v>30</v>
      </c>
      <c r="X18" s="595"/>
      <c r="Y18" s="589"/>
      <c r="AA18">
        <v>5</v>
      </c>
    </row>
    <row r="19" spans="7:27" ht="17.25" x14ac:dyDescent="0.25">
      <c r="I19" s="588"/>
      <c r="J19">
        <v>1.84</v>
      </c>
      <c r="L19" s="393"/>
      <c r="O19" s="1132" t="s">
        <v>11</v>
      </c>
      <c r="P19" s="1133"/>
      <c r="Q19" s="592">
        <f>Q16/100*5</f>
        <v>0.43819692460317461</v>
      </c>
      <c r="R19" s="591">
        <v>5</v>
      </c>
      <c r="T19" s="1132" t="s">
        <v>11</v>
      </c>
      <c r="U19" s="1133"/>
      <c r="V19" s="592">
        <f>V16/100*5</f>
        <v>0.45835069444444443</v>
      </c>
      <c r="W19" s="591">
        <v>5</v>
      </c>
      <c r="X19" s="595"/>
      <c r="Y19" s="589"/>
      <c r="AA19">
        <v>11</v>
      </c>
    </row>
    <row r="20" spans="7:27" x14ac:dyDescent="0.25">
      <c r="H20" s="589"/>
      <c r="I20" s="589"/>
      <c r="J20" s="593">
        <f>J19/13</f>
        <v>0.14153846153846156</v>
      </c>
      <c r="K20" s="589"/>
      <c r="L20" s="589"/>
      <c r="O20" s="1132" t="s">
        <v>12</v>
      </c>
      <c r="P20" s="1133"/>
      <c r="Q20" s="592">
        <f>Q16/100*10</f>
        <v>0.87639384920634922</v>
      </c>
      <c r="R20" s="591">
        <v>10</v>
      </c>
      <c r="T20" s="1132" t="s">
        <v>12</v>
      </c>
      <c r="U20" s="1133"/>
      <c r="V20" s="592">
        <f>V16/100*10</f>
        <v>0.91670138888888886</v>
      </c>
      <c r="W20" s="591">
        <v>10</v>
      </c>
      <c r="X20" s="594"/>
      <c r="Y20" s="589"/>
      <c r="AA20">
        <f>SUM(AA15:AA19)</f>
        <v>42</v>
      </c>
    </row>
    <row r="21" spans="7:27" x14ac:dyDescent="0.25">
      <c r="H21" s="589"/>
      <c r="I21" s="590"/>
      <c r="J21" s="589"/>
      <c r="K21" s="589"/>
      <c r="L21" s="589"/>
      <c r="O21" s="1132" t="s">
        <v>99</v>
      </c>
      <c r="P21" s="1133"/>
      <c r="Q21" s="592">
        <f>Q16/100*10</f>
        <v>0.87639384920634922</v>
      </c>
      <c r="R21" s="591">
        <v>10</v>
      </c>
      <c r="T21" s="1132" t="s">
        <v>99</v>
      </c>
      <c r="U21" s="1133"/>
      <c r="V21" s="592">
        <f>V16/100*10</f>
        <v>0.91670138888888886</v>
      </c>
      <c r="W21" s="591">
        <v>10</v>
      </c>
      <c r="X21" s="595"/>
      <c r="Y21" s="589"/>
      <c r="AA21">
        <v>40</v>
      </c>
    </row>
    <row r="22" spans="7:27" x14ac:dyDescent="0.25">
      <c r="H22" s="589"/>
      <c r="I22" s="589"/>
      <c r="J22" s="589"/>
      <c r="K22" s="589"/>
      <c r="L22" s="589"/>
      <c r="O22" s="1132" t="s">
        <v>100</v>
      </c>
      <c r="P22" s="1133"/>
      <c r="Q22" s="592">
        <f>Q16/100*2</f>
        <v>0.17527876984126983</v>
      </c>
      <c r="R22" s="591">
        <v>2</v>
      </c>
      <c r="T22" s="1132" t="s">
        <v>100</v>
      </c>
      <c r="U22" s="1133"/>
      <c r="V22" s="592">
        <f>V16/100*2</f>
        <v>0.18334027777777778</v>
      </c>
      <c r="W22" s="591">
        <v>2</v>
      </c>
      <c r="X22" s="595"/>
      <c r="Y22" s="589"/>
      <c r="AA22">
        <f>AA21-AA20</f>
        <v>-2</v>
      </c>
    </row>
    <row r="23" spans="7:27" x14ac:dyDescent="0.25">
      <c r="H23" s="589"/>
      <c r="I23" s="589"/>
      <c r="J23" s="589"/>
      <c r="K23" s="589">
        <v>2.4500000000000002</v>
      </c>
      <c r="L23" s="589"/>
      <c r="O23" s="1132" t="s">
        <v>101</v>
      </c>
      <c r="P23" s="1133"/>
      <c r="Q23" s="592">
        <f>Q16/100*3</f>
        <v>0.26291815476190472</v>
      </c>
      <c r="R23" s="591">
        <v>3</v>
      </c>
      <c r="T23" s="1132" t="s">
        <v>101</v>
      </c>
      <c r="U23" s="1133"/>
      <c r="V23" s="592">
        <f>V16/100*3</f>
        <v>0.2750104166666667</v>
      </c>
      <c r="W23" s="591">
        <v>3</v>
      </c>
      <c r="X23" s="594"/>
      <c r="Y23" s="589"/>
    </row>
    <row r="24" spans="7:27" x14ac:dyDescent="0.25">
      <c r="G24">
        <v>127</v>
      </c>
      <c r="H24" s="654">
        <v>6.2E-2</v>
      </c>
      <c r="I24" s="589">
        <v>1</v>
      </c>
      <c r="J24" s="654">
        <v>8.1000000000000003E-2</v>
      </c>
      <c r="K24" s="593">
        <f>K23/13</f>
        <v>0.18846153846153849</v>
      </c>
      <c r="L24" s="589"/>
      <c r="O24" s="1140" t="s">
        <v>89</v>
      </c>
      <c r="P24" s="1141"/>
      <c r="Q24" s="596">
        <f>SUM(Q17:Q23)</f>
        <v>8.7639384920634935</v>
      </c>
      <c r="R24" s="591">
        <f>SUM(R17:R23)</f>
        <v>100</v>
      </c>
      <c r="T24" s="1140" t="s">
        <v>89</v>
      </c>
      <c r="U24" s="1141"/>
      <c r="V24" s="596">
        <f>SUM(V17:V23)</f>
        <v>9.1670138888888886</v>
      </c>
      <c r="W24" s="591">
        <f>SUM(W17:W23)</f>
        <v>100</v>
      </c>
      <c r="X24" s="593"/>
      <c r="Y24" s="589"/>
    </row>
    <row r="25" spans="7:27" x14ac:dyDescent="0.25">
      <c r="H25" s="654">
        <v>6.4000000000000001E-2</v>
      </c>
      <c r="I25" s="589">
        <v>2</v>
      </c>
      <c r="J25" s="654">
        <v>8.2000000000000003E-2</v>
      </c>
      <c r="K25" s="589"/>
      <c r="L25" s="589"/>
      <c r="T25" s="589"/>
      <c r="U25" s="589"/>
      <c r="V25" s="589"/>
      <c r="W25" s="589"/>
      <c r="X25" s="593"/>
      <c r="Y25" s="589"/>
    </row>
    <row r="26" spans="7:27" x14ac:dyDescent="0.25">
      <c r="H26" s="654">
        <v>6.5000000000000002E-2</v>
      </c>
      <c r="I26" s="589">
        <v>3</v>
      </c>
      <c r="J26" s="654">
        <v>8.3000000000000004E-2</v>
      </c>
      <c r="K26" s="589"/>
      <c r="L26" s="589"/>
    </row>
    <row r="27" spans="7:27" x14ac:dyDescent="0.25">
      <c r="H27" s="654">
        <v>6.6000000000000003E-2</v>
      </c>
      <c r="I27" s="594">
        <v>4</v>
      </c>
      <c r="J27" s="654">
        <v>8.4000000000000005E-2</v>
      </c>
    </row>
    <row r="28" spans="7:27" x14ac:dyDescent="0.25">
      <c r="H28" s="654">
        <v>6.7000000000000004E-2</v>
      </c>
      <c r="I28" s="594">
        <v>5</v>
      </c>
      <c r="J28" s="654">
        <v>8.5000000000000006E-2</v>
      </c>
      <c r="P28" s="249" t="s">
        <v>199</v>
      </c>
      <c r="Q28" s="249"/>
    </row>
    <row r="29" spans="7:27" x14ac:dyDescent="0.25">
      <c r="H29" s="654">
        <v>6.8000000000000005E-2</v>
      </c>
      <c r="I29" s="589">
        <v>6</v>
      </c>
      <c r="J29" s="654">
        <v>8.5999999999999993E-2</v>
      </c>
      <c r="P29" s="249"/>
      <c r="Q29" s="634">
        <f>108*31179/1000000</f>
        <v>3.3673320000000002</v>
      </c>
    </row>
    <row r="30" spans="7:27" x14ac:dyDescent="0.25">
      <c r="H30" s="654">
        <v>6.9000000000000006E-2</v>
      </c>
      <c r="I30" s="589">
        <v>7</v>
      </c>
      <c r="J30" s="654">
        <v>8.6999999999999994E-2</v>
      </c>
      <c r="P30" s="249"/>
      <c r="Q30" s="634">
        <f>Q29*31</f>
        <v>104.387292</v>
      </c>
    </row>
    <row r="31" spans="7:27" x14ac:dyDescent="0.25">
      <c r="H31" s="654">
        <v>7.0000000000000007E-2</v>
      </c>
      <c r="I31" s="589">
        <v>8</v>
      </c>
      <c r="J31" s="654">
        <v>8.7999999999999995E-2</v>
      </c>
      <c r="P31" s="249"/>
      <c r="Q31" s="249"/>
    </row>
    <row r="32" spans="7:27" x14ac:dyDescent="0.25">
      <c r="H32" s="654">
        <v>7.0999999999999994E-2</v>
      </c>
      <c r="I32" s="594">
        <v>9</v>
      </c>
      <c r="J32" s="654">
        <v>8.8999999999999996E-2</v>
      </c>
      <c r="P32" s="249" t="s">
        <v>200</v>
      </c>
      <c r="Q32" s="249"/>
      <c r="W32" s="619" t="s">
        <v>90</v>
      </c>
      <c r="X32" s="620">
        <v>0</v>
      </c>
      <c r="Y32" s="620">
        <v>43</v>
      </c>
      <c r="Z32" s="620">
        <v>8</v>
      </c>
      <c r="AA32" s="619">
        <v>720.28599999999994</v>
      </c>
    </row>
    <row r="33" spans="6:30" x14ac:dyDescent="0.25">
      <c r="H33" s="654">
        <v>8.5999999999999993E-2</v>
      </c>
      <c r="I33" s="594">
        <v>10</v>
      </c>
      <c r="J33" s="654">
        <v>0.13</v>
      </c>
      <c r="P33" s="249"/>
      <c r="Q33" s="634">
        <f>120*31179/250</f>
        <v>14965.92</v>
      </c>
      <c r="W33" s="619" t="s">
        <v>86</v>
      </c>
      <c r="X33" s="620">
        <v>0</v>
      </c>
      <c r="Y33" s="620">
        <v>77</v>
      </c>
      <c r="Z33" s="620">
        <v>19.25</v>
      </c>
      <c r="AA33" s="619">
        <v>2.7</v>
      </c>
    </row>
    <row r="34" spans="6:30" x14ac:dyDescent="0.25">
      <c r="H34" s="589">
        <v>9.0999999999999998E-2</v>
      </c>
      <c r="I34" s="589">
        <v>11</v>
      </c>
      <c r="J34" s="654">
        <v>0.15</v>
      </c>
      <c r="P34" s="249"/>
      <c r="Q34" s="634">
        <f>Q33/1000</f>
        <v>14.965920000000001</v>
      </c>
      <c r="W34" s="619" t="s">
        <v>87</v>
      </c>
      <c r="X34" s="620">
        <v>0</v>
      </c>
      <c r="Y34" s="620">
        <v>58</v>
      </c>
      <c r="Z34" s="620">
        <v>14</v>
      </c>
      <c r="AA34" s="619">
        <v>1.7</v>
      </c>
    </row>
    <row r="35" spans="6:30" x14ac:dyDescent="0.25">
      <c r="H35" s="589">
        <v>7.1999999999999995E-2</v>
      </c>
      <c r="I35" s="589">
        <v>12</v>
      </c>
      <c r="J35" s="654">
        <v>0.09</v>
      </c>
      <c r="P35" s="249"/>
      <c r="Q35" s="634">
        <f>Q34*31</f>
        <v>463.94352000000003</v>
      </c>
      <c r="W35" s="619" t="s">
        <v>201</v>
      </c>
      <c r="X35" s="620">
        <v>0</v>
      </c>
      <c r="Y35" s="620">
        <v>8</v>
      </c>
      <c r="Z35" s="620">
        <v>4</v>
      </c>
      <c r="AA35" s="619">
        <v>0.08</v>
      </c>
    </row>
    <row r="36" spans="6:30" x14ac:dyDescent="0.25">
      <c r="H36" s="589">
        <v>7.2999999999999995E-2</v>
      </c>
      <c r="I36" s="589">
        <v>13</v>
      </c>
      <c r="J36" s="654">
        <v>9.0999999999999998E-2</v>
      </c>
      <c r="P36" s="249"/>
      <c r="Q36" s="634">
        <f>Q35/100*5</f>
        <v>23.197176000000002</v>
      </c>
      <c r="W36" s="619" t="s">
        <v>202</v>
      </c>
      <c r="X36" s="620">
        <v>0</v>
      </c>
      <c r="Y36" s="620">
        <v>3</v>
      </c>
      <c r="Z36" s="620">
        <v>0</v>
      </c>
      <c r="AA36" s="619">
        <v>0.05</v>
      </c>
    </row>
    <row r="37" spans="6:30" x14ac:dyDescent="0.25">
      <c r="G37">
        <v>1.84</v>
      </c>
      <c r="H37" s="449">
        <f>SUM(H24:H36)</f>
        <v>0.92399999999999982</v>
      </c>
      <c r="J37" s="449">
        <f>SUM(J24:J36)</f>
        <v>1.226</v>
      </c>
      <c r="K37">
        <v>2.4500000000000002</v>
      </c>
      <c r="X37">
        <f>SUM(X32:X36)</f>
        <v>0</v>
      </c>
      <c r="Y37">
        <f>SUM(Y32:Y36)</f>
        <v>189</v>
      </c>
      <c r="Z37">
        <f>SUM(Z32:Z36)</f>
        <v>45.25</v>
      </c>
      <c r="AA37">
        <f>SUM(AA32:AA36)</f>
        <v>724.81600000000003</v>
      </c>
    </row>
    <row r="38" spans="6:30" x14ac:dyDescent="0.25">
      <c r="G38">
        <f>G37/2</f>
        <v>0.92</v>
      </c>
      <c r="H38" s="449">
        <f>H37*2</f>
        <v>1.8479999999999996</v>
      </c>
      <c r="J38" s="449">
        <f>J37*2</f>
        <v>2.452</v>
      </c>
      <c r="K38">
        <f>K37/2</f>
        <v>1.2250000000000001</v>
      </c>
    </row>
    <row r="41" spans="6:30" x14ac:dyDescent="0.25">
      <c r="P41" s="622"/>
      <c r="Q41" s="621"/>
      <c r="R41" s="621"/>
      <c r="S41" s="621"/>
      <c r="T41" s="622"/>
      <c r="X41" s="1377"/>
      <c r="Y41" s="1377"/>
      <c r="Z41" s="621"/>
      <c r="AA41" s="621"/>
      <c r="AB41" s="621"/>
      <c r="AC41" s="622"/>
    </row>
    <row r="42" spans="6:30" x14ac:dyDescent="0.25">
      <c r="P42" s="619"/>
      <c r="Q42" s="620"/>
      <c r="R42" s="620"/>
      <c r="S42" s="620"/>
      <c r="T42" s="623"/>
      <c r="V42" s="620"/>
      <c r="X42" s="1376"/>
      <c r="Y42" s="1376"/>
      <c r="Z42" s="620"/>
      <c r="AA42" s="620"/>
      <c r="AB42" s="620"/>
      <c r="AC42" s="1376"/>
      <c r="AD42" s="1376"/>
    </row>
    <row r="43" spans="6:30" x14ac:dyDescent="0.25">
      <c r="P43" s="619"/>
      <c r="Q43" s="620"/>
      <c r="R43" s="620"/>
      <c r="S43" s="620"/>
      <c r="T43" s="619"/>
      <c r="X43" s="1376"/>
      <c r="Y43" s="1376"/>
      <c r="Z43" s="620"/>
      <c r="AA43" s="620"/>
      <c r="AB43" s="620"/>
      <c r="AC43" s="1376"/>
      <c r="AD43" s="1376"/>
    </row>
    <row r="44" spans="6:30" x14ac:dyDescent="0.25">
      <c r="F44" s="619" t="s">
        <v>90</v>
      </c>
      <c r="G44" s="620">
        <v>0</v>
      </c>
      <c r="H44" s="620">
        <v>37</v>
      </c>
      <c r="I44" s="620">
        <v>6</v>
      </c>
      <c r="J44" s="619">
        <v>1200</v>
      </c>
      <c r="P44" s="619"/>
      <c r="Q44" s="620"/>
      <c r="R44" s="620"/>
      <c r="S44" s="620"/>
      <c r="T44" s="619"/>
      <c r="X44" s="1376"/>
      <c r="Y44" s="1376"/>
      <c r="Z44" s="620"/>
      <c r="AA44" s="620"/>
      <c r="AB44" s="620"/>
      <c r="AC44" s="1376"/>
      <c r="AD44" s="1376"/>
    </row>
    <row r="45" spans="6:30" x14ac:dyDescent="0.25">
      <c r="F45" s="619" t="s">
        <v>86</v>
      </c>
      <c r="G45" s="620">
        <v>0</v>
      </c>
      <c r="H45" s="620">
        <v>74</v>
      </c>
      <c r="I45" s="620">
        <v>18</v>
      </c>
      <c r="J45" s="619">
        <v>0</v>
      </c>
      <c r="P45" s="619"/>
      <c r="Q45" s="620"/>
      <c r="R45" s="620"/>
      <c r="S45" s="620"/>
      <c r="T45" s="619"/>
      <c r="X45" s="1376"/>
      <c r="Y45" s="1376"/>
      <c r="Z45" s="620"/>
      <c r="AA45" s="620"/>
      <c r="AB45" s="620"/>
      <c r="AC45" s="1376"/>
      <c r="AD45" s="1376"/>
    </row>
    <row r="46" spans="6:30" x14ac:dyDescent="0.25">
      <c r="F46" s="619" t="s">
        <v>87</v>
      </c>
      <c r="G46" s="620">
        <v>0</v>
      </c>
      <c r="H46" s="620">
        <v>55</v>
      </c>
      <c r="I46" s="620">
        <v>14</v>
      </c>
      <c r="J46" s="619">
        <v>0</v>
      </c>
      <c r="P46" s="619"/>
      <c r="Q46" s="620"/>
      <c r="R46" s="620"/>
      <c r="S46" s="620"/>
      <c r="T46" s="619"/>
      <c r="X46" s="1376"/>
      <c r="Y46" s="1376"/>
      <c r="Z46" s="620"/>
      <c r="AA46" s="620"/>
      <c r="AB46" s="620"/>
      <c r="AC46" s="1376"/>
      <c r="AD46" s="1376"/>
    </row>
    <row r="47" spans="6:30" x14ac:dyDescent="0.25">
      <c r="F47" s="619" t="s">
        <v>201</v>
      </c>
      <c r="G47" s="620">
        <v>0</v>
      </c>
      <c r="H47" s="620">
        <v>9</v>
      </c>
      <c r="I47" s="620">
        <v>5</v>
      </c>
      <c r="J47" s="619">
        <v>0</v>
      </c>
      <c r="Q47" s="633"/>
      <c r="R47" s="633"/>
      <c r="S47" s="633"/>
      <c r="T47" s="633"/>
      <c r="Z47" s="633"/>
      <c r="AA47" s="633"/>
      <c r="AB47" s="633"/>
      <c r="AC47" s="1378"/>
      <c r="AD47" s="1378"/>
    </row>
    <row r="48" spans="6:30" x14ac:dyDescent="0.25">
      <c r="F48" s="619" t="s">
        <v>202</v>
      </c>
      <c r="G48" s="620">
        <v>0</v>
      </c>
      <c r="H48" s="620">
        <v>5</v>
      </c>
      <c r="I48" s="620">
        <v>0</v>
      </c>
      <c r="J48" s="619">
        <v>0</v>
      </c>
    </row>
    <row r="50" spans="7:10" x14ac:dyDescent="0.25">
      <c r="G50">
        <f>SUM(G44:G48)</f>
        <v>0</v>
      </c>
      <c r="H50">
        <f>SUM(H44:H48)</f>
        <v>180</v>
      </c>
      <c r="I50">
        <f>SUM(I44:I48)</f>
        <v>43</v>
      </c>
      <c r="J50">
        <f>SUM(J44:J48)</f>
        <v>1200</v>
      </c>
    </row>
  </sheetData>
  <mergeCells count="58">
    <mergeCell ref="X46:Y46"/>
    <mergeCell ref="AC46:AD46"/>
    <mergeCell ref="AC47:AD47"/>
    <mergeCell ref="AC42:AD42"/>
    <mergeCell ref="X43:Y43"/>
    <mergeCell ref="AC43:AD43"/>
    <mergeCell ref="X44:Y44"/>
    <mergeCell ref="AC44:AD44"/>
    <mergeCell ref="X45:Y45"/>
    <mergeCell ref="AC45:AD45"/>
    <mergeCell ref="X42:Y42"/>
    <mergeCell ref="O23:P23"/>
    <mergeCell ref="T23:U23"/>
    <mergeCell ref="O24:P24"/>
    <mergeCell ref="T24:U24"/>
    <mergeCell ref="X41:Y41"/>
    <mergeCell ref="O20:P20"/>
    <mergeCell ref="T20:U20"/>
    <mergeCell ref="O21:P21"/>
    <mergeCell ref="T21:U21"/>
    <mergeCell ref="O22:P22"/>
    <mergeCell ref="T22:U22"/>
    <mergeCell ref="O17:P17"/>
    <mergeCell ref="T17:U17"/>
    <mergeCell ref="O18:P18"/>
    <mergeCell ref="T18:U18"/>
    <mergeCell ref="O19:P19"/>
    <mergeCell ref="T19:U19"/>
    <mergeCell ref="O14:P14"/>
    <mergeCell ref="T14:U14"/>
    <mergeCell ref="O15:P15"/>
    <mergeCell ref="T15:U15"/>
    <mergeCell ref="O16:P16"/>
    <mergeCell ref="T16:U16"/>
    <mergeCell ref="BM1:BN1"/>
    <mergeCell ref="BO1:BP1"/>
    <mergeCell ref="BQ1:BR1"/>
    <mergeCell ref="BS1:BT1"/>
    <mergeCell ref="O13:R13"/>
    <mergeCell ref="T13:W13"/>
    <mergeCell ref="AC1:AD1"/>
    <mergeCell ref="AE1:AL1"/>
    <mergeCell ref="AM1:AQ1"/>
    <mergeCell ref="AR1:AT1"/>
    <mergeCell ref="AU1:BC1"/>
    <mergeCell ref="BD1:BL1"/>
    <mergeCell ref="Z1:AB1"/>
    <mergeCell ref="M1:M2"/>
    <mergeCell ref="N1:N2"/>
    <mergeCell ref="O1:Q1"/>
    <mergeCell ref="R1:U1"/>
    <mergeCell ref="V1:Y1"/>
    <mergeCell ref="L1:L2"/>
    <mergeCell ref="A1:A3"/>
    <mergeCell ref="B1:B3"/>
    <mergeCell ref="C1:E2"/>
    <mergeCell ref="F1:H2"/>
    <mergeCell ref="I1:K2"/>
  </mergeCells>
  <pageMargins left="0.7" right="0.7" top="0.75" bottom="0.75" header="0.3" footer="0.3"/>
  <pageSetup paperSize="9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50"/>
  <sheetViews>
    <sheetView topLeftCell="M4" workbookViewId="0">
      <selection activeCell="P11" sqref="P11:Q11"/>
    </sheetView>
  </sheetViews>
  <sheetFormatPr defaultRowHeight="15" x14ac:dyDescent="0.25"/>
  <cols>
    <col min="11" max="11" width="9.5703125" bestFit="1" customWidth="1"/>
    <col min="17" max="17" width="10.5703125" bestFit="1" customWidth="1"/>
    <col min="26" max="26" width="9.7109375" bestFit="1" customWidth="1"/>
    <col min="27" max="28" width="9.28515625" bestFit="1" customWidth="1"/>
    <col min="29" max="29" width="9.7109375" customWidth="1"/>
    <col min="30" max="30" width="9.28515625" bestFit="1" customWidth="1"/>
    <col min="58" max="58" width="10.85546875" customWidth="1"/>
  </cols>
  <sheetData>
    <row r="1" spans="1:72" ht="15.75" x14ac:dyDescent="0.25">
      <c r="A1" s="1282" t="s">
        <v>0</v>
      </c>
      <c r="B1" s="1285" t="s">
        <v>1</v>
      </c>
      <c r="C1" s="1288" t="s">
        <v>2</v>
      </c>
      <c r="D1" s="1289"/>
      <c r="E1" s="1290"/>
      <c r="F1" s="1288" t="s">
        <v>3</v>
      </c>
      <c r="G1" s="1289"/>
      <c r="H1" s="1290"/>
      <c r="I1" s="1288" t="s">
        <v>4</v>
      </c>
      <c r="J1" s="1289"/>
      <c r="K1" s="1290"/>
      <c r="L1" s="1294" t="s">
        <v>5</v>
      </c>
      <c r="M1" s="1294" t="s">
        <v>6</v>
      </c>
      <c r="N1" s="1294" t="s">
        <v>7</v>
      </c>
      <c r="O1" s="1296" t="s">
        <v>8</v>
      </c>
      <c r="P1" s="1297"/>
      <c r="Q1" s="1298"/>
      <c r="R1" s="1299" t="s">
        <v>9</v>
      </c>
      <c r="S1" s="1300"/>
      <c r="T1" s="1300"/>
      <c r="U1" s="1301"/>
      <c r="V1" s="1302" t="s">
        <v>10</v>
      </c>
      <c r="W1" s="1303"/>
      <c r="X1" s="1303"/>
      <c r="Y1" s="1304"/>
      <c r="Z1" s="1279" t="s">
        <v>11</v>
      </c>
      <c r="AA1" s="1280"/>
      <c r="AB1" s="1281"/>
      <c r="AC1" s="1309" t="s">
        <v>12</v>
      </c>
      <c r="AD1" s="1310"/>
      <c r="AE1" s="1311" t="s">
        <v>13</v>
      </c>
      <c r="AF1" s="1312"/>
      <c r="AG1" s="1312"/>
      <c r="AH1" s="1312"/>
      <c r="AI1" s="1312"/>
      <c r="AJ1" s="1312"/>
      <c r="AK1" s="1312"/>
      <c r="AL1" s="1313"/>
      <c r="AM1" s="1314" t="s">
        <v>99</v>
      </c>
      <c r="AN1" s="1315"/>
      <c r="AO1" s="1315"/>
      <c r="AP1" s="1315"/>
      <c r="AQ1" s="1316"/>
      <c r="AR1" s="1317" t="s">
        <v>100</v>
      </c>
      <c r="AS1" s="1318"/>
      <c r="AT1" s="1319"/>
      <c r="AU1" s="1317" t="s">
        <v>101</v>
      </c>
      <c r="AV1" s="1318"/>
      <c r="AW1" s="1318"/>
      <c r="AX1" s="1318"/>
      <c r="AY1" s="1318"/>
      <c r="AZ1" s="1318"/>
      <c r="BA1" s="1318"/>
      <c r="BB1" s="1318"/>
      <c r="BC1" s="1319"/>
      <c r="BD1" s="1320" t="s">
        <v>14</v>
      </c>
      <c r="BE1" s="1321"/>
      <c r="BF1" s="1321"/>
      <c r="BG1" s="1321"/>
      <c r="BH1" s="1321"/>
      <c r="BI1" s="1321"/>
      <c r="BJ1" s="1321"/>
      <c r="BK1" s="1321"/>
      <c r="BL1" s="1322"/>
      <c r="BM1" s="1305" t="s">
        <v>15</v>
      </c>
      <c r="BN1" s="1306"/>
      <c r="BO1" s="1307" t="s">
        <v>16</v>
      </c>
      <c r="BP1" s="1308"/>
      <c r="BQ1" s="1305" t="s">
        <v>130</v>
      </c>
      <c r="BR1" s="1306"/>
      <c r="BS1" s="1323" t="s">
        <v>171</v>
      </c>
      <c r="BT1" s="1324"/>
    </row>
    <row r="2" spans="1:72" ht="225" x14ac:dyDescent="0.25">
      <c r="A2" s="1283"/>
      <c r="B2" s="1286"/>
      <c r="C2" s="1291"/>
      <c r="D2" s="1292"/>
      <c r="E2" s="1293"/>
      <c r="F2" s="1291"/>
      <c r="G2" s="1292"/>
      <c r="H2" s="1293"/>
      <c r="I2" s="1291"/>
      <c r="J2" s="1292"/>
      <c r="K2" s="1293"/>
      <c r="L2" s="1295"/>
      <c r="M2" s="1295"/>
      <c r="N2" s="1295"/>
      <c r="O2" s="42" t="s">
        <v>17</v>
      </c>
      <c r="P2" s="217" t="s">
        <v>18</v>
      </c>
      <c r="Q2" s="218" t="s">
        <v>19</v>
      </c>
      <c r="R2" s="42" t="s">
        <v>20</v>
      </c>
      <c r="S2" s="217" t="s">
        <v>21</v>
      </c>
      <c r="T2" s="218" t="s">
        <v>22</v>
      </c>
      <c r="U2" s="659" t="s">
        <v>23</v>
      </c>
      <c r="V2" s="42" t="s">
        <v>24</v>
      </c>
      <c r="W2" s="217" t="s">
        <v>25</v>
      </c>
      <c r="X2" s="218" t="s">
        <v>26</v>
      </c>
      <c r="Y2" s="660" t="s">
        <v>27</v>
      </c>
      <c r="Z2" s="42" t="s">
        <v>28</v>
      </c>
      <c r="AA2" s="217" t="s">
        <v>29</v>
      </c>
      <c r="AB2" s="218" t="s">
        <v>30</v>
      </c>
      <c r="AC2" s="217" t="s">
        <v>31</v>
      </c>
      <c r="AD2" s="218" t="s">
        <v>32</v>
      </c>
      <c r="AE2" s="42" t="s">
        <v>33</v>
      </c>
      <c r="AF2" s="42" t="s">
        <v>34</v>
      </c>
      <c r="AG2" s="42" t="s">
        <v>35</v>
      </c>
      <c r="AH2" s="42" t="s">
        <v>36</v>
      </c>
      <c r="AI2" s="42" t="s">
        <v>37</v>
      </c>
      <c r="AJ2" s="42" t="s">
        <v>36</v>
      </c>
      <c r="AK2" s="42" t="s">
        <v>38</v>
      </c>
      <c r="AL2" s="42" t="s">
        <v>36</v>
      </c>
      <c r="AM2" s="42" t="s">
        <v>102</v>
      </c>
      <c r="AN2" s="217" t="s">
        <v>103</v>
      </c>
      <c r="AO2" s="218" t="s">
        <v>104</v>
      </c>
      <c r="AP2" s="657" t="s">
        <v>105</v>
      </c>
      <c r="AQ2" s="657" t="s">
        <v>106</v>
      </c>
      <c r="AR2" s="42" t="s">
        <v>107</v>
      </c>
      <c r="AS2" s="44" t="s">
        <v>108</v>
      </c>
      <c r="AT2" s="44" t="s">
        <v>109</v>
      </c>
      <c r="AU2" s="42" t="s">
        <v>110</v>
      </c>
      <c r="AV2" s="217" t="s">
        <v>111</v>
      </c>
      <c r="AW2" s="44" t="s">
        <v>112</v>
      </c>
      <c r="AX2" s="45" t="s">
        <v>113</v>
      </c>
      <c r="AY2" s="44" t="s">
        <v>114</v>
      </c>
      <c r="AZ2" s="44" t="s">
        <v>115</v>
      </c>
      <c r="BA2" s="46" t="s">
        <v>116</v>
      </c>
      <c r="BB2" s="44" t="s">
        <v>117</v>
      </c>
      <c r="BC2" s="44" t="s">
        <v>118</v>
      </c>
      <c r="BD2" s="658" t="s">
        <v>14</v>
      </c>
      <c r="BE2" s="658" t="s">
        <v>167</v>
      </c>
      <c r="BF2" s="658" t="s">
        <v>39</v>
      </c>
      <c r="BG2" s="658" t="s">
        <v>40</v>
      </c>
      <c r="BH2" s="658" t="s">
        <v>41</v>
      </c>
      <c r="BI2" s="658" t="s">
        <v>42</v>
      </c>
      <c r="BJ2" s="658" t="s">
        <v>43</v>
      </c>
      <c r="BK2" s="658" t="s">
        <v>44</v>
      </c>
      <c r="BL2" s="658" t="s">
        <v>46</v>
      </c>
      <c r="BM2" s="656" t="s">
        <v>47</v>
      </c>
      <c r="BN2" s="656" t="s">
        <v>48</v>
      </c>
      <c r="BO2" s="657" t="s">
        <v>49</v>
      </c>
      <c r="BP2" s="657" t="s">
        <v>50</v>
      </c>
      <c r="BQ2" s="656" t="s">
        <v>131</v>
      </c>
      <c r="BR2" s="656" t="s">
        <v>132</v>
      </c>
      <c r="BS2" s="359" t="s">
        <v>172</v>
      </c>
      <c r="BT2" s="359" t="s">
        <v>173</v>
      </c>
    </row>
    <row r="3" spans="1:72" ht="75" x14ac:dyDescent="0.25">
      <c r="A3" s="1284"/>
      <c r="B3" s="1287"/>
      <c r="C3" s="29" t="s">
        <v>51</v>
      </c>
      <c r="D3" s="29" t="s">
        <v>52</v>
      </c>
      <c r="E3" s="29" t="s">
        <v>53</v>
      </c>
      <c r="F3" s="29" t="s">
        <v>51</v>
      </c>
      <c r="G3" s="29" t="s">
        <v>52</v>
      </c>
      <c r="H3" s="29" t="s">
        <v>53</v>
      </c>
      <c r="I3" s="29" t="s">
        <v>51</v>
      </c>
      <c r="J3" s="29" t="s">
        <v>52</v>
      </c>
      <c r="K3" s="29" t="s">
        <v>53</v>
      </c>
      <c r="L3" s="29" t="s">
        <v>54</v>
      </c>
      <c r="M3" s="29" t="s">
        <v>120</v>
      </c>
      <c r="N3" s="29" t="s">
        <v>56</v>
      </c>
      <c r="O3" s="248" t="s">
        <v>57</v>
      </c>
      <c r="P3" s="217" t="s">
        <v>57</v>
      </c>
      <c r="Q3" s="218" t="s">
        <v>57</v>
      </c>
      <c r="R3" s="42" t="s">
        <v>57</v>
      </c>
      <c r="S3" s="217" t="s">
        <v>57</v>
      </c>
      <c r="T3" s="218" t="s">
        <v>57</v>
      </c>
      <c r="U3" s="107" t="s">
        <v>57</v>
      </c>
      <c r="V3" s="42" t="s">
        <v>57</v>
      </c>
      <c r="W3" s="217" t="s">
        <v>57</v>
      </c>
      <c r="X3" s="218" t="s">
        <v>57</v>
      </c>
      <c r="Y3" s="107" t="s">
        <v>57</v>
      </c>
      <c r="Z3" s="42" t="s">
        <v>57</v>
      </c>
      <c r="AA3" s="217" t="s">
        <v>57</v>
      </c>
      <c r="AB3" s="218" t="s">
        <v>57</v>
      </c>
      <c r="AC3" s="217" t="s">
        <v>57</v>
      </c>
      <c r="AD3" s="218" t="s">
        <v>57</v>
      </c>
      <c r="AE3" s="29" t="s">
        <v>58</v>
      </c>
      <c r="AF3" s="107" t="s">
        <v>57</v>
      </c>
      <c r="AG3" s="29" t="s">
        <v>54</v>
      </c>
      <c r="AH3" s="107" t="s">
        <v>57</v>
      </c>
      <c r="AI3" s="29" t="s">
        <v>54</v>
      </c>
      <c r="AJ3" s="107" t="s">
        <v>57</v>
      </c>
      <c r="AK3" s="29" t="s">
        <v>54</v>
      </c>
      <c r="AL3" s="107" t="s">
        <v>57</v>
      </c>
      <c r="AM3" s="42" t="s">
        <v>62</v>
      </c>
      <c r="AN3" s="217" t="s">
        <v>62</v>
      </c>
      <c r="AO3" s="218" t="s">
        <v>62</v>
      </c>
      <c r="AP3" s="29" t="s">
        <v>54</v>
      </c>
      <c r="AQ3" s="107" t="s">
        <v>57</v>
      </c>
      <c r="AR3" s="42" t="s">
        <v>62</v>
      </c>
      <c r="AS3" s="29" t="s">
        <v>54</v>
      </c>
      <c r="AT3" s="107" t="s">
        <v>119</v>
      </c>
      <c r="AU3" s="42" t="s">
        <v>62</v>
      </c>
      <c r="AV3" s="217" t="s">
        <v>62</v>
      </c>
      <c r="AW3" s="107" t="s">
        <v>120</v>
      </c>
      <c r="AX3" s="107" t="s">
        <v>54</v>
      </c>
      <c r="AY3" s="107" t="s">
        <v>120</v>
      </c>
      <c r="AZ3" s="107" t="s">
        <v>54</v>
      </c>
      <c r="BA3" s="107" t="s">
        <v>120</v>
      </c>
      <c r="BB3" s="107" t="s">
        <v>120</v>
      </c>
      <c r="BC3" s="107" t="s">
        <v>120</v>
      </c>
      <c r="BD3" s="29" t="s">
        <v>54</v>
      </c>
      <c r="BE3" s="358" t="s">
        <v>168</v>
      </c>
      <c r="BF3" s="29" t="s">
        <v>59</v>
      </c>
      <c r="BG3" s="29" t="s">
        <v>60</v>
      </c>
      <c r="BH3" s="29" t="s">
        <v>61</v>
      </c>
      <c r="BI3" s="107" t="s">
        <v>62</v>
      </c>
      <c r="BJ3" s="29" t="s">
        <v>57</v>
      </c>
      <c r="BK3" s="107" t="s">
        <v>127</v>
      </c>
      <c r="BL3" s="107" t="s">
        <v>127</v>
      </c>
      <c r="BM3" s="107" t="s">
        <v>120</v>
      </c>
      <c r="BN3" s="107" t="s">
        <v>120</v>
      </c>
      <c r="BO3" s="107" t="s">
        <v>120</v>
      </c>
      <c r="BP3" s="107" t="s">
        <v>120</v>
      </c>
      <c r="BQ3" s="107" t="s">
        <v>54</v>
      </c>
      <c r="BR3" s="107" t="s">
        <v>54</v>
      </c>
      <c r="BS3" s="360" t="s">
        <v>120</v>
      </c>
      <c r="BT3" s="360" t="s">
        <v>174</v>
      </c>
    </row>
    <row r="4" spans="1:72" ht="15.75" x14ac:dyDescent="0.25">
      <c r="A4" s="662">
        <v>1</v>
      </c>
      <c r="B4" s="663">
        <v>2</v>
      </c>
      <c r="C4" s="29">
        <v>3</v>
      </c>
      <c r="D4" s="662">
        <v>4</v>
      </c>
      <c r="E4" s="663">
        <v>5</v>
      </c>
      <c r="F4" s="29">
        <v>6</v>
      </c>
      <c r="G4" s="662">
        <v>7</v>
      </c>
      <c r="H4" s="663">
        <v>8</v>
      </c>
      <c r="I4" s="29">
        <v>9</v>
      </c>
      <c r="J4" s="662">
        <v>10</v>
      </c>
      <c r="K4" s="663">
        <v>11</v>
      </c>
      <c r="L4" s="29">
        <v>12</v>
      </c>
      <c r="M4" s="662">
        <v>13</v>
      </c>
      <c r="N4" s="663">
        <v>14</v>
      </c>
      <c r="O4" s="29">
        <v>15</v>
      </c>
      <c r="P4" s="662">
        <v>16</v>
      </c>
      <c r="Q4" s="663">
        <v>17</v>
      </c>
      <c r="R4" s="29">
        <v>18</v>
      </c>
      <c r="S4" s="662">
        <v>19</v>
      </c>
      <c r="T4" s="663">
        <v>20</v>
      </c>
      <c r="U4" s="29">
        <v>21</v>
      </c>
      <c r="V4" s="662">
        <v>22</v>
      </c>
      <c r="W4" s="663">
        <v>23</v>
      </c>
      <c r="X4" s="29">
        <v>24</v>
      </c>
      <c r="Y4" s="662">
        <v>25</v>
      </c>
      <c r="Z4" s="663">
        <v>26</v>
      </c>
      <c r="AA4" s="29">
        <v>27</v>
      </c>
      <c r="AB4" s="662">
        <v>28</v>
      </c>
      <c r="AC4" s="663">
        <v>29</v>
      </c>
      <c r="AD4" s="29">
        <v>30</v>
      </c>
      <c r="AE4" s="662">
        <v>31</v>
      </c>
      <c r="AF4" s="663">
        <v>32</v>
      </c>
      <c r="AG4" s="29">
        <v>33</v>
      </c>
      <c r="AH4" s="662">
        <v>34</v>
      </c>
      <c r="AI4" s="663">
        <v>35</v>
      </c>
      <c r="AJ4" s="29">
        <v>36</v>
      </c>
      <c r="AK4" s="662">
        <v>37</v>
      </c>
      <c r="AL4" s="663">
        <v>38</v>
      </c>
      <c r="AM4" s="29">
        <v>39</v>
      </c>
      <c r="AN4" s="662">
        <v>40</v>
      </c>
      <c r="AO4" s="663">
        <v>41</v>
      </c>
      <c r="AP4" s="29">
        <v>42</v>
      </c>
      <c r="AQ4" s="662">
        <v>43</v>
      </c>
      <c r="AR4" s="663">
        <v>44</v>
      </c>
      <c r="AS4" s="29">
        <v>45</v>
      </c>
      <c r="AT4" s="662">
        <v>46</v>
      </c>
      <c r="AU4" s="663">
        <v>47</v>
      </c>
      <c r="AV4" s="29">
        <v>48</v>
      </c>
      <c r="AW4" s="662">
        <v>49</v>
      </c>
      <c r="AX4" s="663">
        <v>50</v>
      </c>
      <c r="AY4" s="29">
        <v>51</v>
      </c>
      <c r="AZ4" s="662">
        <v>52</v>
      </c>
      <c r="BA4" s="663">
        <v>53</v>
      </c>
      <c r="BB4" s="29">
        <v>54</v>
      </c>
      <c r="BC4" s="662">
        <v>55</v>
      </c>
      <c r="BD4" s="663">
        <v>56</v>
      </c>
      <c r="BE4" s="29">
        <v>57</v>
      </c>
      <c r="BF4" s="662">
        <v>58</v>
      </c>
      <c r="BG4" s="663">
        <v>59</v>
      </c>
      <c r="BH4" s="29">
        <v>60</v>
      </c>
      <c r="BI4" s="662">
        <v>61</v>
      </c>
      <c r="BJ4" s="663">
        <v>62</v>
      </c>
      <c r="BK4" s="29">
        <v>63</v>
      </c>
      <c r="BL4" s="663">
        <v>65</v>
      </c>
      <c r="BM4" s="29">
        <v>66</v>
      </c>
      <c r="BN4" s="662">
        <v>67</v>
      </c>
      <c r="BO4" s="663">
        <v>68</v>
      </c>
      <c r="BP4" s="29">
        <v>69</v>
      </c>
      <c r="BQ4" s="662">
        <v>70</v>
      </c>
      <c r="BR4" s="663">
        <v>71</v>
      </c>
      <c r="BS4" s="29">
        <v>72</v>
      </c>
      <c r="BT4" s="662">
        <v>73</v>
      </c>
    </row>
    <row r="5" spans="1:72" ht="15.75" x14ac:dyDescent="0.25">
      <c r="A5" s="661"/>
      <c r="B5" s="189"/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>
        <v>8.59</v>
      </c>
      <c r="P5" s="661"/>
      <c r="Q5" s="661"/>
      <c r="R5" s="661">
        <v>40</v>
      </c>
      <c r="S5" s="661">
        <v>70</v>
      </c>
      <c r="T5" s="661">
        <v>25</v>
      </c>
      <c r="U5" s="661"/>
      <c r="V5" s="661">
        <v>30</v>
      </c>
      <c r="W5" s="661">
        <v>70</v>
      </c>
      <c r="X5" s="661">
        <v>25</v>
      </c>
      <c r="Y5" s="661"/>
      <c r="Z5" s="661">
        <v>5</v>
      </c>
      <c r="AA5" s="661">
        <v>70</v>
      </c>
      <c r="AB5" s="661">
        <v>25</v>
      </c>
      <c r="AC5" s="661">
        <v>10</v>
      </c>
      <c r="AD5" s="661">
        <v>20</v>
      </c>
      <c r="AE5" s="339"/>
      <c r="AF5" s="661"/>
      <c r="AG5" s="339"/>
      <c r="AH5" s="661"/>
      <c r="AI5" s="339"/>
      <c r="AJ5" s="661"/>
      <c r="AK5" s="339"/>
      <c r="AL5" s="661"/>
      <c r="AM5" s="661">
        <v>10</v>
      </c>
      <c r="AN5" s="661">
        <v>1500</v>
      </c>
      <c r="AO5" s="661">
        <v>1350</v>
      </c>
      <c r="AP5" s="339"/>
      <c r="AQ5" s="661"/>
      <c r="AR5" s="661">
        <v>2</v>
      </c>
      <c r="AS5" s="339"/>
      <c r="AT5" s="661"/>
      <c r="AU5" s="661">
        <v>3</v>
      </c>
      <c r="AV5" s="661">
        <v>70</v>
      </c>
      <c r="AW5" s="661"/>
      <c r="AX5" s="661"/>
      <c r="AY5" s="661"/>
      <c r="AZ5" s="661"/>
      <c r="BA5" s="661"/>
      <c r="BB5" s="661"/>
      <c r="BC5" s="661"/>
      <c r="BD5" s="339"/>
      <c r="BE5" s="339"/>
      <c r="BF5" s="339"/>
      <c r="BG5" s="339"/>
      <c r="BH5" s="339"/>
      <c r="BI5" s="661"/>
      <c r="BJ5" s="339"/>
      <c r="BK5" s="661"/>
      <c r="BL5" s="661"/>
      <c r="BM5" s="661"/>
      <c r="BN5" s="661"/>
      <c r="BO5" s="661"/>
      <c r="BP5" s="661"/>
      <c r="BQ5" s="661"/>
      <c r="BR5" s="661"/>
      <c r="BS5" s="188"/>
      <c r="BT5" s="188"/>
    </row>
    <row r="6" spans="1:72" ht="31.5" x14ac:dyDescent="0.25">
      <c r="A6" s="450">
        <v>60</v>
      </c>
      <c r="B6" s="451" t="s">
        <v>161</v>
      </c>
      <c r="C6" s="479">
        <v>5</v>
      </c>
      <c r="D6" s="479">
        <v>5</v>
      </c>
      <c r="E6" s="395">
        <v>10</v>
      </c>
      <c r="F6" s="480">
        <v>10</v>
      </c>
      <c r="G6" s="480">
        <v>10</v>
      </c>
      <c r="H6" s="395">
        <v>10</v>
      </c>
      <c r="I6" s="480">
        <v>1</v>
      </c>
      <c r="J6" s="480">
        <v>0</v>
      </c>
      <c r="K6" s="395">
        <v>1</v>
      </c>
      <c r="L6" s="480">
        <v>0</v>
      </c>
      <c r="M6" s="480" t="s">
        <v>176</v>
      </c>
      <c r="N6" s="480">
        <v>0</v>
      </c>
      <c r="O6" s="438">
        <f>SUM(R6,V6,Z6,AM6,AR6,AU6)</f>
        <v>7.8875446428571419</v>
      </c>
      <c r="P6" s="438">
        <f>SUM(S6,W6,AA6,AC6,AN6,AV6)</f>
        <v>6.0120618055555557</v>
      </c>
      <c r="Q6" s="438">
        <f>SUM(T6,X6,AB6,AD6,AO6)</f>
        <v>1.4263309895833334</v>
      </c>
      <c r="R6" s="453">
        <f>Q17</f>
        <v>3.5055753968253969</v>
      </c>
      <c r="S6" s="453">
        <f>R6/100*70</f>
        <v>2.453902777777778</v>
      </c>
      <c r="T6" s="453">
        <f>S6/100*25</f>
        <v>0.6134756944444445</v>
      </c>
      <c r="U6" s="453">
        <v>0</v>
      </c>
      <c r="V6" s="454">
        <f>Q18</f>
        <v>2.6291815476190474</v>
      </c>
      <c r="W6" s="454">
        <f>V6/100*70</f>
        <v>1.8404270833333334</v>
      </c>
      <c r="X6" s="454">
        <f>W6/100*25</f>
        <v>0.46010677083333335</v>
      </c>
      <c r="Y6" s="454">
        <v>0</v>
      </c>
      <c r="Z6" s="455">
        <f>Q19</f>
        <v>0.43819692460317461</v>
      </c>
      <c r="AA6" s="455">
        <f>Z6/100*70</f>
        <v>0.30673784722222225</v>
      </c>
      <c r="AB6" s="455">
        <f>AA6/100*25</f>
        <v>7.6684461805555562E-2</v>
      </c>
      <c r="AC6" s="456">
        <f>Q20/100*70</f>
        <v>0.6134756944444445</v>
      </c>
      <c r="AD6" s="456">
        <f>AC6/100*20</f>
        <v>0.1226951388888889</v>
      </c>
      <c r="AE6" s="395">
        <v>0</v>
      </c>
      <c r="AF6" s="395">
        <v>0</v>
      </c>
      <c r="AG6" s="395">
        <v>2</v>
      </c>
      <c r="AH6" s="395">
        <v>6</v>
      </c>
      <c r="AI6" s="395">
        <v>0</v>
      </c>
      <c r="AJ6" s="395">
        <v>0</v>
      </c>
      <c r="AK6" s="395">
        <v>0</v>
      </c>
      <c r="AL6" s="395">
        <v>0</v>
      </c>
      <c r="AM6" s="457">
        <f>Q21</f>
        <v>0.87639384920634922</v>
      </c>
      <c r="AN6" s="457">
        <f>AM6/100*70</f>
        <v>0.6134756944444445</v>
      </c>
      <c r="AO6" s="457">
        <f>AN6/100*25</f>
        <v>0.15336892361111112</v>
      </c>
      <c r="AP6" s="457">
        <v>0</v>
      </c>
      <c r="AQ6" s="457">
        <v>0</v>
      </c>
      <c r="AR6" s="458">
        <f>Q22</f>
        <v>0.17527876984126983</v>
      </c>
      <c r="AS6" s="469">
        <v>4</v>
      </c>
      <c r="AT6" s="459"/>
      <c r="AU6" s="460">
        <f>Q23</f>
        <v>0.26291815476190472</v>
      </c>
      <c r="AV6" s="458">
        <f>AU6/100*70</f>
        <v>0.1840427083333333</v>
      </c>
      <c r="AW6" s="458" t="s">
        <v>65</v>
      </c>
      <c r="AX6" s="458">
        <v>0</v>
      </c>
      <c r="AY6" s="458" t="s">
        <v>65</v>
      </c>
      <c r="AZ6" s="458">
        <v>0</v>
      </c>
      <c r="BA6" s="458" t="s">
        <v>65</v>
      </c>
      <c r="BB6" s="458" t="s">
        <v>65</v>
      </c>
      <c r="BC6" s="458" t="s">
        <v>65</v>
      </c>
      <c r="BD6" s="461">
        <v>1</v>
      </c>
      <c r="BE6" s="462" t="s">
        <v>169</v>
      </c>
      <c r="BF6" s="461">
        <v>26756.07</v>
      </c>
      <c r="BG6" s="461">
        <v>1.6</v>
      </c>
      <c r="BH6" s="463" t="s">
        <v>66</v>
      </c>
      <c r="BI6" s="461">
        <v>1450</v>
      </c>
      <c r="BJ6" s="461">
        <v>0</v>
      </c>
      <c r="BK6" s="461" t="s">
        <v>65</v>
      </c>
      <c r="BL6" s="461" t="s">
        <v>65</v>
      </c>
      <c r="BM6" s="464" t="s">
        <v>67</v>
      </c>
      <c r="BN6" s="464" t="s">
        <v>67</v>
      </c>
      <c r="BO6" s="465" t="s">
        <v>67</v>
      </c>
      <c r="BP6" s="465" t="s">
        <v>67</v>
      </c>
      <c r="BQ6" s="466">
        <v>0</v>
      </c>
      <c r="BR6" s="466">
        <v>0</v>
      </c>
      <c r="BS6" s="467" t="s">
        <v>67</v>
      </c>
      <c r="BT6" s="467" t="s">
        <v>175</v>
      </c>
    </row>
    <row r="7" spans="1:72" ht="31.5" x14ac:dyDescent="0.25">
      <c r="A7" s="50">
        <v>50</v>
      </c>
      <c r="B7" s="655" t="s">
        <v>121</v>
      </c>
      <c r="C7" s="341">
        <v>5</v>
      </c>
      <c r="D7" s="354">
        <v>6</v>
      </c>
      <c r="E7" s="342">
        <v>11</v>
      </c>
      <c r="F7" s="343">
        <v>5</v>
      </c>
      <c r="G7" s="343">
        <v>6</v>
      </c>
      <c r="H7" s="342">
        <v>11</v>
      </c>
      <c r="I7" s="343">
        <v>1</v>
      </c>
      <c r="J7" s="343">
        <v>0</v>
      </c>
      <c r="K7" s="342">
        <v>1</v>
      </c>
      <c r="L7" s="343">
        <v>0</v>
      </c>
      <c r="M7" s="343" t="s">
        <v>65</v>
      </c>
      <c r="N7" s="343">
        <v>0</v>
      </c>
      <c r="O7" s="438">
        <f>SUM(R7,V7,Z7,AM7,AR7,AU7)</f>
        <v>8.2503124999999997</v>
      </c>
      <c r="P7" s="438">
        <f>SUM(S7,W7,AA7,AC7,AN7,AV7)</f>
        <v>6.2885715277777781</v>
      </c>
      <c r="Q7" s="438">
        <f>SUM(T7,X7,AB7,AD7,AO7)</f>
        <v>1.4919315104166666</v>
      </c>
      <c r="R7" s="453">
        <f>V17</f>
        <v>3.6668055555555554</v>
      </c>
      <c r="S7" s="453">
        <f>R7/100*70</f>
        <v>2.5667638888888886</v>
      </c>
      <c r="T7" s="453">
        <f>S7/100*25</f>
        <v>0.64169097222222216</v>
      </c>
      <c r="U7" s="345">
        <v>0</v>
      </c>
      <c r="V7" s="454">
        <f>V18</f>
        <v>2.7501041666666666</v>
      </c>
      <c r="W7" s="454">
        <f>V7/100*70</f>
        <v>1.9250729166666667</v>
      </c>
      <c r="X7" s="454">
        <f>W7/100*25</f>
        <v>0.48126822916666667</v>
      </c>
      <c r="Y7" s="346">
        <v>0</v>
      </c>
      <c r="Z7" s="455">
        <f>V19</f>
        <v>0.45835069444444443</v>
      </c>
      <c r="AA7" s="455">
        <f>Z7/100*70</f>
        <v>0.32084548611111108</v>
      </c>
      <c r="AB7" s="455">
        <f>AA7/100*25</f>
        <v>8.0211371527777769E-2</v>
      </c>
      <c r="AC7" s="456">
        <f>V20/100*70</f>
        <v>0.64169097222222216</v>
      </c>
      <c r="AD7" s="456">
        <f>AC7/100*20</f>
        <v>0.12833819444444444</v>
      </c>
      <c r="AE7" s="342">
        <v>0</v>
      </c>
      <c r="AF7" s="342">
        <v>0</v>
      </c>
      <c r="AG7" s="342">
        <v>1</v>
      </c>
      <c r="AH7" s="342">
        <v>1.6</v>
      </c>
      <c r="AI7" s="342">
        <v>0</v>
      </c>
      <c r="AJ7" s="342">
        <v>0</v>
      </c>
      <c r="AK7" s="342">
        <v>0</v>
      </c>
      <c r="AL7" s="342">
        <v>0</v>
      </c>
      <c r="AM7" s="457">
        <f>V21</f>
        <v>0.91670138888888886</v>
      </c>
      <c r="AN7" s="457">
        <f>AM7/100*70</f>
        <v>0.64169097222222216</v>
      </c>
      <c r="AO7" s="457">
        <f>AN7/100*25</f>
        <v>0.16042274305555554</v>
      </c>
      <c r="AP7" s="349">
        <v>0</v>
      </c>
      <c r="AQ7" s="349">
        <v>0</v>
      </c>
      <c r="AR7" s="458">
        <f>V22</f>
        <v>0.18334027777777778</v>
      </c>
      <c r="AS7" s="350">
        <v>1</v>
      </c>
      <c r="AT7" s="361"/>
      <c r="AU7" s="458">
        <f>V23</f>
        <v>0.2750104166666667</v>
      </c>
      <c r="AV7" s="458">
        <f>AU7/100*70</f>
        <v>0.19250729166666669</v>
      </c>
      <c r="AW7" s="350" t="s">
        <v>65</v>
      </c>
      <c r="AX7" s="350">
        <v>0</v>
      </c>
      <c r="AY7" s="350" t="s">
        <v>65</v>
      </c>
      <c r="AZ7" s="350">
        <v>0</v>
      </c>
      <c r="BA7" s="350" t="s">
        <v>65</v>
      </c>
      <c r="BB7" s="350" t="s">
        <v>65</v>
      </c>
      <c r="BC7" s="350" t="s">
        <v>67</v>
      </c>
      <c r="BD7" s="362">
        <v>1</v>
      </c>
      <c r="BE7" s="372" t="s">
        <v>170</v>
      </c>
      <c r="BF7" s="362">
        <v>15617.8</v>
      </c>
      <c r="BG7" s="368">
        <v>1.6</v>
      </c>
      <c r="BH7" s="362" t="s">
        <v>72</v>
      </c>
      <c r="BI7" s="362">
        <v>820</v>
      </c>
      <c r="BJ7" s="362">
        <v>0</v>
      </c>
      <c r="BK7" s="362" t="s">
        <v>65</v>
      </c>
      <c r="BL7" s="362" t="s">
        <v>65</v>
      </c>
      <c r="BM7" s="363" t="s">
        <v>67</v>
      </c>
      <c r="BN7" s="363" t="s">
        <v>67</v>
      </c>
      <c r="BO7" s="364" t="s">
        <v>65</v>
      </c>
      <c r="BP7" s="364" t="s">
        <v>65</v>
      </c>
      <c r="BQ7" s="66">
        <v>0</v>
      </c>
      <c r="BR7" s="66">
        <v>0</v>
      </c>
      <c r="BS7" s="467" t="s">
        <v>67</v>
      </c>
      <c r="BT7" s="467" t="s">
        <v>197</v>
      </c>
    </row>
    <row r="8" spans="1:72" x14ac:dyDescent="0.25">
      <c r="A8" s="526"/>
      <c r="B8" s="526"/>
      <c r="C8" s="526"/>
      <c r="D8" s="526"/>
      <c r="E8" s="526"/>
      <c r="F8" s="526"/>
      <c r="G8" s="526"/>
      <c r="H8" s="526"/>
      <c r="I8" s="526"/>
      <c r="J8" s="526"/>
      <c r="K8" s="526"/>
      <c r="L8" s="526"/>
      <c r="M8" s="526"/>
      <c r="N8" s="526"/>
      <c r="O8" s="526"/>
      <c r="P8" s="526"/>
      <c r="Q8" s="526"/>
      <c r="R8" s="526"/>
      <c r="S8" s="526"/>
      <c r="T8" s="526"/>
      <c r="U8" s="526"/>
      <c r="V8" s="526"/>
      <c r="W8" s="526"/>
      <c r="X8" s="526"/>
      <c r="Y8" s="526"/>
      <c r="Z8" s="526"/>
      <c r="AA8" s="526"/>
      <c r="AB8" s="526"/>
      <c r="AC8" s="526"/>
      <c r="AD8" s="526"/>
      <c r="AE8" s="526"/>
      <c r="AF8" s="526"/>
      <c r="AG8" s="526"/>
      <c r="AH8" s="526"/>
      <c r="AI8" s="526"/>
      <c r="AJ8" s="526"/>
      <c r="AK8" s="526"/>
      <c r="AL8" s="526"/>
      <c r="AM8" s="526"/>
      <c r="AN8" s="526"/>
      <c r="AO8" s="526"/>
      <c r="AP8" s="526"/>
      <c r="AQ8" s="526"/>
      <c r="AR8" s="526"/>
      <c r="AS8" s="526"/>
      <c r="AT8" s="526"/>
      <c r="AU8" s="526"/>
      <c r="AV8" s="526"/>
      <c r="AW8" s="526"/>
      <c r="AX8" s="526"/>
      <c r="AY8" s="526"/>
      <c r="AZ8" s="526"/>
      <c r="BA8" s="526"/>
      <c r="BB8" s="526"/>
      <c r="BC8" s="526"/>
      <c r="BD8" s="526"/>
      <c r="BE8" s="526"/>
      <c r="BF8" s="526"/>
      <c r="BG8" s="526"/>
      <c r="BH8" s="526"/>
      <c r="BI8" s="526"/>
      <c r="BJ8" s="526"/>
      <c r="BK8" s="526"/>
      <c r="BL8" s="526"/>
      <c r="BM8" s="526"/>
      <c r="BN8" s="526"/>
      <c r="BO8" s="526"/>
      <c r="BP8" s="526"/>
      <c r="BQ8" s="526"/>
      <c r="BR8" s="526"/>
      <c r="BS8" s="526"/>
      <c r="BT8" s="526"/>
    </row>
    <row r="9" spans="1:72" ht="31.5" x14ac:dyDescent="0.25">
      <c r="A9" s="50">
        <v>60</v>
      </c>
      <c r="B9" s="655" t="s">
        <v>161</v>
      </c>
      <c r="C9" s="341">
        <v>5</v>
      </c>
      <c r="D9" s="341">
        <v>5</v>
      </c>
      <c r="E9" s="342">
        <v>10</v>
      </c>
      <c r="F9" s="343">
        <v>10</v>
      </c>
      <c r="G9" s="343">
        <v>10</v>
      </c>
      <c r="H9" s="342">
        <v>10</v>
      </c>
      <c r="I9" s="343">
        <v>1</v>
      </c>
      <c r="J9" s="343">
        <v>0</v>
      </c>
      <c r="K9" s="342">
        <v>1</v>
      </c>
      <c r="L9" s="343">
        <v>0</v>
      </c>
      <c r="M9" s="480" t="s">
        <v>176</v>
      </c>
      <c r="N9" s="343">
        <v>0</v>
      </c>
      <c r="O9" s="394">
        <f>SUM(R9,V9,Z9,AM9,AR9,AU9)</f>
        <v>236.62633928571427</v>
      </c>
      <c r="P9" s="394">
        <f>SUM(S9,W9,AA9,AC9,AN9,AV9)</f>
        <v>180.36185416666666</v>
      </c>
      <c r="Q9" s="394">
        <f>SUM(T9,X9,AB9,AD9,AO9)</f>
        <v>42.789929687500006</v>
      </c>
      <c r="R9" s="527">
        <f>30*R6</f>
        <v>105.1672619047619</v>
      </c>
      <c r="S9" s="527">
        <f t="shared" ref="R9:T10" si="0">30*S6</f>
        <v>73.617083333333341</v>
      </c>
      <c r="T9" s="527">
        <f t="shared" si="0"/>
        <v>18.404270833333335</v>
      </c>
      <c r="U9" s="345">
        <v>0</v>
      </c>
      <c r="V9" s="454">
        <f t="shared" ref="V9:X10" si="1">30*V6</f>
        <v>78.875446428571422</v>
      </c>
      <c r="W9" s="528">
        <f t="shared" si="1"/>
        <v>55.212812499999998</v>
      </c>
      <c r="X9" s="528">
        <f t="shared" si="1"/>
        <v>13.803203125</v>
      </c>
      <c r="Y9" s="346">
        <v>0</v>
      </c>
      <c r="Z9" s="455">
        <f t="shared" ref="Z9:AD10" si="2">30*Z6</f>
        <v>13.145907738095238</v>
      </c>
      <c r="AA9" s="455">
        <f t="shared" si="2"/>
        <v>9.2021354166666676</v>
      </c>
      <c r="AB9" s="455">
        <f t="shared" si="2"/>
        <v>2.3005338541666669</v>
      </c>
      <c r="AC9" s="456">
        <f t="shared" si="2"/>
        <v>18.404270833333335</v>
      </c>
      <c r="AD9" s="456">
        <f t="shared" si="2"/>
        <v>3.6808541666666672</v>
      </c>
      <c r="AE9" s="342">
        <v>0</v>
      </c>
      <c r="AF9" s="342">
        <v>0</v>
      </c>
      <c r="AG9" s="342">
        <v>2</v>
      </c>
      <c r="AH9" s="342">
        <v>6</v>
      </c>
      <c r="AI9" s="342">
        <v>0</v>
      </c>
      <c r="AJ9" s="342">
        <v>0</v>
      </c>
      <c r="AK9" s="342">
        <v>0</v>
      </c>
      <c r="AL9" s="342">
        <v>0</v>
      </c>
      <c r="AM9" s="457">
        <f t="shared" ref="AM9:AO10" si="3">30*AM6</f>
        <v>26.291815476190475</v>
      </c>
      <c r="AN9" s="457">
        <f t="shared" si="3"/>
        <v>18.404270833333335</v>
      </c>
      <c r="AO9" s="457">
        <f t="shared" si="3"/>
        <v>4.6010677083333338</v>
      </c>
      <c r="AP9" s="457">
        <v>0</v>
      </c>
      <c r="AQ9" s="457">
        <v>0</v>
      </c>
      <c r="AR9" s="458">
        <f>30*AR6</f>
        <v>5.2583630952380949</v>
      </c>
      <c r="AS9" s="350">
        <v>4</v>
      </c>
      <c r="AT9" s="361"/>
      <c r="AU9" s="460">
        <f>30*AU6</f>
        <v>7.8875446428571419</v>
      </c>
      <c r="AV9" s="458">
        <f>30*AV6</f>
        <v>5.5212812499999995</v>
      </c>
      <c r="AW9" s="342" t="s">
        <v>65</v>
      </c>
      <c r="AX9" s="342">
        <v>0</v>
      </c>
      <c r="AY9" s="342" t="s">
        <v>65</v>
      </c>
      <c r="AZ9" s="342">
        <v>0</v>
      </c>
      <c r="BA9" s="342" t="s">
        <v>65</v>
      </c>
      <c r="BB9" s="342" t="s">
        <v>65</v>
      </c>
      <c r="BC9" s="342" t="s">
        <v>65</v>
      </c>
      <c r="BD9" s="514">
        <v>1</v>
      </c>
      <c r="BE9" s="515" t="s">
        <v>170</v>
      </c>
      <c r="BF9" s="514">
        <v>1350</v>
      </c>
      <c r="BG9" s="514">
        <v>1.5</v>
      </c>
      <c r="BH9" s="516" t="s">
        <v>66</v>
      </c>
      <c r="BI9" s="514">
        <v>1260</v>
      </c>
      <c r="BJ9" s="514">
        <v>0</v>
      </c>
      <c r="BK9" s="514" t="s">
        <v>65</v>
      </c>
      <c r="BL9" s="514" t="s">
        <v>65</v>
      </c>
      <c r="BM9" s="514" t="s">
        <v>67</v>
      </c>
      <c r="BN9" s="514" t="s">
        <v>67</v>
      </c>
      <c r="BO9" s="514" t="s">
        <v>67</v>
      </c>
      <c r="BP9" s="514" t="s">
        <v>67</v>
      </c>
      <c r="BQ9" s="513">
        <v>0</v>
      </c>
      <c r="BR9" s="513">
        <v>0</v>
      </c>
      <c r="BS9" s="517" t="s">
        <v>67</v>
      </c>
      <c r="BT9" s="517" t="s">
        <v>175</v>
      </c>
    </row>
    <row r="10" spans="1:72" ht="31.5" x14ac:dyDescent="0.25">
      <c r="A10" s="50">
        <v>50</v>
      </c>
      <c r="B10" s="655" t="s">
        <v>121</v>
      </c>
      <c r="C10" s="341">
        <v>5</v>
      </c>
      <c r="D10" s="354">
        <v>6</v>
      </c>
      <c r="E10" s="342">
        <v>11</v>
      </c>
      <c r="F10" s="343">
        <v>5</v>
      </c>
      <c r="G10" s="343">
        <v>6</v>
      </c>
      <c r="H10" s="342">
        <v>11</v>
      </c>
      <c r="I10" s="343">
        <v>1</v>
      </c>
      <c r="J10" s="343">
        <v>0</v>
      </c>
      <c r="K10" s="342">
        <v>1</v>
      </c>
      <c r="L10" s="343">
        <v>0</v>
      </c>
      <c r="M10" s="343" t="s">
        <v>65</v>
      </c>
      <c r="N10" s="343">
        <v>0</v>
      </c>
      <c r="O10" s="394">
        <f>SUM(R10,V10,Z10,AM10,AR10,AU10)</f>
        <v>247.50937499999998</v>
      </c>
      <c r="P10" s="394">
        <f>SUM(S10,W10,AA10,AC10,AN10,AV10)</f>
        <v>188.65714583333332</v>
      </c>
      <c r="Q10" s="394">
        <f>SUM(T10,X10,AB10,AD10,AO10)</f>
        <v>44.757945312499999</v>
      </c>
      <c r="R10" s="527">
        <f t="shared" si="0"/>
        <v>110.00416666666666</v>
      </c>
      <c r="S10" s="527">
        <f t="shared" si="0"/>
        <v>77.002916666666664</v>
      </c>
      <c r="T10" s="453">
        <f t="shared" si="0"/>
        <v>19.250729166666666</v>
      </c>
      <c r="U10" s="345">
        <v>0</v>
      </c>
      <c r="V10" s="528">
        <f t="shared" si="1"/>
        <v>82.503124999999997</v>
      </c>
      <c r="W10" s="528">
        <f t="shared" si="1"/>
        <v>57.752187499999998</v>
      </c>
      <c r="X10" s="528">
        <f t="shared" si="1"/>
        <v>14.438046875</v>
      </c>
      <c r="Y10" s="346">
        <v>0</v>
      </c>
      <c r="Z10" s="455">
        <f t="shared" si="2"/>
        <v>13.750520833333333</v>
      </c>
      <c r="AA10" s="455">
        <f t="shared" si="2"/>
        <v>9.625364583333333</v>
      </c>
      <c r="AB10" s="455">
        <f t="shared" si="2"/>
        <v>2.4063411458333333</v>
      </c>
      <c r="AC10" s="456">
        <f t="shared" si="2"/>
        <v>19.250729166666666</v>
      </c>
      <c r="AD10" s="456">
        <f t="shared" si="2"/>
        <v>3.8501458333333334</v>
      </c>
      <c r="AE10" s="342">
        <v>0</v>
      </c>
      <c r="AF10" s="342">
        <v>0</v>
      </c>
      <c r="AG10" s="342">
        <v>1</v>
      </c>
      <c r="AH10" s="342">
        <v>1.6</v>
      </c>
      <c r="AI10" s="342">
        <v>0</v>
      </c>
      <c r="AJ10" s="342">
        <v>0</v>
      </c>
      <c r="AK10" s="342">
        <v>0</v>
      </c>
      <c r="AL10" s="342">
        <v>0</v>
      </c>
      <c r="AM10" s="457">
        <f t="shared" si="3"/>
        <v>27.501041666666666</v>
      </c>
      <c r="AN10" s="457">
        <f t="shared" si="3"/>
        <v>19.250729166666666</v>
      </c>
      <c r="AO10" s="457">
        <f t="shared" si="3"/>
        <v>4.8126822916666665</v>
      </c>
      <c r="AP10" s="457">
        <v>0</v>
      </c>
      <c r="AQ10" s="457">
        <v>0</v>
      </c>
      <c r="AR10" s="458">
        <f>30*AR7</f>
        <v>5.5002083333333331</v>
      </c>
      <c r="AS10" s="350">
        <v>1</v>
      </c>
      <c r="AT10" s="361"/>
      <c r="AU10" s="458">
        <f>30*AU7</f>
        <v>8.2503125000000015</v>
      </c>
      <c r="AV10" s="458">
        <f>30*AV7</f>
        <v>5.7752187500000005</v>
      </c>
      <c r="AW10" s="342" t="s">
        <v>65</v>
      </c>
      <c r="AX10" s="342">
        <v>0</v>
      </c>
      <c r="AY10" s="342" t="s">
        <v>65</v>
      </c>
      <c r="AZ10" s="342">
        <v>0</v>
      </c>
      <c r="BA10" s="342" t="s">
        <v>65</v>
      </c>
      <c r="BB10" s="342" t="s">
        <v>65</v>
      </c>
      <c r="BC10" s="342" t="s">
        <v>67</v>
      </c>
      <c r="BD10" s="514">
        <v>1</v>
      </c>
      <c r="BE10" s="515" t="s">
        <v>170</v>
      </c>
      <c r="BF10" s="514">
        <v>15617.8</v>
      </c>
      <c r="BG10" s="514">
        <v>1.6</v>
      </c>
      <c r="BH10" s="514" t="s">
        <v>72</v>
      </c>
      <c r="BI10" s="514">
        <v>800</v>
      </c>
      <c r="BJ10" s="514">
        <v>0</v>
      </c>
      <c r="BK10" s="514" t="s">
        <v>65</v>
      </c>
      <c r="BL10" s="514" t="s">
        <v>65</v>
      </c>
      <c r="BM10" s="514" t="s">
        <v>67</v>
      </c>
      <c r="BN10" s="514" t="s">
        <v>67</v>
      </c>
      <c r="BO10" s="514" t="s">
        <v>65</v>
      </c>
      <c r="BP10" s="514" t="s">
        <v>65</v>
      </c>
      <c r="BQ10" s="513">
        <v>0</v>
      </c>
      <c r="BR10" s="513">
        <v>0</v>
      </c>
      <c r="BS10" s="517" t="s">
        <v>67</v>
      </c>
      <c r="BT10" s="517" t="s">
        <v>198</v>
      </c>
    </row>
    <row r="11" spans="1:72" x14ac:dyDescent="0.25">
      <c r="P11" s="393">
        <f>P9+P10</f>
        <v>369.01900000000001</v>
      </c>
      <c r="Q11" s="393">
        <f>Q9+Q10</f>
        <v>87.547875000000005</v>
      </c>
    </row>
    <row r="13" spans="1:72" x14ac:dyDescent="0.25">
      <c r="O13" s="1140" t="s">
        <v>196</v>
      </c>
      <c r="P13" s="1375"/>
      <c r="Q13" s="1375"/>
      <c r="R13" s="1141"/>
      <c r="T13" s="1140" t="s">
        <v>121</v>
      </c>
      <c r="U13" s="1375"/>
      <c r="V13" s="1375"/>
      <c r="W13" s="1141"/>
      <c r="X13" s="590"/>
      <c r="Y13" s="590"/>
    </row>
    <row r="14" spans="1:72" x14ac:dyDescent="0.25">
      <c r="L14">
        <v>19.25</v>
      </c>
      <c r="O14" s="1127" t="s">
        <v>192</v>
      </c>
      <c r="P14" s="1128"/>
      <c r="Q14" s="591">
        <v>31179</v>
      </c>
      <c r="R14" s="591"/>
      <c r="T14" s="1127" t="s">
        <v>192</v>
      </c>
      <c r="U14" s="1128"/>
      <c r="V14" s="591">
        <v>32613</v>
      </c>
      <c r="W14" s="591"/>
      <c r="X14" s="589"/>
      <c r="Y14" s="589"/>
    </row>
    <row r="15" spans="1:72" x14ac:dyDescent="0.25">
      <c r="G15">
        <v>189</v>
      </c>
      <c r="L15" s="393">
        <v>14</v>
      </c>
      <c r="O15" s="1127" t="s">
        <v>193</v>
      </c>
      <c r="P15" s="1128"/>
      <c r="Q15" s="591">
        <v>255</v>
      </c>
      <c r="R15" s="591" t="s">
        <v>194</v>
      </c>
      <c r="T15" s="1127" t="s">
        <v>193</v>
      </c>
      <c r="U15" s="1128"/>
      <c r="V15" s="591">
        <v>255</v>
      </c>
      <c r="W15" s="591" t="s">
        <v>194</v>
      </c>
      <c r="X15" s="589"/>
      <c r="Y15" s="589"/>
    </row>
    <row r="16" spans="1:72" x14ac:dyDescent="0.25">
      <c r="G16">
        <v>146</v>
      </c>
      <c r="L16">
        <v>4</v>
      </c>
      <c r="O16" s="1127" t="s">
        <v>195</v>
      </c>
      <c r="P16" s="1128"/>
      <c r="Q16" s="596">
        <f>Q14*Q15/907200</f>
        <v>8.7639384920634917</v>
      </c>
      <c r="R16" s="591"/>
      <c r="T16" s="1127" t="s">
        <v>195</v>
      </c>
      <c r="U16" s="1128"/>
      <c r="V16" s="596">
        <f>V14*V15/907200</f>
        <v>9.1670138888888886</v>
      </c>
      <c r="W16" s="591"/>
      <c r="X16" s="594"/>
      <c r="Y16" s="589"/>
      <c r="AA16">
        <v>15</v>
      </c>
    </row>
    <row r="17" spans="7:27" x14ac:dyDescent="0.25">
      <c r="G17">
        <f>G15-G16</f>
        <v>43</v>
      </c>
      <c r="L17" s="393">
        <f>SUM(L14,L15,L16,L13)</f>
        <v>37.25</v>
      </c>
      <c r="O17" s="1132" t="s">
        <v>9</v>
      </c>
      <c r="P17" s="1133"/>
      <c r="Q17" s="592">
        <f>Q16/100*40</f>
        <v>3.5055753968253969</v>
      </c>
      <c r="R17" s="591">
        <v>40</v>
      </c>
      <c r="T17" s="1132" t="s">
        <v>9</v>
      </c>
      <c r="U17" s="1133"/>
      <c r="V17" s="592">
        <f>V16/100*40</f>
        <v>3.6668055555555554</v>
      </c>
      <c r="W17" s="591">
        <v>40</v>
      </c>
      <c r="X17" s="595"/>
      <c r="Y17" s="589"/>
      <c r="AA17">
        <v>11</v>
      </c>
    </row>
    <row r="18" spans="7:27" x14ac:dyDescent="0.25">
      <c r="L18" s="393">
        <f>Q10-L17</f>
        <v>7.5079453124999986</v>
      </c>
      <c r="O18" s="1132" t="s">
        <v>10</v>
      </c>
      <c r="P18" s="1133"/>
      <c r="Q18" s="592">
        <f>Q16/100*30</f>
        <v>2.6291815476190474</v>
      </c>
      <c r="R18" s="591">
        <v>30</v>
      </c>
      <c r="T18" s="1132" t="s">
        <v>10</v>
      </c>
      <c r="U18" s="1133"/>
      <c r="V18" s="592">
        <f>V16/100*30</f>
        <v>2.7501041666666666</v>
      </c>
      <c r="W18" s="591">
        <v>30</v>
      </c>
      <c r="X18" s="595"/>
      <c r="Y18" s="589"/>
      <c r="AA18">
        <v>5</v>
      </c>
    </row>
    <row r="19" spans="7:27" ht="17.25" x14ac:dyDescent="0.25">
      <c r="I19" s="588"/>
      <c r="J19">
        <v>1.84</v>
      </c>
      <c r="L19" s="393"/>
      <c r="O19" s="1132" t="s">
        <v>11</v>
      </c>
      <c r="P19" s="1133"/>
      <c r="Q19" s="592">
        <f>Q16/100*5</f>
        <v>0.43819692460317461</v>
      </c>
      <c r="R19" s="591">
        <v>5</v>
      </c>
      <c r="T19" s="1132" t="s">
        <v>11</v>
      </c>
      <c r="U19" s="1133"/>
      <c r="V19" s="592">
        <f>V16/100*5</f>
        <v>0.45835069444444443</v>
      </c>
      <c r="W19" s="591">
        <v>5</v>
      </c>
      <c r="X19" s="595"/>
      <c r="Y19" s="589"/>
      <c r="AA19">
        <v>11</v>
      </c>
    </row>
    <row r="20" spans="7:27" x14ac:dyDescent="0.25">
      <c r="H20" s="589"/>
      <c r="I20" s="589"/>
      <c r="J20" s="593">
        <f>J19/13</f>
        <v>0.14153846153846156</v>
      </c>
      <c r="K20" s="589"/>
      <c r="L20" s="589"/>
      <c r="O20" s="1132" t="s">
        <v>12</v>
      </c>
      <c r="P20" s="1133"/>
      <c r="Q20" s="592">
        <f>Q16/100*10</f>
        <v>0.87639384920634922</v>
      </c>
      <c r="R20" s="591">
        <v>10</v>
      </c>
      <c r="T20" s="1132" t="s">
        <v>12</v>
      </c>
      <c r="U20" s="1133"/>
      <c r="V20" s="592">
        <f>V16/100*10</f>
        <v>0.91670138888888886</v>
      </c>
      <c r="W20" s="591">
        <v>10</v>
      </c>
      <c r="X20" s="594"/>
      <c r="Y20" s="589"/>
      <c r="AA20">
        <f>SUM(AA15:AA19)</f>
        <v>42</v>
      </c>
    </row>
    <row r="21" spans="7:27" x14ac:dyDescent="0.25">
      <c r="H21" s="589"/>
      <c r="I21" s="590"/>
      <c r="J21" s="589"/>
      <c r="K21" s="589"/>
      <c r="L21" s="589"/>
      <c r="O21" s="1132" t="s">
        <v>99</v>
      </c>
      <c r="P21" s="1133"/>
      <c r="Q21" s="592">
        <f>Q16/100*10</f>
        <v>0.87639384920634922</v>
      </c>
      <c r="R21" s="591">
        <v>10</v>
      </c>
      <c r="T21" s="1132" t="s">
        <v>99</v>
      </c>
      <c r="U21" s="1133"/>
      <c r="V21" s="592">
        <f>V16/100*10</f>
        <v>0.91670138888888886</v>
      </c>
      <c r="W21" s="591">
        <v>10</v>
      </c>
      <c r="X21" s="595"/>
      <c r="Y21" s="589"/>
      <c r="AA21">
        <v>40</v>
      </c>
    </row>
    <row r="22" spans="7:27" x14ac:dyDescent="0.25">
      <c r="H22" s="589"/>
      <c r="I22" s="589"/>
      <c r="J22" s="589"/>
      <c r="K22" s="589"/>
      <c r="L22" s="589"/>
      <c r="O22" s="1132" t="s">
        <v>100</v>
      </c>
      <c r="P22" s="1133"/>
      <c r="Q22" s="592">
        <f>Q16/100*2</f>
        <v>0.17527876984126983</v>
      </c>
      <c r="R22" s="591">
        <v>2</v>
      </c>
      <c r="T22" s="1132" t="s">
        <v>100</v>
      </c>
      <c r="U22" s="1133"/>
      <c r="V22" s="592">
        <f>V16/100*2</f>
        <v>0.18334027777777778</v>
      </c>
      <c r="W22" s="591">
        <v>2</v>
      </c>
      <c r="X22" s="595"/>
      <c r="Y22" s="589"/>
      <c r="AA22">
        <f>AA21-AA20</f>
        <v>-2</v>
      </c>
    </row>
    <row r="23" spans="7:27" x14ac:dyDescent="0.25">
      <c r="H23" s="589"/>
      <c r="I23" s="589"/>
      <c r="J23" s="589"/>
      <c r="K23" s="589">
        <v>2.4500000000000002</v>
      </c>
      <c r="L23" s="589"/>
      <c r="O23" s="1132" t="s">
        <v>101</v>
      </c>
      <c r="P23" s="1133"/>
      <c r="Q23" s="592">
        <f>Q16/100*3</f>
        <v>0.26291815476190472</v>
      </c>
      <c r="R23" s="591">
        <v>3</v>
      </c>
      <c r="T23" s="1132" t="s">
        <v>101</v>
      </c>
      <c r="U23" s="1133"/>
      <c r="V23" s="592">
        <f>V16/100*3</f>
        <v>0.2750104166666667</v>
      </c>
      <c r="W23" s="591">
        <v>3</v>
      </c>
      <c r="X23" s="594"/>
      <c r="Y23" s="589"/>
    </row>
    <row r="24" spans="7:27" x14ac:dyDescent="0.25">
      <c r="G24">
        <v>127</v>
      </c>
      <c r="H24" s="654">
        <v>6.2E-2</v>
      </c>
      <c r="I24" s="589">
        <v>1</v>
      </c>
      <c r="J24" s="654">
        <v>8.1000000000000003E-2</v>
      </c>
      <c r="K24" s="593">
        <f>K23/13</f>
        <v>0.18846153846153849</v>
      </c>
      <c r="L24" s="589"/>
      <c r="O24" s="1140" t="s">
        <v>89</v>
      </c>
      <c r="P24" s="1141"/>
      <c r="Q24" s="596">
        <f>SUM(Q17:Q23)</f>
        <v>8.7639384920634935</v>
      </c>
      <c r="R24" s="591">
        <f>SUM(R17:R23)</f>
        <v>100</v>
      </c>
      <c r="T24" s="1140" t="s">
        <v>89</v>
      </c>
      <c r="U24" s="1141"/>
      <c r="V24" s="596">
        <f>SUM(V17:V23)</f>
        <v>9.1670138888888886</v>
      </c>
      <c r="W24" s="591">
        <f>SUM(W17:W23)</f>
        <v>100</v>
      </c>
      <c r="X24" s="593"/>
      <c r="Y24" s="589"/>
    </row>
    <row r="25" spans="7:27" x14ac:dyDescent="0.25">
      <c r="H25" s="654">
        <v>6.4000000000000001E-2</v>
      </c>
      <c r="I25" s="589">
        <v>2</v>
      </c>
      <c r="J25" s="654">
        <v>8.2000000000000003E-2</v>
      </c>
      <c r="K25" s="589"/>
      <c r="L25" s="589"/>
      <c r="T25" s="589"/>
      <c r="U25" s="589"/>
      <c r="V25" s="589"/>
      <c r="W25" s="589"/>
      <c r="X25" s="593"/>
      <c r="Y25" s="589"/>
    </row>
    <row r="26" spans="7:27" x14ac:dyDescent="0.25">
      <c r="H26" s="654">
        <v>6.5000000000000002E-2</v>
      </c>
      <c r="I26" s="589">
        <v>3</v>
      </c>
      <c r="J26" s="654">
        <v>8.3000000000000004E-2</v>
      </c>
      <c r="K26" s="589"/>
      <c r="L26" s="589"/>
    </row>
    <row r="27" spans="7:27" x14ac:dyDescent="0.25">
      <c r="H27" s="654">
        <v>6.6000000000000003E-2</v>
      </c>
      <c r="I27" s="594">
        <v>4</v>
      </c>
      <c r="J27" s="654">
        <v>8.4000000000000005E-2</v>
      </c>
    </row>
    <row r="28" spans="7:27" x14ac:dyDescent="0.25">
      <c r="H28" s="654">
        <v>6.7000000000000004E-2</v>
      </c>
      <c r="I28" s="594">
        <v>5</v>
      </c>
      <c r="J28" s="654">
        <v>8.5000000000000006E-2</v>
      </c>
      <c r="P28" s="249" t="s">
        <v>199</v>
      </c>
      <c r="Q28" s="249"/>
    </row>
    <row r="29" spans="7:27" x14ac:dyDescent="0.25">
      <c r="H29" s="654">
        <v>6.8000000000000005E-2</v>
      </c>
      <c r="I29" s="589">
        <v>6</v>
      </c>
      <c r="J29" s="654">
        <v>8.5999999999999993E-2</v>
      </c>
      <c r="P29" s="249"/>
      <c r="Q29" s="634">
        <f>108*31179/1000000</f>
        <v>3.3673320000000002</v>
      </c>
    </row>
    <row r="30" spans="7:27" x14ac:dyDescent="0.25">
      <c r="H30" s="654">
        <v>6.9000000000000006E-2</v>
      </c>
      <c r="I30" s="589">
        <v>7</v>
      </c>
      <c r="J30" s="654">
        <v>8.6999999999999994E-2</v>
      </c>
      <c r="P30" s="249"/>
      <c r="Q30" s="634">
        <f>Q29*31</f>
        <v>104.387292</v>
      </c>
    </row>
    <row r="31" spans="7:27" x14ac:dyDescent="0.25">
      <c r="H31" s="654">
        <v>7.0000000000000007E-2</v>
      </c>
      <c r="I31" s="589">
        <v>8</v>
      </c>
      <c r="J31" s="654">
        <v>8.7999999999999995E-2</v>
      </c>
      <c r="P31" s="249"/>
      <c r="Q31" s="249"/>
    </row>
    <row r="32" spans="7:27" x14ac:dyDescent="0.25">
      <c r="H32" s="654">
        <v>7.0999999999999994E-2</v>
      </c>
      <c r="I32" s="594">
        <v>9</v>
      </c>
      <c r="J32" s="654">
        <v>8.8999999999999996E-2</v>
      </c>
      <c r="P32" s="249" t="s">
        <v>200</v>
      </c>
      <c r="Q32" s="249"/>
      <c r="W32" s="619" t="s">
        <v>90</v>
      </c>
      <c r="X32" s="620">
        <v>0</v>
      </c>
      <c r="Y32" s="620">
        <v>43</v>
      </c>
      <c r="Z32" s="620">
        <v>8</v>
      </c>
      <c r="AA32" s="619">
        <v>720.28599999999994</v>
      </c>
    </row>
    <row r="33" spans="6:30" x14ac:dyDescent="0.25">
      <c r="H33" s="654">
        <v>8.5999999999999993E-2</v>
      </c>
      <c r="I33" s="594">
        <v>10</v>
      </c>
      <c r="J33" s="654">
        <v>0.13</v>
      </c>
      <c r="P33" s="249"/>
      <c r="Q33" s="634">
        <f>120*31179/250</f>
        <v>14965.92</v>
      </c>
      <c r="W33" s="619" t="s">
        <v>86</v>
      </c>
      <c r="X33" s="620">
        <v>0</v>
      </c>
      <c r="Y33" s="620">
        <v>77</v>
      </c>
      <c r="Z33" s="620">
        <v>19.25</v>
      </c>
      <c r="AA33" s="619">
        <v>2.7</v>
      </c>
    </row>
    <row r="34" spans="6:30" x14ac:dyDescent="0.25">
      <c r="H34" s="589">
        <v>9.0999999999999998E-2</v>
      </c>
      <c r="I34" s="589">
        <v>11</v>
      </c>
      <c r="J34" s="654">
        <v>0.15</v>
      </c>
      <c r="P34" s="249"/>
      <c r="Q34" s="634">
        <f>Q33/1000</f>
        <v>14.965920000000001</v>
      </c>
      <c r="W34" s="619" t="s">
        <v>87</v>
      </c>
      <c r="X34" s="620">
        <v>0</v>
      </c>
      <c r="Y34" s="620">
        <v>58</v>
      </c>
      <c r="Z34" s="620">
        <v>14</v>
      </c>
      <c r="AA34" s="619">
        <v>1.7</v>
      </c>
    </row>
    <row r="35" spans="6:30" x14ac:dyDescent="0.25">
      <c r="H35" s="589">
        <v>7.1999999999999995E-2</v>
      </c>
      <c r="I35" s="589">
        <v>12</v>
      </c>
      <c r="J35" s="654">
        <v>0.09</v>
      </c>
      <c r="P35" s="249"/>
      <c r="Q35" s="634">
        <f>Q34*31</f>
        <v>463.94352000000003</v>
      </c>
      <c r="W35" s="619" t="s">
        <v>201</v>
      </c>
      <c r="X35" s="620">
        <v>0</v>
      </c>
      <c r="Y35" s="620">
        <v>8</v>
      </c>
      <c r="Z35" s="620">
        <v>4</v>
      </c>
      <c r="AA35" s="619">
        <v>0.08</v>
      </c>
    </row>
    <row r="36" spans="6:30" x14ac:dyDescent="0.25">
      <c r="H36" s="589">
        <v>7.2999999999999995E-2</v>
      </c>
      <c r="I36" s="589">
        <v>13</v>
      </c>
      <c r="J36" s="654">
        <v>9.0999999999999998E-2</v>
      </c>
      <c r="P36" s="249"/>
      <c r="Q36" s="634">
        <f>Q35/100*5</f>
        <v>23.197176000000002</v>
      </c>
      <c r="W36" s="619" t="s">
        <v>202</v>
      </c>
      <c r="X36" s="620">
        <v>0</v>
      </c>
      <c r="Y36" s="620">
        <v>3</v>
      </c>
      <c r="Z36" s="620">
        <v>0</v>
      </c>
      <c r="AA36" s="619">
        <v>0.05</v>
      </c>
    </row>
    <row r="37" spans="6:30" x14ac:dyDescent="0.25">
      <c r="G37">
        <v>1.84</v>
      </c>
      <c r="H37" s="449">
        <f>SUM(H24:H36)</f>
        <v>0.92399999999999982</v>
      </c>
      <c r="J37" s="449">
        <f>SUM(J24:J36)</f>
        <v>1.226</v>
      </c>
      <c r="K37">
        <v>2.4500000000000002</v>
      </c>
      <c r="X37">
        <f>SUM(X32:X36)</f>
        <v>0</v>
      </c>
      <c r="Y37">
        <f>SUM(Y32:Y36)</f>
        <v>189</v>
      </c>
      <c r="Z37">
        <f>SUM(Z32:Z36)</f>
        <v>45.25</v>
      </c>
      <c r="AA37">
        <f>SUM(AA32:AA36)</f>
        <v>724.81600000000003</v>
      </c>
    </row>
    <row r="38" spans="6:30" x14ac:dyDescent="0.25">
      <c r="G38">
        <f>G37/2</f>
        <v>0.92</v>
      </c>
      <c r="H38" s="449">
        <f>H37*2</f>
        <v>1.8479999999999996</v>
      </c>
      <c r="J38" s="449">
        <f>J37*2</f>
        <v>2.452</v>
      </c>
      <c r="K38">
        <f>K37/2</f>
        <v>1.2250000000000001</v>
      </c>
    </row>
    <row r="41" spans="6:30" x14ac:dyDescent="0.25">
      <c r="P41" s="622"/>
      <c r="Q41" s="621"/>
      <c r="R41" s="621"/>
      <c r="S41" s="621"/>
      <c r="T41" s="622"/>
      <c r="X41" s="1377"/>
      <c r="Y41" s="1377"/>
      <c r="Z41" s="621"/>
      <c r="AA41" s="621"/>
      <c r="AB41" s="621"/>
      <c r="AC41" s="622"/>
    </row>
    <row r="42" spans="6:30" x14ac:dyDescent="0.25">
      <c r="P42" s="619"/>
      <c r="Q42" s="620"/>
      <c r="R42" s="620"/>
      <c r="S42" s="620"/>
      <c r="T42" s="623"/>
      <c r="V42" s="620"/>
      <c r="X42" s="1376"/>
      <c r="Y42" s="1376"/>
      <c r="Z42" s="620"/>
      <c r="AA42" s="620"/>
      <c r="AB42" s="620"/>
      <c r="AC42" s="1376"/>
      <c r="AD42" s="1376"/>
    </row>
    <row r="43" spans="6:30" x14ac:dyDescent="0.25">
      <c r="P43" s="619"/>
      <c r="Q43" s="620"/>
      <c r="R43" s="620"/>
      <c r="S43" s="620"/>
      <c r="T43" s="619"/>
      <c r="X43" s="1376"/>
      <c r="Y43" s="1376"/>
      <c r="Z43" s="620"/>
      <c r="AA43" s="620"/>
      <c r="AB43" s="620"/>
      <c r="AC43" s="1376"/>
      <c r="AD43" s="1376"/>
    </row>
    <row r="44" spans="6:30" x14ac:dyDescent="0.25">
      <c r="F44" s="619" t="s">
        <v>90</v>
      </c>
      <c r="G44" s="620">
        <v>0</v>
      </c>
      <c r="H44" s="620">
        <v>37</v>
      </c>
      <c r="I44" s="620">
        <v>6</v>
      </c>
      <c r="J44" s="619">
        <v>1200</v>
      </c>
      <c r="P44" s="619"/>
      <c r="Q44" s="620"/>
      <c r="R44" s="620"/>
      <c r="S44" s="620"/>
      <c r="T44" s="619"/>
      <c r="X44" s="1376"/>
      <c r="Y44" s="1376"/>
      <c r="Z44" s="620"/>
      <c r="AA44" s="620"/>
      <c r="AB44" s="620"/>
      <c r="AC44" s="1376"/>
      <c r="AD44" s="1376"/>
    </row>
    <row r="45" spans="6:30" x14ac:dyDescent="0.25">
      <c r="F45" s="619" t="s">
        <v>86</v>
      </c>
      <c r="G45" s="620">
        <v>0</v>
      </c>
      <c r="H45" s="620">
        <v>74</v>
      </c>
      <c r="I45" s="620">
        <v>18</v>
      </c>
      <c r="J45" s="619">
        <v>0</v>
      </c>
      <c r="P45" s="619"/>
      <c r="Q45" s="620"/>
      <c r="R45" s="620"/>
      <c r="S45" s="620"/>
      <c r="T45" s="619"/>
      <c r="X45" s="1376"/>
      <c r="Y45" s="1376"/>
      <c r="Z45" s="620"/>
      <c r="AA45" s="620"/>
      <c r="AB45" s="620"/>
      <c r="AC45" s="1376"/>
      <c r="AD45" s="1376"/>
    </row>
    <row r="46" spans="6:30" x14ac:dyDescent="0.25">
      <c r="F46" s="619" t="s">
        <v>87</v>
      </c>
      <c r="G46" s="620">
        <v>0</v>
      </c>
      <c r="H46" s="620">
        <v>55</v>
      </c>
      <c r="I46" s="620">
        <v>14</v>
      </c>
      <c r="J46" s="619">
        <v>0</v>
      </c>
      <c r="P46" s="619"/>
      <c r="Q46" s="620"/>
      <c r="R46" s="620"/>
      <c r="S46" s="620"/>
      <c r="T46" s="619"/>
      <c r="X46" s="1376"/>
      <c r="Y46" s="1376"/>
      <c r="Z46" s="620"/>
      <c r="AA46" s="620"/>
      <c r="AB46" s="620"/>
      <c r="AC46" s="1376"/>
      <c r="AD46" s="1376"/>
    </row>
    <row r="47" spans="6:30" x14ac:dyDescent="0.25">
      <c r="F47" s="619" t="s">
        <v>201</v>
      </c>
      <c r="G47" s="620">
        <v>0</v>
      </c>
      <c r="H47" s="620">
        <v>9</v>
      </c>
      <c r="I47" s="620">
        <v>5</v>
      </c>
      <c r="J47" s="619">
        <v>0</v>
      </c>
      <c r="Q47" s="664"/>
      <c r="R47" s="664"/>
      <c r="S47" s="664"/>
      <c r="T47" s="664"/>
      <c r="Z47" s="664"/>
      <c r="AA47" s="664"/>
      <c r="AB47" s="664"/>
      <c r="AC47" s="1378"/>
      <c r="AD47" s="1378"/>
    </row>
    <row r="48" spans="6:30" x14ac:dyDescent="0.25">
      <c r="F48" s="619" t="s">
        <v>202</v>
      </c>
      <c r="G48" s="620">
        <v>0</v>
      </c>
      <c r="H48" s="620">
        <v>5</v>
      </c>
      <c r="I48" s="620">
        <v>0</v>
      </c>
      <c r="J48" s="619">
        <v>0</v>
      </c>
    </row>
    <row r="50" spans="7:10" x14ac:dyDescent="0.25">
      <c r="G50">
        <f>SUM(G44:G48)</f>
        <v>0</v>
      </c>
      <c r="H50">
        <f>SUM(H44:H48)</f>
        <v>180</v>
      </c>
      <c r="I50">
        <f>SUM(I44:I48)</f>
        <v>43</v>
      </c>
      <c r="J50">
        <f>SUM(J44:J48)</f>
        <v>1200</v>
      </c>
    </row>
  </sheetData>
  <mergeCells count="58">
    <mergeCell ref="X46:Y46"/>
    <mergeCell ref="AC46:AD46"/>
    <mergeCell ref="AC47:AD47"/>
    <mergeCell ref="AC42:AD42"/>
    <mergeCell ref="X43:Y43"/>
    <mergeCell ref="AC43:AD43"/>
    <mergeCell ref="X44:Y44"/>
    <mergeCell ref="AC44:AD44"/>
    <mergeCell ref="X45:Y45"/>
    <mergeCell ref="AC45:AD45"/>
    <mergeCell ref="X42:Y42"/>
    <mergeCell ref="O23:P23"/>
    <mergeCell ref="T23:U23"/>
    <mergeCell ref="O24:P24"/>
    <mergeCell ref="T24:U24"/>
    <mergeCell ref="X41:Y41"/>
    <mergeCell ref="O20:P20"/>
    <mergeCell ref="T20:U20"/>
    <mergeCell ref="O21:P21"/>
    <mergeCell ref="T21:U21"/>
    <mergeCell ref="O22:P22"/>
    <mergeCell ref="T22:U22"/>
    <mergeCell ref="O17:P17"/>
    <mergeCell ref="T17:U17"/>
    <mergeCell ref="O18:P18"/>
    <mergeCell ref="T18:U18"/>
    <mergeCell ref="O19:P19"/>
    <mergeCell ref="T19:U19"/>
    <mergeCell ref="O14:P14"/>
    <mergeCell ref="T14:U14"/>
    <mergeCell ref="O15:P15"/>
    <mergeCell ref="T15:U15"/>
    <mergeCell ref="O16:P16"/>
    <mergeCell ref="T16:U16"/>
    <mergeCell ref="BM1:BN1"/>
    <mergeCell ref="BO1:BP1"/>
    <mergeCell ref="BQ1:BR1"/>
    <mergeCell ref="BS1:BT1"/>
    <mergeCell ref="O13:R13"/>
    <mergeCell ref="T13:W13"/>
    <mergeCell ref="AC1:AD1"/>
    <mergeCell ref="AE1:AL1"/>
    <mergeCell ref="AM1:AQ1"/>
    <mergeCell ref="AR1:AT1"/>
    <mergeCell ref="AU1:BC1"/>
    <mergeCell ref="BD1:BL1"/>
    <mergeCell ref="Z1:AB1"/>
    <mergeCell ref="M1:M2"/>
    <mergeCell ref="N1:N2"/>
    <mergeCell ref="O1:Q1"/>
    <mergeCell ref="R1:U1"/>
    <mergeCell ref="V1:Y1"/>
    <mergeCell ref="L1:L2"/>
    <mergeCell ref="A1:A3"/>
    <mergeCell ref="B1:B3"/>
    <mergeCell ref="C1:E2"/>
    <mergeCell ref="F1:H2"/>
    <mergeCell ref="I1:K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8"/>
  <sheetViews>
    <sheetView topLeftCell="G4" zoomScale="80" zoomScaleNormal="80" workbookViewId="0">
      <selection activeCell="R9" sqref="R9:S9"/>
    </sheetView>
  </sheetViews>
  <sheetFormatPr defaultRowHeight="15" x14ac:dyDescent="0.25"/>
  <cols>
    <col min="63" max="63" width="12" customWidth="1"/>
    <col min="64" max="64" width="13.28515625" customWidth="1"/>
  </cols>
  <sheetData>
    <row r="1" spans="1:79" ht="45" customHeight="1" thickBot="1" x14ac:dyDescent="0.3">
      <c r="A1" s="1396" t="s">
        <v>0</v>
      </c>
      <c r="B1" s="1398" t="s">
        <v>1</v>
      </c>
      <c r="C1" s="1401" t="s">
        <v>2</v>
      </c>
      <c r="D1" s="1402"/>
      <c r="E1" s="1403"/>
      <c r="F1" s="1401" t="s">
        <v>3</v>
      </c>
      <c r="G1" s="1402"/>
      <c r="H1" s="1403"/>
      <c r="I1" s="1401" t="s">
        <v>4</v>
      </c>
      <c r="J1" s="1402"/>
      <c r="K1" s="1403"/>
      <c r="L1" s="1407" t="s">
        <v>5</v>
      </c>
      <c r="M1" s="1407" t="s">
        <v>6</v>
      </c>
      <c r="N1" s="635"/>
      <c r="O1" s="635"/>
      <c r="P1" s="1407" t="s">
        <v>7</v>
      </c>
      <c r="Q1" s="1409" t="s">
        <v>8</v>
      </c>
      <c r="R1" s="1410"/>
      <c r="S1" s="1411"/>
      <c r="T1" s="1412" t="s">
        <v>9</v>
      </c>
      <c r="U1" s="1413"/>
      <c r="V1" s="1413"/>
      <c r="W1" s="1414"/>
      <c r="X1" s="1415" t="s">
        <v>10</v>
      </c>
      <c r="Y1" s="1416"/>
      <c r="Z1" s="1416"/>
      <c r="AA1" s="1417"/>
      <c r="AB1" s="1393" t="s">
        <v>11</v>
      </c>
      <c r="AC1" s="1394"/>
      <c r="AD1" s="1395"/>
      <c r="AE1" s="1381" t="s">
        <v>208</v>
      </c>
      <c r="AF1" s="1382"/>
      <c r="AG1" s="1382"/>
      <c r="AH1" s="1383"/>
      <c r="AI1" s="1384" t="s">
        <v>12</v>
      </c>
      <c r="AJ1" s="1385"/>
      <c r="AK1" s="1363" t="s">
        <v>179</v>
      </c>
      <c r="AL1" s="1364"/>
      <c r="AM1" s="1364"/>
      <c r="AN1" s="1364"/>
      <c r="AO1" s="1364"/>
      <c r="AP1" s="1364"/>
      <c r="AQ1" s="1364"/>
      <c r="AR1" s="1365"/>
      <c r="AS1" s="1228" t="s">
        <v>99</v>
      </c>
      <c r="AT1" s="1229"/>
      <c r="AU1" s="1229"/>
      <c r="AV1" s="1229"/>
      <c r="AW1" s="1230"/>
      <c r="AX1" s="1231" t="s">
        <v>100</v>
      </c>
      <c r="AY1" s="1232"/>
      <c r="AZ1" s="1233"/>
      <c r="BA1" s="1231" t="s">
        <v>101</v>
      </c>
      <c r="BB1" s="1232"/>
      <c r="BC1" s="1232"/>
      <c r="BD1" s="1232"/>
      <c r="BE1" s="1232"/>
      <c r="BF1" s="1232"/>
      <c r="BG1" s="1232"/>
      <c r="BH1" s="1232"/>
      <c r="BI1" s="1233"/>
      <c r="BJ1" s="1386" t="s">
        <v>14</v>
      </c>
      <c r="BK1" s="1387"/>
      <c r="BL1" s="1387"/>
      <c r="BM1" s="1387"/>
      <c r="BN1" s="1387"/>
      <c r="BO1" s="1387"/>
      <c r="BP1" s="1387"/>
      <c r="BQ1" s="1388"/>
      <c r="BR1" s="1389" t="s">
        <v>15</v>
      </c>
      <c r="BS1" s="1390"/>
      <c r="BT1" s="1228" t="s">
        <v>16</v>
      </c>
      <c r="BU1" s="1230"/>
      <c r="BV1" s="1389" t="s">
        <v>130</v>
      </c>
      <c r="BW1" s="1390"/>
      <c r="BX1" s="1391" t="s">
        <v>171</v>
      </c>
      <c r="BY1" s="1392"/>
      <c r="BZ1" s="1379" t="s">
        <v>209</v>
      </c>
      <c r="CA1" s="1380"/>
    </row>
    <row r="2" spans="1:79" ht="225.75" thickBot="1" x14ac:dyDescent="0.3">
      <c r="A2" s="1397"/>
      <c r="B2" s="1399"/>
      <c r="C2" s="1404"/>
      <c r="D2" s="1405"/>
      <c r="E2" s="1406"/>
      <c r="F2" s="1404"/>
      <c r="G2" s="1405"/>
      <c r="H2" s="1406"/>
      <c r="I2" s="1404"/>
      <c r="J2" s="1405"/>
      <c r="K2" s="1406"/>
      <c r="L2" s="1408"/>
      <c r="M2" s="1408"/>
      <c r="N2" s="636" t="s">
        <v>210</v>
      </c>
      <c r="O2" s="636" t="s">
        <v>211</v>
      </c>
      <c r="P2" s="1408"/>
      <c r="Q2" s="637" t="s">
        <v>17</v>
      </c>
      <c r="R2" s="637" t="s">
        <v>18</v>
      </c>
      <c r="S2" s="637" t="s">
        <v>19</v>
      </c>
      <c r="T2" s="638" t="s">
        <v>20</v>
      </c>
      <c r="U2" s="638" t="s">
        <v>21</v>
      </c>
      <c r="V2" s="638" t="s">
        <v>22</v>
      </c>
      <c r="W2" s="638" t="s">
        <v>23</v>
      </c>
      <c r="X2" s="639" t="s">
        <v>24</v>
      </c>
      <c r="Y2" s="639" t="s">
        <v>25</v>
      </c>
      <c r="Z2" s="639" t="s">
        <v>26</v>
      </c>
      <c r="AA2" s="639" t="s">
        <v>27</v>
      </c>
      <c r="AB2" s="640" t="s">
        <v>28</v>
      </c>
      <c r="AC2" s="640" t="s">
        <v>29</v>
      </c>
      <c r="AD2" s="640" t="s">
        <v>30</v>
      </c>
      <c r="AE2" s="641" t="s">
        <v>212</v>
      </c>
      <c r="AF2" s="641" t="s">
        <v>213</v>
      </c>
      <c r="AG2" s="641" t="s">
        <v>214</v>
      </c>
      <c r="AH2" s="641" t="s">
        <v>215</v>
      </c>
      <c r="AI2" s="642" t="s">
        <v>31</v>
      </c>
      <c r="AJ2" s="642" t="s">
        <v>32</v>
      </c>
      <c r="AK2" s="552" t="s">
        <v>180</v>
      </c>
      <c r="AL2" s="552" t="s">
        <v>36</v>
      </c>
      <c r="AM2" s="552" t="s">
        <v>181</v>
      </c>
      <c r="AN2" s="552" t="s">
        <v>36</v>
      </c>
      <c r="AO2" s="552" t="s">
        <v>182</v>
      </c>
      <c r="AP2" s="643" t="s">
        <v>36</v>
      </c>
      <c r="AQ2" s="552" t="s">
        <v>183</v>
      </c>
      <c r="AR2" s="643" t="s">
        <v>36</v>
      </c>
      <c r="AS2" s="644" t="s">
        <v>102</v>
      </c>
      <c r="AT2" s="644" t="s">
        <v>103</v>
      </c>
      <c r="AU2" s="644" t="s">
        <v>104</v>
      </c>
      <c r="AV2" s="644" t="s">
        <v>105</v>
      </c>
      <c r="AW2" s="644" t="s">
        <v>106</v>
      </c>
      <c r="AX2" s="645" t="s">
        <v>107</v>
      </c>
      <c r="AY2" s="645" t="s">
        <v>108</v>
      </c>
      <c r="AZ2" s="645" t="s">
        <v>109</v>
      </c>
      <c r="BA2" s="645" t="s">
        <v>110</v>
      </c>
      <c r="BB2" s="645" t="s">
        <v>111</v>
      </c>
      <c r="BC2" s="645" t="s">
        <v>112</v>
      </c>
      <c r="BD2" s="645" t="s">
        <v>113</v>
      </c>
      <c r="BE2" s="645" t="s">
        <v>114</v>
      </c>
      <c r="BF2" s="645" t="s">
        <v>115</v>
      </c>
      <c r="BG2" s="646" t="s">
        <v>116</v>
      </c>
      <c r="BH2" s="647" t="s">
        <v>117</v>
      </c>
      <c r="BI2" s="645" t="s">
        <v>118</v>
      </c>
      <c r="BJ2" s="648" t="s">
        <v>14</v>
      </c>
      <c r="BK2" s="648" t="s">
        <v>167</v>
      </c>
      <c r="BL2" s="648" t="s">
        <v>39</v>
      </c>
      <c r="BM2" s="648" t="s">
        <v>40</v>
      </c>
      <c r="BN2" s="648" t="s">
        <v>41</v>
      </c>
      <c r="BO2" s="648" t="s">
        <v>43</v>
      </c>
      <c r="BP2" s="648" t="s">
        <v>44</v>
      </c>
      <c r="BQ2" s="648" t="s">
        <v>46</v>
      </c>
      <c r="BR2" s="649" t="s">
        <v>47</v>
      </c>
      <c r="BS2" s="649" t="s">
        <v>48</v>
      </c>
      <c r="BT2" s="644" t="s">
        <v>49</v>
      </c>
      <c r="BU2" s="644" t="s">
        <v>50</v>
      </c>
      <c r="BV2" s="649" t="s">
        <v>131</v>
      </c>
      <c r="BW2" s="649" t="s">
        <v>132</v>
      </c>
      <c r="BX2" s="565" t="s">
        <v>172</v>
      </c>
      <c r="BY2" s="565" t="s">
        <v>173</v>
      </c>
      <c r="BZ2" s="650" t="s">
        <v>216</v>
      </c>
      <c r="CA2" s="650" t="s">
        <v>217</v>
      </c>
    </row>
    <row r="3" spans="1:79" ht="90.75" thickBot="1" x14ac:dyDescent="0.3">
      <c r="A3" s="651"/>
      <c r="B3" s="1400"/>
      <c r="C3" s="652" t="s">
        <v>185</v>
      </c>
      <c r="D3" s="652" t="s">
        <v>186</v>
      </c>
      <c r="E3" s="652" t="s">
        <v>187</v>
      </c>
      <c r="F3" s="652" t="s">
        <v>185</v>
      </c>
      <c r="G3" s="652" t="s">
        <v>186</v>
      </c>
      <c r="H3" s="652" t="s">
        <v>187</v>
      </c>
      <c r="I3" s="652" t="s">
        <v>185</v>
      </c>
      <c r="J3" s="652" t="s">
        <v>186</v>
      </c>
      <c r="K3" s="652" t="s">
        <v>187</v>
      </c>
      <c r="L3" s="652" t="s">
        <v>58</v>
      </c>
      <c r="M3" s="652" t="s">
        <v>188</v>
      </c>
      <c r="N3" s="652" t="s">
        <v>218</v>
      </c>
      <c r="O3" s="671" t="s">
        <v>120</v>
      </c>
      <c r="P3" s="671" t="s">
        <v>189</v>
      </c>
      <c r="Q3" s="652" t="s">
        <v>190</v>
      </c>
      <c r="R3" s="652" t="s">
        <v>190</v>
      </c>
      <c r="S3" s="652" t="s">
        <v>190</v>
      </c>
      <c r="T3" s="652" t="s">
        <v>190</v>
      </c>
      <c r="U3" s="652" t="s">
        <v>190</v>
      </c>
      <c r="V3" s="652" t="s">
        <v>57</v>
      </c>
      <c r="W3" s="652" t="s">
        <v>57</v>
      </c>
      <c r="X3" s="652" t="s">
        <v>57</v>
      </c>
      <c r="Y3" s="652" t="s">
        <v>57</v>
      </c>
      <c r="Z3" s="652" t="s">
        <v>57</v>
      </c>
      <c r="AA3" s="652" t="s">
        <v>57</v>
      </c>
      <c r="AB3" s="652" t="s">
        <v>57</v>
      </c>
      <c r="AC3" s="652" t="s">
        <v>57</v>
      </c>
      <c r="AD3" s="671" t="s">
        <v>57</v>
      </c>
      <c r="AE3" s="671" t="s">
        <v>219</v>
      </c>
      <c r="AF3" s="671" t="s">
        <v>220</v>
      </c>
      <c r="AG3" s="671" t="s">
        <v>219</v>
      </c>
      <c r="AH3" s="672" t="s">
        <v>221</v>
      </c>
      <c r="AI3" s="671" t="s">
        <v>57</v>
      </c>
      <c r="AJ3" s="671" t="s">
        <v>57</v>
      </c>
      <c r="AK3" s="671" t="s">
        <v>58</v>
      </c>
      <c r="AL3" s="652" t="s">
        <v>57</v>
      </c>
      <c r="AM3" s="652" t="s">
        <v>54</v>
      </c>
      <c r="AN3" s="652" t="s">
        <v>57</v>
      </c>
      <c r="AO3" s="652" t="s">
        <v>54</v>
      </c>
      <c r="AP3" s="652" t="s">
        <v>57</v>
      </c>
      <c r="AQ3" s="652" t="s">
        <v>54</v>
      </c>
      <c r="AR3" s="652" t="s">
        <v>57</v>
      </c>
      <c r="AS3" s="652" t="s">
        <v>62</v>
      </c>
      <c r="AT3" s="652" t="s">
        <v>62</v>
      </c>
      <c r="AU3" s="652" t="s">
        <v>62</v>
      </c>
      <c r="AV3" s="652" t="s">
        <v>54</v>
      </c>
      <c r="AW3" s="652" t="s">
        <v>57</v>
      </c>
      <c r="AX3" s="652" t="s">
        <v>62</v>
      </c>
      <c r="AY3" s="652" t="s">
        <v>54</v>
      </c>
      <c r="AZ3" s="652" t="s">
        <v>119</v>
      </c>
      <c r="BA3" s="652" t="s">
        <v>62</v>
      </c>
      <c r="BB3" s="652" t="s">
        <v>62</v>
      </c>
      <c r="BC3" s="652" t="s">
        <v>120</v>
      </c>
      <c r="BD3" s="652" t="s">
        <v>54</v>
      </c>
      <c r="BE3" s="652" t="s">
        <v>120</v>
      </c>
      <c r="BF3" s="652" t="s">
        <v>54</v>
      </c>
      <c r="BG3" s="652" t="s">
        <v>120</v>
      </c>
      <c r="BH3" s="652" t="s">
        <v>120</v>
      </c>
      <c r="BI3" s="652" t="s">
        <v>120</v>
      </c>
      <c r="BJ3" s="652" t="s">
        <v>54</v>
      </c>
      <c r="BK3" s="653" t="s">
        <v>168</v>
      </c>
      <c r="BL3" s="652" t="s">
        <v>59</v>
      </c>
      <c r="BM3" s="652" t="s">
        <v>60</v>
      </c>
      <c r="BN3" s="652" t="s">
        <v>61</v>
      </c>
      <c r="BO3" s="652" t="s">
        <v>57</v>
      </c>
      <c r="BP3" s="652" t="s">
        <v>127</v>
      </c>
      <c r="BQ3" s="652" t="s">
        <v>127</v>
      </c>
      <c r="BR3" s="652" t="s">
        <v>120</v>
      </c>
      <c r="BS3" s="652" t="s">
        <v>120</v>
      </c>
      <c r="BT3" s="652" t="s">
        <v>120</v>
      </c>
      <c r="BU3" s="652" t="s">
        <v>120</v>
      </c>
      <c r="BV3" s="652" t="s">
        <v>54</v>
      </c>
      <c r="BW3" s="652" t="s">
        <v>54</v>
      </c>
      <c r="BX3" s="565" t="s">
        <v>120</v>
      </c>
      <c r="BY3" s="565" t="s">
        <v>174</v>
      </c>
      <c r="BZ3" s="650" t="s">
        <v>120</v>
      </c>
      <c r="CA3" s="650" t="s">
        <v>222</v>
      </c>
    </row>
    <row r="4" spans="1:79" ht="31.5" x14ac:dyDescent="0.25">
      <c r="A4" s="45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675">
        <v>0</v>
      </c>
      <c r="O4" s="666" t="s">
        <v>65</v>
      </c>
      <c r="P4" s="666">
        <v>0</v>
      </c>
      <c r="Q4" s="677">
        <f>SUM(T4,X4,AB4,AS4,AX4,BA4)</f>
        <v>8.3515178571428574</v>
      </c>
      <c r="R4" s="438">
        <f>SUM(U4,Y4,AC4,AI4,AT4,BB4)</f>
        <v>6.6440964285714283</v>
      </c>
      <c r="S4" s="438">
        <f>SUM(V4,Z4,AD4,AJ4,AJ4,AU4)</f>
        <v>1.7514988839285717</v>
      </c>
      <c r="T4" s="453">
        <f>S17</f>
        <v>3.711785714285714</v>
      </c>
      <c r="U4" s="453">
        <f>T4/100*70</f>
        <v>2.5982499999999997</v>
      </c>
      <c r="V4" s="453">
        <f>U4/100*25</f>
        <v>0.64956249999999993</v>
      </c>
      <c r="W4" s="453">
        <v>0</v>
      </c>
      <c r="X4" s="454">
        <f>S18</f>
        <v>2.7838392857142855</v>
      </c>
      <c r="Y4" s="454">
        <f>X4/100*70</f>
        <v>1.9486874999999999</v>
      </c>
      <c r="Z4" s="454">
        <f>Y4/100*25</f>
        <v>0.48717187500000003</v>
      </c>
      <c r="AA4" s="454">
        <v>0</v>
      </c>
      <c r="AB4" s="455">
        <f>S19</f>
        <v>0.46397321428571425</v>
      </c>
      <c r="AC4" s="668">
        <f>AB4/100*70</f>
        <v>0.32478124999999997</v>
      </c>
      <c r="AD4" s="455">
        <f>AC4/100*25</f>
        <v>8.1195312499999991E-2</v>
      </c>
      <c r="AE4" s="680">
        <v>0</v>
      </c>
      <c r="AF4" s="680">
        <v>0</v>
      </c>
      <c r="AG4" s="680">
        <v>0</v>
      </c>
      <c r="AH4" s="680">
        <v>0</v>
      </c>
      <c r="AI4" s="456">
        <f>S20</f>
        <v>0.92794642857142851</v>
      </c>
      <c r="AJ4" s="456">
        <f>AI4/100*20</f>
        <v>0.18558928571428571</v>
      </c>
      <c r="AK4" s="395">
        <v>0</v>
      </c>
      <c r="AL4" s="669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0.92794642857142851</v>
      </c>
      <c r="AT4" s="457">
        <f>AS4/100*70</f>
        <v>0.64956249999999993</v>
      </c>
      <c r="AU4" s="457">
        <f>AT4/100*25</f>
        <v>0.16239062499999998</v>
      </c>
      <c r="AV4" s="457">
        <v>0</v>
      </c>
      <c r="AW4" s="457">
        <v>0</v>
      </c>
      <c r="AX4" s="458">
        <f>S22</f>
        <v>0.18558928571428571</v>
      </c>
      <c r="AY4" s="469">
        <v>4</v>
      </c>
      <c r="AZ4" s="459"/>
      <c r="BA4" s="460">
        <f>S23</f>
        <v>0.27838392857142857</v>
      </c>
      <c r="BB4" s="458">
        <f>BA4/100*70</f>
        <v>0.19486875000000001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v>1450</v>
      </c>
      <c r="BP4" s="461">
        <v>0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t="s">
        <v>67</v>
      </c>
      <c r="CA4" t="s">
        <v>223</v>
      </c>
    </row>
    <row r="5" spans="1:79" ht="31.5" x14ac:dyDescent="0.25">
      <c r="A5" s="50">
        <v>50</v>
      </c>
      <c r="B5" s="665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676">
        <v>0</v>
      </c>
      <c r="O5" s="666" t="s">
        <v>67</v>
      </c>
      <c r="P5" s="679">
        <v>16000</v>
      </c>
      <c r="Q5" s="677">
        <f>SUM(T5,X5,AB5,AS5,AX5,BA5)</f>
        <v>8.7356249999999989</v>
      </c>
      <c r="R5" s="438">
        <f>SUM(U5,Y5,AC5,AI5,AT5,BB5)</f>
        <v>6.9496750000000009</v>
      </c>
      <c r="S5" s="438">
        <f>SUM(V5,Z5,AD5,AJ5,AU5)</f>
        <v>1.6379296875000002</v>
      </c>
      <c r="T5" s="453">
        <f>X17</f>
        <v>3.8825000000000003</v>
      </c>
      <c r="U5" s="453">
        <f>T5/100*70</f>
        <v>2.7177500000000006</v>
      </c>
      <c r="V5" s="453">
        <f>U5/100*25</f>
        <v>0.67943750000000014</v>
      </c>
      <c r="W5" s="345">
        <v>0</v>
      </c>
      <c r="X5" s="454">
        <f>X18</f>
        <v>2.9118750000000002</v>
      </c>
      <c r="Y5" s="454">
        <f>X5/100*70</f>
        <v>2.0383125</v>
      </c>
      <c r="Z5" s="454">
        <f>Y5/100*25</f>
        <v>0.50957812499999999</v>
      </c>
      <c r="AA5" s="346">
        <v>0</v>
      </c>
      <c r="AB5" s="455">
        <f>X19</f>
        <v>0.48531250000000004</v>
      </c>
      <c r="AC5" s="668">
        <f>AB5/100*70</f>
        <v>0.33971875000000007</v>
      </c>
      <c r="AD5" s="455">
        <f>AC5/100*25</f>
        <v>8.4929687500000017E-2</v>
      </c>
      <c r="AE5" s="680">
        <v>0</v>
      </c>
      <c r="AF5" s="680">
        <v>0</v>
      </c>
      <c r="AG5" s="680">
        <v>0</v>
      </c>
      <c r="AH5" s="680">
        <v>0</v>
      </c>
      <c r="AI5" s="456">
        <f>X20</f>
        <v>0.97062500000000007</v>
      </c>
      <c r="AJ5" s="456">
        <f>AI5/100*20</f>
        <v>0.19412500000000002</v>
      </c>
      <c r="AK5" s="342">
        <v>0</v>
      </c>
      <c r="AL5" s="670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0.97062500000000007</v>
      </c>
      <c r="AT5" s="457">
        <f>AS5/100*70</f>
        <v>0.67943750000000014</v>
      </c>
      <c r="AU5" s="457">
        <f>AT5/100*25</f>
        <v>0.16985937500000003</v>
      </c>
      <c r="AV5" s="349">
        <v>0</v>
      </c>
      <c r="AW5" s="349">
        <v>0</v>
      </c>
      <c r="AX5" s="458">
        <f>X22</f>
        <v>0.19412500000000002</v>
      </c>
      <c r="AY5" s="350">
        <v>1</v>
      </c>
      <c r="AZ5" s="361"/>
      <c r="BA5" s="458">
        <f>X23</f>
        <v>0.29118750000000004</v>
      </c>
      <c r="BB5" s="458">
        <f>BA5/100*70</f>
        <v>0.20383125000000002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362">
        <v>820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t="s">
        <v>67</v>
      </c>
      <c r="CA5" t="s">
        <v>224</v>
      </c>
    </row>
    <row r="6" spans="1:79" x14ac:dyDescent="0.25">
      <c r="A6" s="526"/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674"/>
      <c r="P6" s="674"/>
      <c r="Q6" s="685"/>
      <c r="R6" s="526"/>
      <c r="S6" s="526"/>
      <c r="T6" s="526"/>
      <c r="U6" s="526"/>
      <c r="V6" s="526"/>
      <c r="W6" s="526"/>
      <c r="X6" s="526"/>
      <c r="Y6" s="526"/>
      <c r="Z6" s="526"/>
      <c r="AA6" s="526"/>
      <c r="AB6" s="526"/>
      <c r="AC6" s="526"/>
      <c r="AD6" s="673"/>
      <c r="AE6" s="686"/>
      <c r="AF6" s="686"/>
      <c r="AG6" s="686"/>
      <c r="AH6" s="686"/>
      <c r="AI6" s="673"/>
      <c r="AJ6" s="673"/>
      <c r="AK6" s="673"/>
      <c r="AL6" s="526"/>
      <c r="AM6" s="526"/>
      <c r="AN6" s="526"/>
      <c r="AO6" s="526"/>
      <c r="AP6" s="526"/>
      <c r="AQ6" s="526"/>
      <c r="AR6" s="526"/>
      <c r="AS6" s="526"/>
      <c r="AT6" s="526"/>
      <c r="AU6" s="526"/>
      <c r="AV6" s="526"/>
      <c r="AW6" s="526"/>
      <c r="AX6" s="526"/>
      <c r="AY6" s="526"/>
      <c r="AZ6" s="526"/>
      <c r="BA6" s="526"/>
      <c r="BB6" s="526"/>
      <c r="BC6" s="526"/>
      <c r="BD6" s="526"/>
      <c r="BE6" s="526"/>
      <c r="BF6" s="526"/>
      <c r="BG6" s="526"/>
      <c r="BH6" s="526"/>
      <c r="BI6" s="526"/>
      <c r="BJ6" s="526"/>
      <c r="BK6" s="526"/>
      <c r="BL6" s="526"/>
      <c r="BM6" s="526"/>
      <c r="BN6" s="526"/>
      <c r="BO6" s="526"/>
      <c r="BP6" s="526"/>
      <c r="BQ6" s="526"/>
      <c r="BR6" s="526"/>
      <c r="BS6" s="526"/>
      <c r="BT6" s="526"/>
      <c r="BU6" s="526"/>
      <c r="BV6" s="526"/>
      <c r="BW6" s="526"/>
      <c r="BX6" s="526"/>
      <c r="BY6" s="526"/>
    </row>
    <row r="7" spans="1:79" ht="31.5" x14ac:dyDescent="0.25">
      <c r="A7" s="50">
        <v>60</v>
      </c>
      <c r="B7" s="665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676">
        <v>0</v>
      </c>
      <c r="O7" s="666" t="s">
        <v>65</v>
      </c>
      <c r="P7" s="666">
        <v>0</v>
      </c>
      <c r="Q7" s="678">
        <f>SUM(T7,X7,AB7,AS7,AX7,BA7)</f>
        <v>258.89705357142856</v>
      </c>
      <c r="R7" s="394">
        <f>SUM(U7,Y7,AC7,AI7,AT7,BB7)</f>
        <v>205.96698928571428</v>
      </c>
      <c r="S7" s="394">
        <f>SUM(V7,Z7,AD7,AJ7,AU7)</f>
        <v>48.543197544642858</v>
      </c>
      <c r="T7" s="527">
        <f>31*T4</f>
        <v>115.06535714285714</v>
      </c>
      <c r="U7" s="527">
        <f t="shared" ref="U7:W8" si="0">31*U4</f>
        <v>80.545749999999998</v>
      </c>
      <c r="V7" s="527">
        <f t="shared" si="0"/>
        <v>20.1364375</v>
      </c>
      <c r="W7" s="527">
        <f t="shared" si="0"/>
        <v>0</v>
      </c>
      <c r="X7" s="528">
        <f>31*X4</f>
        <v>86.299017857142857</v>
      </c>
      <c r="Y7" s="528">
        <f t="shared" ref="Y7:AA8" si="1">31*Y4</f>
        <v>60.409312499999999</v>
      </c>
      <c r="Z7" s="528">
        <f t="shared" si="1"/>
        <v>15.102328125000001</v>
      </c>
      <c r="AA7" s="528">
        <f t="shared" si="1"/>
        <v>0</v>
      </c>
      <c r="AB7" s="680">
        <f>31*AB4</f>
        <v>14.383169642857142</v>
      </c>
      <c r="AC7" s="680">
        <f t="shared" ref="AC7:AD8" si="2">31*AC4</f>
        <v>10.06821875</v>
      </c>
      <c r="AD7" s="680">
        <f t="shared" si="2"/>
        <v>2.5170546874999999</v>
      </c>
      <c r="AE7" s="680">
        <v>0</v>
      </c>
      <c r="AF7" s="680">
        <v>0</v>
      </c>
      <c r="AG7" s="680">
        <v>0</v>
      </c>
      <c r="AH7" s="680">
        <v>0</v>
      </c>
      <c r="AI7" s="681">
        <f>AI4*31</f>
        <v>28.766339285714285</v>
      </c>
      <c r="AJ7" s="681">
        <f>AJ4*31</f>
        <v>5.7532678571428573</v>
      </c>
      <c r="AK7" s="395">
        <v>0</v>
      </c>
      <c r="AL7" s="669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AS4*31</f>
        <v>28.766339285714285</v>
      </c>
      <c r="AT7" s="682">
        <f t="shared" ref="AT7:AW8" si="3">AT4*31</f>
        <v>20.1364375</v>
      </c>
      <c r="AU7" s="682">
        <f t="shared" si="3"/>
        <v>5.0341093749999999</v>
      </c>
      <c r="AV7" s="682">
        <f t="shared" si="3"/>
        <v>0</v>
      </c>
      <c r="AW7" s="682">
        <f t="shared" si="3"/>
        <v>0</v>
      </c>
      <c r="AX7" s="469">
        <f>AX4*31</f>
        <v>5.7532678571428573</v>
      </c>
      <c r="AY7" s="469">
        <v>4</v>
      </c>
      <c r="AZ7" s="683"/>
      <c r="BA7" s="684">
        <f>BA4*31</f>
        <v>8.629901785714285</v>
      </c>
      <c r="BB7" s="684">
        <f>BB4*31</f>
        <v>6.0409312499999999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t="s">
        <v>67</v>
      </c>
      <c r="CA7" t="s">
        <v>223</v>
      </c>
    </row>
    <row r="8" spans="1:79" ht="31.5" x14ac:dyDescent="0.25">
      <c r="A8" s="50">
        <v>50</v>
      </c>
      <c r="B8" s="665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676">
        <v>0</v>
      </c>
      <c r="O8" s="666" t="s">
        <v>67</v>
      </c>
      <c r="P8" s="679">
        <v>16000</v>
      </c>
      <c r="Q8" s="678">
        <f>SUM(T8,X8,AB8,AS8,AX8,BA8)</f>
        <v>270.80437500000005</v>
      </c>
      <c r="R8" s="394">
        <f>SUM(U8,Y8,AC8,AI8,AT8,BB8)</f>
        <v>215.43992500000007</v>
      </c>
      <c r="S8" s="394">
        <f>SUM(V8,Z8,AD8,AJ8,AU8)</f>
        <v>50.775820312500016</v>
      </c>
      <c r="T8" s="527">
        <f>31*T5</f>
        <v>120.35750000000002</v>
      </c>
      <c r="U8" s="527">
        <f t="shared" si="0"/>
        <v>84.250250000000023</v>
      </c>
      <c r="V8" s="527">
        <f t="shared" si="0"/>
        <v>21.062562500000006</v>
      </c>
      <c r="W8" s="527">
        <f t="shared" si="0"/>
        <v>0</v>
      </c>
      <c r="X8" s="528">
        <f>31*X5</f>
        <v>90.268125000000012</v>
      </c>
      <c r="Y8" s="528">
        <f t="shared" si="1"/>
        <v>63.187687499999996</v>
      </c>
      <c r="Z8" s="528">
        <f t="shared" si="1"/>
        <v>15.796921874999999</v>
      </c>
      <c r="AA8" s="528">
        <f t="shared" si="1"/>
        <v>0</v>
      </c>
      <c r="AB8" s="680">
        <f>31*AB5</f>
        <v>15.044687500000002</v>
      </c>
      <c r="AC8" s="680">
        <f t="shared" si="2"/>
        <v>10.531281250000003</v>
      </c>
      <c r="AD8" s="680">
        <f t="shared" si="2"/>
        <v>2.6328203125000007</v>
      </c>
      <c r="AE8" s="680">
        <v>0</v>
      </c>
      <c r="AF8" s="680">
        <v>0</v>
      </c>
      <c r="AG8" s="680">
        <v>0</v>
      </c>
      <c r="AH8" s="680">
        <v>0</v>
      </c>
      <c r="AI8" s="681">
        <f>AI5*31</f>
        <v>30.089375000000004</v>
      </c>
      <c r="AJ8" s="681">
        <f>AJ5*31</f>
        <v>6.017875000000001</v>
      </c>
      <c r="AK8" s="395">
        <v>0</v>
      </c>
      <c r="AL8" s="669">
        <v>0</v>
      </c>
      <c r="AM8" s="395">
        <v>1</v>
      </c>
      <c r="AN8" s="395">
        <v>1.6</v>
      </c>
      <c r="AO8" s="395">
        <v>0</v>
      </c>
      <c r="AP8" s="395">
        <v>0</v>
      </c>
      <c r="AQ8" s="395">
        <v>0</v>
      </c>
      <c r="AR8" s="395">
        <v>0</v>
      </c>
      <c r="AS8" s="682">
        <f>AS5*31</f>
        <v>30.089375000000004</v>
      </c>
      <c r="AT8" s="682">
        <f t="shared" si="3"/>
        <v>21.062562500000006</v>
      </c>
      <c r="AU8" s="682">
        <f t="shared" si="3"/>
        <v>5.2656406250000014</v>
      </c>
      <c r="AV8" s="682">
        <f t="shared" si="3"/>
        <v>0</v>
      </c>
      <c r="AW8" s="682">
        <f t="shared" si="3"/>
        <v>0</v>
      </c>
      <c r="AX8" s="469">
        <f>AX5*31</f>
        <v>6.017875000000001</v>
      </c>
      <c r="AY8" s="469">
        <v>1</v>
      </c>
      <c r="AZ8" s="683"/>
      <c r="BA8" s="684">
        <f>BA5*31</f>
        <v>9.0268125000000019</v>
      </c>
      <c r="BB8" s="684">
        <f>BB5*31</f>
        <v>6.3187687500000003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t="s">
        <v>67</v>
      </c>
      <c r="CA8" t="s">
        <v>224</v>
      </c>
    </row>
    <row r="9" spans="1:79" x14ac:dyDescent="0.25">
      <c r="R9" s="393">
        <f>R8+R7</f>
        <v>421.40691428571438</v>
      </c>
      <c r="S9" s="393">
        <f>S8+S7</f>
        <v>99.319017857142882</v>
      </c>
      <c r="AE9" s="393"/>
      <c r="AF9" s="393"/>
      <c r="AG9" s="393"/>
      <c r="AH9" s="393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</row>
    <row r="14" spans="1:79" x14ac:dyDescent="0.25">
      <c r="Q14" s="1127" t="s">
        <v>192</v>
      </c>
      <c r="R14" s="1128"/>
      <c r="S14" s="591">
        <v>31179</v>
      </c>
      <c r="T14" s="591"/>
      <c r="V14" s="1127" t="s">
        <v>192</v>
      </c>
      <c r="W14" s="1128"/>
      <c r="X14" s="591">
        <v>32613</v>
      </c>
      <c r="Y14" s="591"/>
      <c r="AA14" s="1134" t="s">
        <v>199</v>
      </c>
      <c r="AB14" s="1135"/>
      <c r="AD14" s="1134" t="s">
        <v>199</v>
      </c>
      <c r="AE14" s="1135"/>
    </row>
    <row r="15" spans="1:79" x14ac:dyDescent="0.25">
      <c r="Q15" s="1127" t="s">
        <v>193</v>
      </c>
      <c r="R15" s="1128"/>
      <c r="S15" s="591">
        <v>270</v>
      </c>
      <c r="T15" s="591" t="s">
        <v>194</v>
      </c>
      <c r="V15" s="1127" t="s">
        <v>193</v>
      </c>
      <c r="W15" s="1128"/>
      <c r="X15" s="591">
        <v>270</v>
      </c>
      <c r="Y15" s="591" t="s">
        <v>194</v>
      </c>
      <c r="AA15" s="249"/>
      <c r="AB15" s="634">
        <f>108*S14/1000000</f>
        <v>3.3673320000000002</v>
      </c>
      <c r="AD15" s="249"/>
      <c r="AE15" s="634">
        <f>108*X14/1000000</f>
        <v>3.5222039999999999</v>
      </c>
    </row>
    <row r="16" spans="1:79" x14ac:dyDescent="0.25">
      <c r="Q16" s="1127" t="s">
        <v>195</v>
      </c>
      <c r="R16" s="1128"/>
      <c r="S16" s="596">
        <f>S14*S15/907200</f>
        <v>9.2794642857142851</v>
      </c>
      <c r="T16" s="591"/>
      <c r="V16" s="1127" t="s">
        <v>195</v>
      </c>
      <c r="W16" s="1128"/>
      <c r="X16" s="596">
        <f>X14*X15/907200</f>
        <v>9.7062500000000007</v>
      </c>
      <c r="Y16" s="591"/>
      <c r="AA16" s="249"/>
      <c r="AB16" s="634">
        <f>AB15*31</f>
        <v>104.387292</v>
      </c>
      <c r="AD16" s="249"/>
      <c r="AE16" s="634">
        <f>AE15*31</f>
        <v>109.18832399999999</v>
      </c>
    </row>
    <row r="17" spans="17:36" x14ac:dyDescent="0.25">
      <c r="Q17" s="1132" t="s">
        <v>9</v>
      </c>
      <c r="R17" s="1133"/>
      <c r="S17" s="592">
        <f>S16/100*40</f>
        <v>3.711785714285714</v>
      </c>
      <c r="T17" s="591">
        <v>40</v>
      </c>
      <c r="V17" s="1132" t="s">
        <v>9</v>
      </c>
      <c r="W17" s="1133"/>
      <c r="X17" s="592">
        <f>X16/100*40</f>
        <v>3.8825000000000003</v>
      </c>
      <c r="Y17" s="591">
        <v>40</v>
      </c>
      <c r="AA17" s="249"/>
      <c r="AB17" s="249"/>
      <c r="AD17" s="249"/>
      <c r="AE17" s="249"/>
      <c r="AJ17">
        <v>215</v>
      </c>
    </row>
    <row r="18" spans="17:36" x14ac:dyDescent="0.25">
      <c r="Q18" s="1132" t="s">
        <v>10</v>
      </c>
      <c r="R18" s="1133"/>
      <c r="S18" s="592">
        <f>S16/100*30</f>
        <v>2.7838392857142855</v>
      </c>
      <c r="T18" s="591">
        <v>30</v>
      </c>
      <c r="V18" s="1132" t="s">
        <v>10</v>
      </c>
      <c r="W18" s="1133"/>
      <c r="X18" s="592">
        <f>X16/100*30</f>
        <v>2.9118750000000002</v>
      </c>
      <c r="Y18" s="591">
        <v>30</v>
      </c>
      <c r="AA18" s="1137" t="s">
        <v>225</v>
      </c>
      <c r="AB18" s="1138"/>
      <c r="AD18" s="1137" t="s">
        <v>225</v>
      </c>
      <c r="AE18" s="1138"/>
      <c r="AG18">
        <v>21</v>
      </c>
      <c r="AJ18">
        <v>163</v>
      </c>
    </row>
    <row r="19" spans="17:36" x14ac:dyDescent="0.25">
      <c r="Q19" s="1132" t="s">
        <v>11</v>
      </c>
      <c r="R19" s="1133"/>
      <c r="S19" s="592">
        <f>S16/100*5</f>
        <v>0.46397321428571425</v>
      </c>
      <c r="T19" s="591">
        <v>5</v>
      </c>
      <c r="V19" s="1132" t="s">
        <v>11</v>
      </c>
      <c r="W19" s="1133"/>
      <c r="X19" s="592">
        <f>X16/100*5</f>
        <v>0.48531250000000004</v>
      </c>
      <c r="Y19" s="591">
        <v>5</v>
      </c>
      <c r="AA19" s="249"/>
      <c r="AB19" s="634">
        <f>120*S14/250</f>
        <v>14965.92</v>
      </c>
      <c r="AD19" s="249"/>
      <c r="AE19" s="634">
        <f>120*X14/250</f>
        <v>15654.24</v>
      </c>
      <c r="AG19">
        <v>16</v>
      </c>
      <c r="AJ19">
        <f>AJ17-AJ18</f>
        <v>52</v>
      </c>
    </row>
    <row r="20" spans="17:36" x14ac:dyDescent="0.25">
      <c r="Q20" s="1132" t="s">
        <v>12</v>
      </c>
      <c r="R20" s="1133"/>
      <c r="S20" s="592">
        <f>S16/100*10</f>
        <v>0.92794642857142851</v>
      </c>
      <c r="T20" s="591">
        <v>10</v>
      </c>
      <c r="V20" s="1132" t="s">
        <v>12</v>
      </c>
      <c r="W20" s="1133"/>
      <c r="X20" s="592">
        <f>X16/100*10</f>
        <v>0.97062500000000007</v>
      </c>
      <c r="Y20" s="591">
        <v>10</v>
      </c>
      <c r="AA20" s="249"/>
      <c r="AB20" s="634">
        <f>AB19/1000</f>
        <v>14.965920000000001</v>
      </c>
      <c r="AD20" s="249"/>
      <c r="AE20" s="634">
        <f>AE19/1000</f>
        <v>15.65424</v>
      </c>
      <c r="AG20">
        <v>6</v>
      </c>
      <c r="AJ20">
        <v>20</v>
      </c>
    </row>
    <row r="21" spans="17:36" x14ac:dyDescent="0.25">
      <c r="Q21" s="1132" t="s">
        <v>99</v>
      </c>
      <c r="R21" s="1133"/>
      <c r="S21" s="592">
        <f>S16/100*10</f>
        <v>0.92794642857142851</v>
      </c>
      <c r="T21" s="591">
        <v>10</v>
      </c>
      <c r="V21" s="1132" t="s">
        <v>99</v>
      </c>
      <c r="W21" s="1133"/>
      <c r="X21" s="592">
        <f>X16/100*10</f>
        <v>0.97062500000000007</v>
      </c>
      <c r="Y21" s="591">
        <v>10</v>
      </c>
      <c r="AA21" s="249"/>
      <c r="AB21" s="634">
        <f>AB20*31</f>
        <v>463.94352000000003</v>
      </c>
      <c r="AD21" s="249"/>
      <c r="AE21" s="634">
        <f>AE20*31</f>
        <v>485.28143999999998</v>
      </c>
      <c r="AG21">
        <v>8</v>
      </c>
      <c r="AJ21">
        <f>AJ19-AJ20</f>
        <v>32</v>
      </c>
    </row>
    <row r="22" spans="17:36" x14ac:dyDescent="0.25">
      <c r="Q22" s="1132" t="s">
        <v>100</v>
      </c>
      <c r="R22" s="1133"/>
      <c r="S22" s="592">
        <f>S16/100*2</f>
        <v>0.18558928571428571</v>
      </c>
      <c r="T22" s="591">
        <v>2</v>
      </c>
      <c r="V22" s="1132" t="s">
        <v>100</v>
      </c>
      <c r="W22" s="1133"/>
      <c r="X22" s="592">
        <f>X16/100*2</f>
        <v>0.19412500000000002</v>
      </c>
      <c r="Y22" s="591">
        <v>2</v>
      </c>
      <c r="AA22" s="249"/>
      <c r="AB22" s="634">
        <f>AB21/100*2</f>
        <v>9.2788704000000006</v>
      </c>
      <c r="AD22" s="249"/>
      <c r="AE22" s="634">
        <f>AE21/100*2</f>
        <v>9.7056287999999995</v>
      </c>
      <c r="AG22">
        <f>SUM(AG18:AG21)</f>
        <v>51</v>
      </c>
    </row>
    <row r="23" spans="17:36" x14ac:dyDescent="0.25">
      <c r="Q23" s="1132" t="s">
        <v>101</v>
      </c>
      <c r="R23" s="1133"/>
      <c r="S23" s="592">
        <f>S16/100*3</f>
        <v>0.27838392857142857</v>
      </c>
      <c r="T23" s="591">
        <v>3</v>
      </c>
      <c r="V23" s="1132" t="s">
        <v>101</v>
      </c>
      <c r="W23" s="1133"/>
      <c r="X23" s="592">
        <f>X16/100*3</f>
        <v>0.29118750000000004</v>
      </c>
      <c r="Y23" s="591">
        <v>3</v>
      </c>
      <c r="AG23">
        <v>51</v>
      </c>
    </row>
    <row r="24" spans="17:36" x14ac:dyDescent="0.25">
      <c r="Q24" s="1140" t="s">
        <v>89</v>
      </c>
      <c r="R24" s="1141"/>
      <c r="S24" s="596">
        <f>SUM(S17:S23)</f>
        <v>9.2794642857142868</v>
      </c>
      <c r="T24" s="591">
        <f>SUM(T17:T23)</f>
        <v>100</v>
      </c>
      <c r="V24" s="1140" t="s">
        <v>89</v>
      </c>
      <c r="W24" s="1141"/>
      <c r="X24" s="596">
        <f>SUM(X17:X23)</f>
        <v>9.7062499999999989</v>
      </c>
      <c r="Y24" s="591">
        <f>SUM(Y17:Y23)</f>
        <v>100</v>
      </c>
      <c r="AG24">
        <f>AG22-AG23</f>
        <v>0</v>
      </c>
    </row>
    <row r="31" spans="17:36" x14ac:dyDescent="0.25">
      <c r="V31" s="689" t="s">
        <v>203</v>
      </c>
      <c r="W31" s="690" t="s">
        <v>204</v>
      </c>
      <c r="X31" s="690" t="s">
        <v>205</v>
      </c>
      <c r="Y31" s="690" t="s">
        <v>206</v>
      </c>
      <c r="Z31" s="689" t="s">
        <v>207</v>
      </c>
      <c r="AA31" s="667"/>
      <c r="AB31" s="667"/>
    </row>
    <row r="32" spans="17:36" x14ac:dyDescent="0.25">
      <c r="V32" s="691" t="s">
        <v>90</v>
      </c>
      <c r="W32" s="692">
        <v>0</v>
      </c>
      <c r="X32" s="692">
        <v>52</v>
      </c>
      <c r="Y32" s="692">
        <v>8</v>
      </c>
      <c r="Z32" s="1418">
        <v>720.28599999999994</v>
      </c>
      <c r="AA32" s="1418"/>
      <c r="AB32" s="667"/>
    </row>
    <row r="33" spans="22:28" x14ac:dyDescent="0.25">
      <c r="V33" s="691" t="s">
        <v>86</v>
      </c>
      <c r="W33" s="692">
        <v>0</v>
      </c>
      <c r="X33" s="692">
        <v>86</v>
      </c>
      <c r="Y33" s="692">
        <v>21</v>
      </c>
      <c r="Z33" s="1418">
        <v>2.7</v>
      </c>
      <c r="AA33" s="1418"/>
      <c r="AB33" s="667"/>
    </row>
    <row r="34" spans="22:28" x14ac:dyDescent="0.25">
      <c r="V34" s="691" t="s">
        <v>87</v>
      </c>
      <c r="W34" s="692">
        <v>0</v>
      </c>
      <c r="X34" s="692">
        <v>63</v>
      </c>
      <c r="Y34" s="692">
        <v>16</v>
      </c>
      <c r="Z34" s="1418">
        <v>1.7</v>
      </c>
      <c r="AA34" s="1418"/>
      <c r="AB34" s="667"/>
    </row>
    <row r="35" spans="22:28" x14ac:dyDescent="0.25">
      <c r="V35" s="691" t="s">
        <v>201</v>
      </c>
      <c r="W35" s="692">
        <v>0</v>
      </c>
      <c r="X35" s="692">
        <v>10</v>
      </c>
      <c r="Y35" s="692">
        <v>6</v>
      </c>
      <c r="Z35" s="1418">
        <v>0.08</v>
      </c>
      <c r="AA35" s="1418"/>
      <c r="AB35" s="667"/>
    </row>
    <row r="36" spans="22:28" x14ac:dyDescent="0.25">
      <c r="V36" s="691" t="s">
        <v>202</v>
      </c>
      <c r="W36" s="692">
        <v>0</v>
      </c>
      <c r="X36" s="692">
        <v>4</v>
      </c>
      <c r="Y36" s="692">
        <v>0</v>
      </c>
      <c r="Z36" s="1418">
        <v>0.05</v>
      </c>
      <c r="AA36" s="1418"/>
      <c r="AB36" s="667"/>
    </row>
    <row r="37" spans="22:28" x14ac:dyDescent="0.25">
      <c r="V37" s="667"/>
      <c r="W37" s="667">
        <f>SUM(W32:W36)</f>
        <v>0</v>
      </c>
      <c r="X37" s="667">
        <f t="shared" ref="X37:Z37" si="4">SUM(X32:X36)</f>
        <v>215</v>
      </c>
      <c r="Y37" s="667">
        <f t="shared" si="4"/>
        <v>51</v>
      </c>
      <c r="Z37" s="1278">
        <f t="shared" si="4"/>
        <v>724.81600000000003</v>
      </c>
      <c r="AA37" s="1278"/>
      <c r="AB37" s="667"/>
    </row>
    <row r="38" spans="22:28" x14ac:dyDescent="0.25">
      <c r="V38" s="667"/>
      <c r="W38" s="667"/>
      <c r="X38" s="667"/>
      <c r="Y38" s="667"/>
      <c r="Z38" s="667"/>
      <c r="AA38" s="667"/>
      <c r="AB38" s="667"/>
    </row>
  </sheetData>
  <mergeCells count="60">
    <mergeCell ref="Z37:AA37"/>
    <mergeCell ref="Z32:AA32"/>
    <mergeCell ref="Z33:AA33"/>
    <mergeCell ref="Z34:AA34"/>
    <mergeCell ref="Z35:AA35"/>
    <mergeCell ref="Z36:AA36"/>
    <mergeCell ref="AA13:AB13"/>
    <mergeCell ref="AA18:AB18"/>
    <mergeCell ref="AD13:AE13"/>
    <mergeCell ref="AD18:AE18"/>
    <mergeCell ref="AA14:AB14"/>
    <mergeCell ref="AD14:AE14"/>
    <mergeCell ref="AB1:AD1"/>
    <mergeCell ref="A1:A2"/>
    <mergeCell ref="B1:B3"/>
    <mergeCell ref="C1:E2"/>
    <mergeCell ref="F1:H2"/>
    <mergeCell ref="I1:K2"/>
    <mergeCell ref="L1:L2"/>
    <mergeCell ref="M1:M2"/>
    <mergeCell ref="P1:P2"/>
    <mergeCell ref="Q1:S1"/>
    <mergeCell ref="T1:W1"/>
    <mergeCell ref="X1:AA1"/>
    <mergeCell ref="BZ1:CA1"/>
    <mergeCell ref="AE1:AH1"/>
    <mergeCell ref="AI1:AJ1"/>
    <mergeCell ref="AK1:AR1"/>
    <mergeCell ref="AS1:AW1"/>
    <mergeCell ref="AX1:AZ1"/>
    <mergeCell ref="BA1:BI1"/>
    <mergeCell ref="BJ1:BQ1"/>
    <mergeCell ref="BR1:BS1"/>
    <mergeCell ref="BT1:BU1"/>
    <mergeCell ref="BV1:BW1"/>
    <mergeCell ref="BX1:BY1"/>
    <mergeCell ref="Q13:T13"/>
    <mergeCell ref="V13:Y13"/>
    <mergeCell ref="Q14:R14"/>
    <mergeCell ref="V14:W14"/>
    <mergeCell ref="Q15:R15"/>
    <mergeCell ref="V15:W15"/>
    <mergeCell ref="Q16:R16"/>
    <mergeCell ref="V16:W16"/>
    <mergeCell ref="Q17:R17"/>
    <mergeCell ref="V17:W17"/>
    <mergeCell ref="Q18:R18"/>
    <mergeCell ref="V18:W18"/>
    <mergeCell ref="Q19:R19"/>
    <mergeCell ref="V19:W19"/>
    <mergeCell ref="Q20:R20"/>
    <mergeCell ref="V20:W20"/>
    <mergeCell ref="Q21:R21"/>
    <mergeCell ref="V21:W21"/>
    <mergeCell ref="Q22:R22"/>
    <mergeCell ref="V22:W22"/>
    <mergeCell ref="Q23:R23"/>
    <mergeCell ref="V23:W23"/>
    <mergeCell ref="Q24:R24"/>
    <mergeCell ref="V24:W24"/>
  </mergeCells>
  <pageMargins left="0.7" right="0.7" top="0.75" bottom="0.75" header="0.3" footer="0.3"/>
  <pageSetup paperSize="9"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4"/>
  <sheetViews>
    <sheetView topLeftCell="J4" workbookViewId="0">
      <selection activeCell="R9" sqref="R9:S9"/>
    </sheetView>
  </sheetViews>
  <sheetFormatPr defaultRowHeight="15" x14ac:dyDescent="0.25"/>
  <cols>
    <col min="64" max="64" width="12" customWidth="1"/>
  </cols>
  <sheetData>
    <row r="1" spans="1:79" ht="16.5" thickBot="1" x14ac:dyDescent="0.3">
      <c r="A1" s="1396" t="s">
        <v>0</v>
      </c>
      <c r="B1" s="1398" t="s">
        <v>1</v>
      </c>
      <c r="C1" s="1401" t="s">
        <v>2</v>
      </c>
      <c r="D1" s="1402"/>
      <c r="E1" s="1403"/>
      <c r="F1" s="1401" t="s">
        <v>3</v>
      </c>
      <c r="G1" s="1402"/>
      <c r="H1" s="1403"/>
      <c r="I1" s="1401" t="s">
        <v>4</v>
      </c>
      <c r="J1" s="1402"/>
      <c r="K1" s="1403"/>
      <c r="L1" s="1407" t="s">
        <v>5</v>
      </c>
      <c r="M1" s="1407" t="s">
        <v>6</v>
      </c>
      <c r="N1" s="635"/>
      <c r="O1" s="635"/>
      <c r="P1" s="1407" t="s">
        <v>7</v>
      </c>
      <c r="Q1" s="1409" t="s">
        <v>8</v>
      </c>
      <c r="R1" s="1410"/>
      <c r="S1" s="1411"/>
      <c r="T1" s="1412" t="s">
        <v>9</v>
      </c>
      <c r="U1" s="1413"/>
      <c r="V1" s="1413"/>
      <c r="W1" s="1414"/>
      <c r="X1" s="1415" t="s">
        <v>10</v>
      </c>
      <c r="Y1" s="1416"/>
      <c r="Z1" s="1416"/>
      <c r="AA1" s="1417"/>
      <c r="AB1" s="1393" t="s">
        <v>11</v>
      </c>
      <c r="AC1" s="1394"/>
      <c r="AD1" s="1395"/>
      <c r="AE1" s="1381" t="s">
        <v>208</v>
      </c>
      <c r="AF1" s="1382"/>
      <c r="AG1" s="1382"/>
      <c r="AH1" s="1383"/>
      <c r="AI1" s="1384" t="s">
        <v>12</v>
      </c>
      <c r="AJ1" s="1385"/>
      <c r="AK1" s="1363" t="s">
        <v>179</v>
      </c>
      <c r="AL1" s="1364"/>
      <c r="AM1" s="1364"/>
      <c r="AN1" s="1364"/>
      <c r="AO1" s="1364"/>
      <c r="AP1" s="1364"/>
      <c r="AQ1" s="1364"/>
      <c r="AR1" s="1365"/>
      <c r="AS1" s="1228" t="s">
        <v>99</v>
      </c>
      <c r="AT1" s="1229"/>
      <c r="AU1" s="1229"/>
      <c r="AV1" s="1229"/>
      <c r="AW1" s="1230"/>
      <c r="AX1" s="1231" t="s">
        <v>100</v>
      </c>
      <c r="AY1" s="1232"/>
      <c r="AZ1" s="1233"/>
      <c r="BA1" s="1231" t="s">
        <v>101</v>
      </c>
      <c r="BB1" s="1232"/>
      <c r="BC1" s="1232"/>
      <c r="BD1" s="1232"/>
      <c r="BE1" s="1232"/>
      <c r="BF1" s="1232"/>
      <c r="BG1" s="1232"/>
      <c r="BH1" s="1232"/>
      <c r="BI1" s="1233"/>
      <c r="BJ1" s="1386" t="s">
        <v>14</v>
      </c>
      <c r="BK1" s="1387"/>
      <c r="BL1" s="1387"/>
      <c r="BM1" s="1387"/>
      <c r="BN1" s="1387"/>
      <c r="BO1" s="1387"/>
      <c r="BP1" s="1387"/>
      <c r="BQ1" s="1388"/>
      <c r="BR1" s="1389" t="s">
        <v>15</v>
      </c>
      <c r="BS1" s="1390"/>
      <c r="BT1" s="1228" t="s">
        <v>16</v>
      </c>
      <c r="BU1" s="1230"/>
      <c r="BV1" s="1389" t="s">
        <v>130</v>
      </c>
      <c r="BW1" s="1390"/>
      <c r="BX1" s="1391" t="s">
        <v>171</v>
      </c>
      <c r="BY1" s="1392"/>
      <c r="BZ1" s="1379" t="s">
        <v>209</v>
      </c>
      <c r="CA1" s="1380"/>
    </row>
    <row r="2" spans="1:79" ht="225.75" thickBot="1" x14ac:dyDescent="0.3">
      <c r="A2" s="1397"/>
      <c r="B2" s="1399"/>
      <c r="C2" s="1404"/>
      <c r="D2" s="1405"/>
      <c r="E2" s="1406"/>
      <c r="F2" s="1404"/>
      <c r="G2" s="1405"/>
      <c r="H2" s="1406"/>
      <c r="I2" s="1404"/>
      <c r="J2" s="1405"/>
      <c r="K2" s="1406"/>
      <c r="L2" s="1408"/>
      <c r="M2" s="1408"/>
      <c r="N2" s="636" t="s">
        <v>210</v>
      </c>
      <c r="O2" s="636" t="s">
        <v>211</v>
      </c>
      <c r="P2" s="1408"/>
      <c r="Q2" s="637" t="s">
        <v>17</v>
      </c>
      <c r="R2" s="637" t="s">
        <v>18</v>
      </c>
      <c r="S2" s="637" t="s">
        <v>19</v>
      </c>
      <c r="T2" s="638" t="s">
        <v>20</v>
      </c>
      <c r="U2" s="638" t="s">
        <v>21</v>
      </c>
      <c r="V2" s="638" t="s">
        <v>22</v>
      </c>
      <c r="W2" s="638" t="s">
        <v>23</v>
      </c>
      <c r="X2" s="639" t="s">
        <v>24</v>
      </c>
      <c r="Y2" s="639" t="s">
        <v>25</v>
      </c>
      <c r="Z2" s="639" t="s">
        <v>26</v>
      </c>
      <c r="AA2" s="639" t="s">
        <v>27</v>
      </c>
      <c r="AB2" s="640" t="s">
        <v>28</v>
      </c>
      <c r="AC2" s="640" t="s">
        <v>29</v>
      </c>
      <c r="AD2" s="640" t="s">
        <v>30</v>
      </c>
      <c r="AE2" s="641" t="s">
        <v>212</v>
      </c>
      <c r="AF2" s="641" t="s">
        <v>213</v>
      </c>
      <c r="AG2" s="641" t="s">
        <v>214</v>
      </c>
      <c r="AH2" s="641" t="s">
        <v>215</v>
      </c>
      <c r="AI2" s="642" t="s">
        <v>31</v>
      </c>
      <c r="AJ2" s="642" t="s">
        <v>32</v>
      </c>
      <c r="AK2" s="552" t="s">
        <v>180</v>
      </c>
      <c r="AL2" s="552" t="s">
        <v>36</v>
      </c>
      <c r="AM2" s="552" t="s">
        <v>181</v>
      </c>
      <c r="AN2" s="552" t="s">
        <v>36</v>
      </c>
      <c r="AO2" s="552" t="s">
        <v>182</v>
      </c>
      <c r="AP2" s="643" t="s">
        <v>36</v>
      </c>
      <c r="AQ2" s="552" t="s">
        <v>183</v>
      </c>
      <c r="AR2" s="643" t="s">
        <v>36</v>
      </c>
      <c r="AS2" s="644" t="s">
        <v>102</v>
      </c>
      <c r="AT2" s="644" t="s">
        <v>103</v>
      </c>
      <c r="AU2" s="644" t="s">
        <v>104</v>
      </c>
      <c r="AV2" s="644" t="s">
        <v>105</v>
      </c>
      <c r="AW2" s="644" t="s">
        <v>106</v>
      </c>
      <c r="AX2" s="645" t="s">
        <v>107</v>
      </c>
      <c r="AY2" s="645" t="s">
        <v>108</v>
      </c>
      <c r="AZ2" s="645" t="s">
        <v>109</v>
      </c>
      <c r="BA2" s="645" t="s">
        <v>110</v>
      </c>
      <c r="BB2" s="645" t="s">
        <v>111</v>
      </c>
      <c r="BC2" s="645" t="s">
        <v>112</v>
      </c>
      <c r="BD2" s="645" t="s">
        <v>113</v>
      </c>
      <c r="BE2" s="645" t="s">
        <v>114</v>
      </c>
      <c r="BF2" s="645" t="s">
        <v>115</v>
      </c>
      <c r="BG2" s="646" t="s">
        <v>116</v>
      </c>
      <c r="BH2" s="647" t="s">
        <v>117</v>
      </c>
      <c r="BI2" s="645" t="s">
        <v>118</v>
      </c>
      <c r="BJ2" s="648" t="s">
        <v>14</v>
      </c>
      <c r="BK2" s="648" t="s">
        <v>167</v>
      </c>
      <c r="BL2" s="648" t="s">
        <v>39</v>
      </c>
      <c r="BM2" s="648" t="s">
        <v>40</v>
      </c>
      <c r="BN2" s="648" t="s">
        <v>41</v>
      </c>
      <c r="BO2" s="648" t="s">
        <v>43</v>
      </c>
      <c r="BP2" s="648" t="s">
        <v>44</v>
      </c>
      <c r="BQ2" s="648" t="s">
        <v>46</v>
      </c>
      <c r="BR2" s="649" t="s">
        <v>47</v>
      </c>
      <c r="BS2" s="649" t="s">
        <v>48</v>
      </c>
      <c r="BT2" s="644" t="s">
        <v>49</v>
      </c>
      <c r="BU2" s="644" t="s">
        <v>50</v>
      </c>
      <c r="BV2" s="649" t="s">
        <v>131</v>
      </c>
      <c r="BW2" s="649" t="s">
        <v>132</v>
      </c>
      <c r="BX2" s="565" t="s">
        <v>172</v>
      </c>
      <c r="BY2" s="565" t="s">
        <v>173</v>
      </c>
      <c r="BZ2" s="650" t="s">
        <v>216</v>
      </c>
      <c r="CA2" s="650" t="s">
        <v>217</v>
      </c>
    </row>
    <row r="3" spans="1:79" ht="90.75" thickBot="1" x14ac:dyDescent="0.3">
      <c r="A3" s="651"/>
      <c r="B3" s="1400"/>
      <c r="C3" s="652" t="s">
        <v>185</v>
      </c>
      <c r="D3" s="652" t="s">
        <v>186</v>
      </c>
      <c r="E3" s="652" t="s">
        <v>187</v>
      </c>
      <c r="F3" s="652" t="s">
        <v>185</v>
      </c>
      <c r="G3" s="652" t="s">
        <v>186</v>
      </c>
      <c r="H3" s="652" t="s">
        <v>187</v>
      </c>
      <c r="I3" s="652" t="s">
        <v>185</v>
      </c>
      <c r="J3" s="652" t="s">
        <v>186</v>
      </c>
      <c r="K3" s="652" t="s">
        <v>187</v>
      </c>
      <c r="L3" s="652" t="s">
        <v>58</v>
      </c>
      <c r="M3" s="652" t="s">
        <v>188</v>
      </c>
      <c r="N3" s="652" t="s">
        <v>218</v>
      </c>
      <c r="O3" s="671" t="s">
        <v>120</v>
      </c>
      <c r="P3" s="671" t="s">
        <v>189</v>
      </c>
      <c r="Q3" s="652" t="s">
        <v>190</v>
      </c>
      <c r="R3" s="652" t="s">
        <v>190</v>
      </c>
      <c r="S3" s="652" t="s">
        <v>190</v>
      </c>
      <c r="T3" s="652" t="s">
        <v>190</v>
      </c>
      <c r="U3" s="652" t="s">
        <v>190</v>
      </c>
      <c r="V3" s="652" t="s">
        <v>57</v>
      </c>
      <c r="W3" s="652" t="s">
        <v>57</v>
      </c>
      <c r="X3" s="652" t="s">
        <v>57</v>
      </c>
      <c r="Y3" s="652" t="s">
        <v>57</v>
      </c>
      <c r="Z3" s="652" t="s">
        <v>57</v>
      </c>
      <c r="AA3" s="652" t="s">
        <v>57</v>
      </c>
      <c r="AB3" s="652" t="s">
        <v>57</v>
      </c>
      <c r="AC3" s="652" t="s">
        <v>57</v>
      </c>
      <c r="AD3" s="671" t="s">
        <v>57</v>
      </c>
      <c r="AE3" s="671" t="s">
        <v>219</v>
      </c>
      <c r="AF3" s="671" t="s">
        <v>220</v>
      </c>
      <c r="AG3" s="671" t="s">
        <v>219</v>
      </c>
      <c r="AH3" s="672" t="s">
        <v>221</v>
      </c>
      <c r="AI3" s="671" t="s">
        <v>57</v>
      </c>
      <c r="AJ3" s="671" t="s">
        <v>57</v>
      </c>
      <c r="AK3" s="671" t="s">
        <v>58</v>
      </c>
      <c r="AL3" s="652" t="s">
        <v>57</v>
      </c>
      <c r="AM3" s="652" t="s">
        <v>54</v>
      </c>
      <c r="AN3" s="652" t="s">
        <v>57</v>
      </c>
      <c r="AO3" s="652" t="s">
        <v>54</v>
      </c>
      <c r="AP3" s="652" t="s">
        <v>57</v>
      </c>
      <c r="AQ3" s="652" t="s">
        <v>54</v>
      </c>
      <c r="AR3" s="652" t="s">
        <v>57</v>
      </c>
      <c r="AS3" s="652" t="s">
        <v>62</v>
      </c>
      <c r="AT3" s="652" t="s">
        <v>62</v>
      </c>
      <c r="AU3" s="652" t="s">
        <v>62</v>
      </c>
      <c r="AV3" s="652" t="s">
        <v>54</v>
      </c>
      <c r="AW3" s="652" t="s">
        <v>57</v>
      </c>
      <c r="AX3" s="652" t="s">
        <v>62</v>
      </c>
      <c r="AY3" s="652" t="s">
        <v>54</v>
      </c>
      <c r="AZ3" s="652" t="s">
        <v>119</v>
      </c>
      <c r="BA3" s="652" t="s">
        <v>62</v>
      </c>
      <c r="BB3" s="652" t="s">
        <v>62</v>
      </c>
      <c r="BC3" s="652" t="s">
        <v>120</v>
      </c>
      <c r="BD3" s="652" t="s">
        <v>54</v>
      </c>
      <c r="BE3" s="652" t="s">
        <v>120</v>
      </c>
      <c r="BF3" s="652" t="s">
        <v>54</v>
      </c>
      <c r="BG3" s="652" t="s">
        <v>120</v>
      </c>
      <c r="BH3" s="652" t="s">
        <v>120</v>
      </c>
      <c r="BI3" s="652" t="s">
        <v>120</v>
      </c>
      <c r="BJ3" s="652" t="s">
        <v>54</v>
      </c>
      <c r="BK3" s="653" t="s">
        <v>168</v>
      </c>
      <c r="BL3" s="652" t="s">
        <v>59</v>
      </c>
      <c r="BM3" s="652" t="s">
        <v>60</v>
      </c>
      <c r="BN3" s="652" t="s">
        <v>61</v>
      </c>
      <c r="BO3" s="652" t="s">
        <v>57</v>
      </c>
      <c r="BP3" s="652" t="s">
        <v>127</v>
      </c>
      <c r="BQ3" s="652" t="s">
        <v>127</v>
      </c>
      <c r="BR3" s="652" t="s">
        <v>120</v>
      </c>
      <c r="BS3" s="652" t="s">
        <v>120</v>
      </c>
      <c r="BT3" s="652" t="s">
        <v>120</v>
      </c>
      <c r="BU3" s="652" t="s">
        <v>120</v>
      </c>
      <c r="BV3" s="652" t="s">
        <v>54</v>
      </c>
      <c r="BW3" s="652" t="s">
        <v>54</v>
      </c>
      <c r="BX3" s="565" t="s">
        <v>120</v>
      </c>
      <c r="BY3" s="565" t="s">
        <v>174</v>
      </c>
      <c r="BZ3" s="650" t="s">
        <v>120</v>
      </c>
      <c r="CA3" s="650" t="s">
        <v>222</v>
      </c>
    </row>
    <row r="4" spans="1:79" ht="31.5" x14ac:dyDescent="0.25">
      <c r="A4" s="45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675">
        <v>0</v>
      </c>
      <c r="O4" s="688" t="s">
        <v>65</v>
      </c>
      <c r="P4" s="688">
        <v>0</v>
      </c>
      <c r="Q4" s="677">
        <f>SUM(T4,X4,AB4,AS4,AX4,BA4)</f>
        <v>8.5061755952380977</v>
      </c>
      <c r="R4" s="438">
        <f>SUM(U4,Y4,AC4,AI4,AT4,BB4)</f>
        <v>6.7671352513227516</v>
      </c>
      <c r="S4" s="438">
        <f>SUM(V4,Z4,AD4,AJ4,AJ4,AU4)</f>
        <v>1.7839340484457675</v>
      </c>
      <c r="T4" s="453">
        <f>S17</f>
        <v>3.7805224867724867</v>
      </c>
      <c r="U4" s="453">
        <f>T4/100*70</f>
        <v>2.646365740740741</v>
      </c>
      <c r="V4" s="453">
        <f>U4/100*25</f>
        <v>0.66159143518518526</v>
      </c>
      <c r="W4" s="453">
        <v>0</v>
      </c>
      <c r="X4" s="454">
        <f>S18</f>
        <v>2.835391865079365</v>
      </c>
      <c r="Y4" s="454">
        <f>X4/100*70</f>
        <v>1.9847743055555556</v>
      </c>
      <c r="Z4" s="454">
        <f>Y4/100*25</f>
        <v>0.49619357638888884</v>
      </c>
      <c r="AA4" s="454">
        <v>0</v>
      </c>
      <c r="AB4" s="455">
        <f>S19</f>
        <v>0.47256531084656084</v>
      </c>
      <c r="AC4" s="668">
        <f>AB4/100*70</f>
        <v>0.33079571759259263</v>
      </c>
      <c r="AD4" s="455">
        <f>AC4/100*25</f>
        <v>8.2698929398148158E-2</v>
      </c>
      <c r="AE4" s="680">
        <v>0</v>
      </c>
      <c r="AF4" s="680">
        <v>0</v>
      </c>
      <c r="AG4" s="680">
        <v>0</v>
      </c>
      <c r="AH4" s="680">
        <v>0</v>
      </c>
      <c r="AI4" s="456">
        <f>S20</f>
        <v>0.94513062169312168</v>
      </c>
      <c r="AJ4" s="456">
        <f>AI4/100*20</f>
        <v>0.18902612433862434</v>
      </c>
      <c r="AK4" s="395">
        <v>0</v>
      </c>
      <c r="AL4" s="669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0.94513062169312168</v>
      </c>
      <c r="AT4" s="457">
        <f>AS4/100*70</f>
        <v>0.66159143518518526</v>
      </c>
      <c r="AU4" s="457">
        <f>AT4/100*25</f>
        <v>0.16539785879629632</v>
      </c>
      <c r="AV4" s="457">
        <v>0</v>
      </c>
      <c r="AW4" s="457">
        <v>0</v>
      </c>
      <c r="AX4" s="458">
        <f>S22</f>
        <v>0.18902612433862434</v>
      </c>
      <c r="AY4" s="469">
        <v>4</v>
      </c>
      <c r="AZ4" s="459"/>
      <c r="BA4" s="460">
        <f>S23</f>
        <v>0.28353918650793652</v>
      </c>
      <c r="BB4" s="458">
        <f>BA4/100*70</f>
        <v>0.19847743055555558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v>1450</v>
      </c>
      <c r="BP4" s="461">
        <v>0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t="s">
        <v>67</v>
      </c>
      <c r="CA4" t="s">
        <v>223</v>
      </c>
    </row>
    <row r="5" spans="1:79" ht="31.5" x14ac:dyDescent="0.25">
      <c r="A5" s="50">
        <v>50</v>
      </c>
      <c r="B5" s="687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676">
        <v>0</v>
      </c>
      <c r="O5" s="688" t="s">
        <v>67</v>
      </c>
      <c r="P5" s="679">
        <v>17620</v>
      </c>
      <c r="Q5" s="677">
        <f>SUM(T5,X5,AB5,AS5,AX5,BA5)</f>
        <v>8.8973958333333343</v>
      </c>
      <c r="R5" s="438">
        <f>SUM(U5,Y5,AC5,AI5,AT5,BB5)</f>
        <v>7.0783726851851849</v>
      </c>
      <c r="S5" s="438">
        <f>SUM(V5,Z5,AD5,AJ5,AU5)</f>
        <v>1.66826171875</v>
      </c>
      <c r="T5" s="453">
        <f>X17</f>
        <v>3.9543981481481483</v>
      </c>
      <c r="U5" s="453">
        <f>T5/100*70</f>
        <v>2.7680787037037038</v>
      </c>
      <c r="V5" s="453">
        <f>U5/100*25</f>
        <v>0.69201967592592595</v>
      </c>
      <c r="W5" s="345">
        <v>0</v>
      </c>
      <c r="X5" s="454">
        <f>X18</f>
        <v>2.9657986111111114</v>
      </c>
      <c r="Y5" s="454">
        <f>X5/100*70</f>
        <v>2.0760590277777782</v>
      </c>
      <c r="Z5" s="454">
        <f>Y5/100*25</f>
        <v>0.51901475694444454</v>
      </c>
      <c r="AA5" s="346">
        <v>0</v>
      </c>
      <c r="AB5" s="455">
        <f>X19</f>
        <v>0.49429976851851853</v>
      </c>
      <c r="AC5" s="668">
        <f>AB5/100*70</f>
        <v>0.34600983796296297</v>
      </c>
      <c r="AD5" s="455">
        <f>AC5/100*25</f>
        <v>8.6502459490740743E-2</v>
      </c>
      <c r="AE5" s="680">
        <v>0</v>
      </c>
      <c r="AF5" s="680">
        <v>0</v>
      </c>
      <c r="AG5" s="680">
        <v>0</v>
      </c>
      <c r="AH5" s="680">
        <v>0</v>
      </c>
      <c r="AI5" s="456">
        <f>X20</f>
        <v>0.98859953703703707</v>
      </c>
      <c r="AJ5" s="456">
        <f>AI5/100*20</f>
        <v>0.19771990740740741</v>
      </c>
      <c r="AK5" s="342">
        <v>0</v>
      </c>
      <c r="AL5" s="670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0.98859953703703707</v>
      </c>
      <c r="AT5" s="457">
        <f>AS5/100*70</f>
        <v>0.69201967592592595</v>
      </c>
      <c r="AU5" s="457">
        <f>AT5/100*25</f>
        <v>0.17300491898148149</v>
      </c>
      <c r="AV5" s="349">
        <v>0</v>
      </c>
      <c r="AW5" s="349">
        <v>0</v>
      </c>
      <c r="AX5" s="458">
        <f>X22</f>
        <v>0.19771990740740741</v>
      </c>
      <c r="AY5" s="350">
        <v>1</v>
      </c>
      <c r="AZ5" s="361"/>
      <c r="BA5" s="458">
        <f>X23</f>
        <v>0.29657986111111112</v>
      </c>
      <c r="BB5" s="458">
        <f>BA5/100*70</f>
        <v>0.2076059027777778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362">
        <v>820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t="s">
        <v>67</v>
      </c>
      <c r="CA5" t="s">
        <v>224</v>
      </c>
    </row>
    <row r="6" spans="1:79" x14ac:dyDescent="0.25">
      <c r="A6" s="526"/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674"/>
      <c r="P6" s="674"/>
      <c r="Q6" s="685"/>
      <c r="R6" s="526"/>
      <c r="S6" s="526"/>
      <c r="T6" s="526"/>
      <c r="U6" s="526"/>
      <c r="V6" s="526"/>
      <c r="W6" s="526"/>
      <c r="X6" s="526"/>
      <c r="Y6" s="526"/>
      <c r="Z6" s="526"/>
      <c r="AA6" s="526"/>
      <c r="AB6" s="526"/>
      <c r="AC6" s="526"/>
      <c r="AD6" s="673"/>
      <c r="AE6" s="686"/>
      <c r="AF6" s="686"/>
      <c r="AG6" s="686"/>
      <c r="AH6" s="686"/>
      <c r="AI6" s="673"/>
      <c r="AJ6" s="673"/>
      <c r="AK6" s="673"/>
      <c r="AL6" s="526"/>
      <c r="AM6" s="526"/>
      <c r="AN6" s="526"/>
      <c r="AO6" s="526"/>
      <c r="AP6" s="526"/>
      <c r="AQ6" s="526"/>
      <c r="AR6" s="526"/>
      <c r="AS6" s="526"/>
      <c r="AT6" s="526"/>
      <c r="AU6" s="526"/>
      <c r="AV6" s="526"/>
      <c r="AW6" s="526"/>
      <c r="AX6" s="526"/>
      <c r="AY6" s="526"/>
      <c r="AZ6" s="526"/>
      <c r="BA6" s="526"/>
      <c r="BB6" s="526"/>
      <c r="BC6" s="526"/>
      <c r="BD6" s="526"/>
      <c r="BE6" s="526"/>
      <c r="BF6" s="526"/>
      <c r="BG6" s="526"/>
      <c r="BH6" s="526"/>
      <c r="BI6" s="526"/>
      <c r="BJ6" s="526"/>
      <c r="BK6" s="526"/>
      <c r="BL6" s="526"/>
      <c r="BM6" s="526"/>
      <c r="BN6" s="526"/>
      <c r="BO6" s="526"/>
      <c r="BP6" s="526"/>
      <c r="BQ6" s="526"/>
      <c r="BR6" s="526"/>
      <c r="BS6" s="526"/>
      <c r="BT6" s="526"/>
      <c r="BU6" s="526"/>
      <c r="BV6" s="526"/>
      <c r="BW6" s="526"/>
      <c r="BX6" s="526"/>
      <c r="BY6" s="526"/>
    </row>
    <row r="7" spans="1:79" ht="31.5" x14ac:dyDescent="0.25">
      <c r="A7" s="50">
        <v>60</v>
      </c>
      <c r="B7" s="687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676">
        <v>0</v>
      </c>
      <c r="O7" s="688" t="s">
        <v>65</v>
      </c>
      <c r="P7" s="688">
        <v>0</v>
      </c>
      <c r="Q7" s="678">
        <f>SUM(T7,X7,AB7,AS7,AX7,BA7)</f>
        <v>263.69144345238095</v>
      </c>
      <c r="R7" s="394">
        <f>SUM(U7,Y7,AC7,AI7,AT7,BB7)</f>
        <v>209.78119279100528</v>
      </c>
      <c r="S7" s="394">
        <f>SUM(V7,Z7,AD7,AJ7,AU7)</f>
        <v>49.442145647321432</v>
      </c>
      <c r="T7" s="527">
        <f>31*T4</f>
        <v>117.19619708994709</v>
      </c>
      <c r="U7" s="527">
        <f t="shared" ref="U7:W8" si="0">31*U4</f>
        <v>82.037337962962965</v>
      </c>
      <c r="V7" s="527">
        <f t="shared" si="0"/>
        <v>20.509334490740741</v>
      </c>
      <c r="W7" s="527">
        <f t="shared" si="0"/>
        <v>0</v>
      </c>
      <c r="X7" s="528">
        <f>31*X4</f>
        <v>87.897147817460322</v>
      </c>
      <c r="Y7" s="528">
        <f t="shared" ref="Y7:AA8" si="1">31*Y4</f>
        <v>61.528003472222224</v>
      </c>
      <c r="Z7" s="528">
        <f t="shared" si="1"/>
        <v>15.382000868055554</v>
      </c>
      <c r="AA7" s="528">
        <f t="shared" si="1"/>
        <v>0</v>
      </c>
      <c r="AB7" s="680">
        <f>31*AB4</f>
        <v>14.649524636243386</v>
      </c>
      <c r="AC7" s="680">
        <f t="shared" ref="AC7:AD8" si="2">31*AC4</f>
        <v>10.254667245370371</v>
      </c>
      <c r="AD7" s="680">
        <f t="shared" si="2"/>
        <v>2.5636668113425927</v>
      </c>
      <c r="AE7" s="680">
        <v>0</v>
      </c>
      <c r="AF7" s="680">
        <v>0</v>
      </c>
      <c r="AG7" s="680">
        <v>0</v>
      </c>
      <c r="AH7" s="680">
        <v>0</v>
      </c>
      <c r="AI7" s="681">
        <f>AI4*31</f>
        <v>29.299049272486773</v>
      </c>
      <c r="AJ7" s="681">
        <f>AJ4*31</f>
        <v>5.8598098544973549</v>
      </c>
      <c r="AK7" s="395">
        <v>0</v>
      </c>
      <c r="AL7" s="669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AS4*31</f>
        <v>29.299049272486773</v>
      </c>
      <c r="AT7" s="682">
        <f t="shared" ref="AT7:AW8" si="3">AT4*31</f>
        <v>20.509334490740741</v>
      </c>
      <c r="AU7" s="682">
        <f t="shared" si="3"/>
        <v>5.1273336226851853</v>
      </c>
      <c r="AV7" s="682">
        <f t="shared" si="3"/>
        <v>0</v>
      </c>
      <c r="AW7" s="682">
        <f t="shared" si="3"/>
        <v>0</v>
      </c>
      <c r="AX7" s="469">
        <f>AX4*31</f>
        <v>5.8598098544973549</v>
      </c>
      <c r="AY7" s="469">
        <v>4</v>
      </c>
      <c r="AZ7" s="683"/>
      <c r="BA7" s="684">
        <f>BA4*31</f>
        <v>8.7897147817460315</v>
      </c>
      <c r="BB7" s="684">
        <f>BB4*31</f>
        <v>6.1528003472222235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t="s">
        <v>67</v>
      </c>
      <c r="CA7" t="s">
        <v>223</v>
      </c>
    </row>
    <row r="8" spans="1:79" ht="31.5" x14ac:dyDescent="0.25">
      <c r="A8" s="50">
        <v>50</v>
      </c>
      <c r="B8" s="687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676">
        <v>0</v>
      </c>
      <c r="O8" s="688" t="s">
        <v>67</v>
      </c>
      <c r="P8" s="679">
        <v>17620</v>
      </c>
      <c r="Q8" s="678">
        <f>SUM(T8,X8,AB8,AS8,AX8,BA8)</f>
        <v>275.81927083333335</v>
      </c>
      <c r="R8" s="394">
        <f>SUM(U8,Y8,AC8,AI8,AT8,BB8)</f>
        <v>219.42955324074077</v>
      </c>
      <c r="S8" s="394">
        <f>SUM(V8,Z8,AD8,AJ8,AU8)</f>
        <v>51.716113281250003</v>
      </c>
      <c r="T8" s="527">
        <f>31*T5</f>
        <v>122.5863425925926</v>
      </c>
      <c r="U8" s="527">
        <f t="shared" si="0"/>
        <v>85.810439814814814</v>
      </c>
      <c r="V8" s="527">
        <f t="shared" si="0"/>
        <v>21.452609953703703</v>
      </c>
      <c r="W8" s="527">
        <f t="shared" si="0"/>
        <v>0</v>
      </c>
      <c r="X8" s="528">
        <f>31*X5</f>
        <v>91.939756944444454</v>
      </c>
      <c r="Y8" s="528">
        <f t="shared" si="1"/>
        <v>64.357829861111128</v>
      </c>
      <c r="Z8" s="528">
        <f t="shared" si="1"/>
        <v>16.089457465277782</v>
      </c>
      <c r="AA8" s="528">
        <f t="shared" si="1"/>
        <v>0</v>
      </c>
      <c r="AB8" s="680">
        <f>31*AB5</f>
        <v>15.323292824074075</v>
      </c>
      <c r="AC8" s="680">
        <f t="shared" si="2"/>
        <v>10.726304976851852</v>
      </c>
      <c r="AD8" s="680">
        <f t="shared" si="2"/>
        <v>2.6815762442129629</v>
      </c>
      <c r="AE8" s="680">
        <v>0</v>
      </c>
      <c r="AF8" s="680">
        <v>0</v>
      </c>
      <c r="AG8" s="680">
        <v>0</v>
      </c>
      <c r="AH8" s="680">
        <v>0</v>
      </c>
      <c r="AI8" s="681">
        <f>AI5*31</f>
        <v>30.64658564814815</v>
      </c>
      <c r="AJ8" s="681">
        <f>AJ5*31</f>
        <v>6.12931712962963</v>
      </c>
      <c r="AK8" s="395">
        <v>0</v>
      </c>
      <c r="AL8" s="669">
        <v>0</v>
      </c>
      <c r="AM8" s="395">
        <v>1</v>
      </c>
      <c r="AN8" s="395">
        <v>1.6</v>
      </c>
      <c r="AO8" s="395">
        <v>0</v>
      </c>
      <c r="AP8" s="395">
        <v>0</v>
      </c>
      <c r="AQ8" s="395">
        <v>0</v>
      </c>
      <c r="AR8" s="395">
        <v>0</v>
      </c>
      <c r="AS8" s="682">
        <f>AS5*31</f>
        <v>30.64658564814815</v>
      </c>
      <c r="AT8" s="682">
        <f t="shared" si="3"/>
        <v>21.452609953703703</v>
      </c>
      <c r="AU8" s="682">
        <f t="shared" si="3"/>
        <v>5.3631524884259258</v>
      </c>
      <c r="AV8" s="682">
        <f t="shared" si="3"/>
        <v>0</v>
      </c>
      <c r="AW8" s="682">
        <f t="shared" si="3"/>
        <v>0</v>
      </c>
      <c r="AX8" s="469">
        <f>AX5*31</f>
        <v>6.12931712962963</v>
      </c>
      <c r="AY8" s="469">
        <v>1</v>
      </c>
      <c r="AZ8" s="683"/>
      <c r="BA8" s="684">
        <f>BA5*31</f>
        <v>9.1939756944444451</v>
      </c>
      <c r="BB8" s="684">
        <f>BB5*31</f>
        <v>6.4357829861111115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t="s">
        <v>67</v>
      </c>
      <c r="CA8" t="s">
        <v>224</v>
      </c>
    </row>
    <row r="9" spans="1:79" x14ac:dyDescent="0.25">
      <c r="R9" s="393">
        <f>R8+R7</f>
        <v>429.21074603174605</v>
      </c>
      <c r="S9" s="393">
        <f>S8+S7</f>
        <v>101.15825892857143</v>
      </c>
      <c r="AE9" s="393"/>
      <c r="AF9" s="393"/>
      <c r="AG9" s="393"/>
      <c r="AH9" s="393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</row>
    <row r="14" spans="1:79" x14ac:dyDescent="0.25">
      <c r="Q14" s="1127" t="s">
        <v>192</v>
      </c>
      <c r="R14" s="1128"/>
      <c r="S14" s="591">
        <v>31179</v>
      </c>
      <c r="T14" s="591"/>
      <c r="V14" s="1127" t="s">
        <v>192</v>
      </c>
      <c r="W14" s="1128"/>
      <c r="X14" s="591">
        <v>32613</v>
      </c>
      <c r="Y14" s="591"/>
      <c r="AA14" s="1134" t="s">
        <v>199</v>
      </c>
      <c r="AB14" s="1135"/>
      <c r="AD14" s="1134" t="s">
        <v>199</v>
      </c>
      <c r="AE14" s="1135"/>
    </row>
    <row r="15" spans="1:79" x14ac:dyDescent="0.25">
      <c r="Q15" s="1127" t="s">
        <v>193</v>
      </c>
      <c r="R15" s="1128"/>
      <c r="S15" s="591">
        <v>275</v>
      </c>
      <c r="T15" s="591" t="s">
        <v>194</v>
      </c>
      <c r="V15" s="1127" t="s">
        <v>193</v>
      </c>
      <c r="W15" s="1128"/>
      <c r="X15" s="591">
        <v>275</v>
      </c>
      <c r="Y15" s="591" t="s">
        <v>194</v>
      </c>
      <c r="AA15" s="249"/>
      <c r="AB15" s="634">
        <f>108*S14/1000000</f>
        <v>3.3673320000000002</v>
      </c>
      <c r="AD15" s="249"/>
      <c r="AE15" s="634">
        <f>108*X14/1000000</f>
        <v>3.5222039999999999</v>
      </c>
    </row>
    <row r="16" spans="1:79" x14ac:dyDescent="0.25">
      <c r="Q16" s="1127" t="s">
        <v>195</v>
      </c>
      <c r="R16" s="1128"/>
      <c r="S16" s="596">
        <f>S14*S15/907200</f>
        <v>9.4513062169312168</v>
      </c>
      <c r="T16" s="591"/>
      <c r="V16" s="1127" t="s">
        <v>195</v>
      </c>
      <c r="W16" s="1128"/>
      <c r="X16" s="596">
        <f>X14*X15/907200</f>
        <v>9.8859953703703702</v>
      </c>
      <c r="Y16" s="591"/>
      <c r="AA16" s="249"/>
      <c r="AB16" s="634">
        <f>AB15*31</f>
        <v>104.387292</v>
      </c>
      <c r="AD16" s="249"/>
      <c r="AE16" s="634">
        <f>AE15*31</f>
        <v>109.18832399999999</v>
      </c>
    </row>
    <row r="17" spans="17:36" x14ac:dyDescent="0.25">
      <c r="Q17" s="1132" t="s">
        <v>9</v>
      </c>
      <c r="R17" s="1133"/>
      <c r="S17" s="592">
        <f>S16/100*40</f>
        <v>3.7805224867724867</v>
      </c>
      <c r="T17" s="591">
        <v>40</v>
      </c>
      <c r="V17" s="1132" t="s">
        <v>9</v>
      </c>
      <c r="W17" s="1133"/>
      <c r="X17" s="592">
        <f>X16/100*40</f>
        <v>3.9543981481481483</v>
      </c>
      <c r="Y17" s="591">
        <v>40</v>
      </c>
      <c r="AA17" s="249"/>
      <c r="AB17" s="249"/>
      <c r="AD17" s="249"/>
      <c r="AE17" s="249"/>
      <c r="AJ17">
        <v>215</v>
      </c>
    </row>
    <row r="18" spans="17:36" x14ac:dyDescent="0.25">
      <c r="Q18" s="1132" t="s">
        <v>10</v>
      </c>
      <c r="R18" s="1133"/>
      <c r="S18" s="592">
        <f>S16/100*30</f>
        <v>2.835391865079365</v>
      </c>
      <c r="T18" s="591">
        <v>30</v>
      </c>
      <c r="V18" s="1132" t="s">
        <v>10</v>
      </c>
      <c r="W18" s="1133"/>
      <c r="X18" s="592">
        <f>X16/100*30</f>
        <v>2.9657986111111114</v>
      </c>
      <c r="Y18" s="591">
        <v>30</v>
      </c>
      <c r="AA18" s="1137" t="s">
        <v>225</v>
      </c>
      <c r="AB18" s="1138"/>
      <c r="AD18" s="1137" t="s">
        <v>225</v>
      </c>
      <c r="AE18" s="1138"/>
      <c r="AG18">
        <v>21</v>
      </c>
      <c r="AJ18">
        <v>163</v>
      </c>
    </row>
    <row r="19" spans="17:36" x14ac:dyDescent="0.25">
      <c r="Q19" s="1132" t="s">
        <v>11</v>
      </c>
      <c r="R19" s="1133"/>
      <c r="S19" s="592">
        <f>S16/100*5</f>
        <v>0.47256531084656084</v>
      </c>
      <c r="T19" s="591">
        <v>5</v>
      </c>
      <c r="V19" s="1132" t="s">
        <v>11</v>
      </c>
      <c r="W19" s="1133"/>
      <c r="X19" s="592">
        <f>X16/100*5</f>
        <v>0.49429976851851853</v>
      </c>
      <c r="Y19" s="591">
        <v>5</v>
      </c>
      <c r="AA19" s="249"/>
      <c r="AB19" s="634">
        <f>120*S14/250</f>
        <v>14965.92</v>
      </c>
      <c r="AD19" s="249"/>
      <c r="AE19" s="634">
        <f>120*X14/250</f>
        <v>15654.24</v>
      </c>
      <c r="AG19">
        <v>16</v>
      </c>
      <c r="AJ19">
        <f>AJ17-AJ18</f>
        <v>52</v>
      </c>
    </row>
    <row r="20" spans="17:36" x14ac:dyDescent="0.25">
      <c r="Q20" s="1132" t="s">
        <v>12</v>
      </c>
      <c r="R20" s="1133"/>
      <c r="S20" s="592">
        <f>S16/100*10</f>
        <v>0.94513062169312168</v>
      </c>
      <c r="T20" s="591">
        <v>10</v>
      </c>
      <c r="V20" s="1132" t="s">
        <v>12</v>
      </c>
      <c r="W20" s="1133"/>
      <c r="X20" s="592">
        <f>X16/100*10</f>
        <v>0.98859953703703707</v>
      </c>
      <c r="Y20" s="591">
        <v>10</v>
      </c>
      <c r="AA20" s="249"/>
      <c r="AB20" s="634">
        <f>AB19/1000</f>
        <v>14.965920000000001</v>
      </c>
      <c r="AD20" s="249"/>
      <c r="AE20" s="634">
        <f>AE19/1000</f>
        <v>15.65424</v>
      </c>
      <c r="AG20">
        <v>6</v>
      </c>
      <c r="AJ20">
        <v>20</v>
      </c>
    </row>
    <row r="21" spans="17:36" x14ac:dyDescent="0.25">
      <c r="Q21" s="1132" t="s">
        <v>99</v>
      </c>
      <c r="R21" s="1133"/>
      <c r="S21" s="592">
        <f>S16/100*10</f>
        <v>0.94513062169312168</v>
      </c>
      <c r="T21" s="591">
        <v>10</v>
      </c>
      <c r="V21" s="1132" t="s">
        <v>99</v>
      </c>
      <c r="W21" s="1133"/>
      <c r="X21" s="592">
        <f>X16/100*10</f>
        <v>0.98859953703703707</v>
      </c>
      <c r="Y21" s="591">
        <v>10</v>
      </c>
      <c r="AA21" s="249"/>
      <c r="AB21" s="634">
        <f>AB20*31</f>
        <v>463.94352000000003</v>
      </c>
      <c r="AD21" s="249"/>
      <c r="AE21" s="634">
        <f>AE20*31</f>
        <v>485.28143999999998</v>
      </c>
      <c r="AG21">
        <v>8</v>
      </c>
      <c r="AJ21">
        <f>AJ19-AJ20</f>
        <v>32</v>
      </c>
    </row>
    <row r="22" spans="17:36" x14ac:dyDescent="0.25">
      <c r="Q22" s="1132" t="s">
        <v>100</v>
      </c>
      <c r="R22" s="1133"/>
      <c r="S22" s="592">
        <f>S16/100*2</f>
        <v>0.18902612433862434</v>
      </c>
      <c r="T22" s="591">
        <v>2</v>
      </c>
      <c r="V22" s="1132" t="s">
        <v>100</v>
      </c>
      <c r="W22" s="1133"/>
      <c r="X22" s="592">
        <f>X16/100*2</f>
        <v>0.19771990740740741</v>
      </c>
      <c r="Y22" s="591">
        <v>2</v>
      </c>
      <c r="AA22" s="249"/>
      <c r="AB22" s="634">
        <f>AB21/100*2</f>
        <v>9.2788704000000006</v>
      </c>
      <c r="AD22" s="249"/>
      <c r="AE22" s="634">
        <f>AE21/100*2</f>
        <v>9.7056287999999995</v>
      </c>
      <c r="AG22">
        <f>SUM(AG18:AG21)</f>
        <v>51</v>
      </c>
    </row>
    <row r="23" spans="17:36" x14ac:dyDescent="0.25">
      <c r="Q23" s="1132" t="s">
        <v>101</v>
      </c>
      <c r="R23" s="1133"/>
      <c r="S23" s="592">
        <f>S16/100*3</f>
        <v>0.28353918650793652</v>
      </c>
      <c r="T23" s="591">
        <v>3</v>
      </c>
      <c r="V23" s="1132" t="s">
        <v>101</v>
      </c>
      <c r="W23" s="1133"/>
      <c r="X23" s="592">
        <f>X16/100*3</f>
        <v>0.29657986111111112</v>
      </c>
      <c r="Y23" s="591">
        <v>3</v>
      </c>
      <c r="AG23">
        <v>51</v>
      </c>
    </row>
    <row r="24" spans="17:36" x14ac:dyDescent="0.25">
      <c r="Q24" s="1140" t="s">
        <v>89</v>
      </c>
      <c r="R24" s="1141"/>
      <c r="S24" s="596">
        <f>SUM(S17:S23)</f>
        <v>9.4513062169312185</v>
      </c>
      <c r="T24" s="591">
        <f>SUM(T17:T23)</f>
        <v>100</v>
      </c>
      <c r="V24" s="1140" t="s">
        <v>89</v>
      </c>
      <c r="W24" s="1141"/>
      <c r="X24" s="596">
        <f>SUM(X17:X23)</f>
        <v>9.885995370370372</v>
      </c>
      <c r="Y24" s="591">
        <f>SUM(Y17:Y23)</f>
        <v>100</v>
      </c>
      <c r="AG24">
        <f>AG22-AG23</f>
        <v>0</v>
      </c>
    </row>
  </sheetData>
  <mergeCells count="54">
    <mergeCell ref="AB1:AD1"/>
    <mergeCell ref="A1:A2"/>
    <mergeCell ref="B1:B3"/>
    <mergeCell ref="C1:E2"/>
    <mergeCell ref="F1:H2"/>
    <mergeCell ref="I1:K2"/>
    <mergeCell ref="L1:L2"/>
    <mergeCell ref="M1:M2"/>
    <mergeCell ref="P1:P2"/>
    <mergeCell ref="Q1:S1"/>
    <mergeCell ref="T1:W1"/>
    <mergeCell ref="X1:AA1"/>
    <mergeCell ref="BZ1:CA1"/>
    <mergeCell ref="AE1:AH1"/>
    <mergeCell ref="AI1:AJ1"/>
    <mergeCell ref="AK1:AR1"/>
    <mergeCell ref="AS1:AW1"/>
    <mergeCell ref="AX1:AZ1"/>
    <mergeCell ref="BA1:BI1"/>
    <mergeCell ref="BJ1:BQ1"/>
    <mergeCell ref="BR1:BS1"/>
    <mergeCell ref="BT1:BU1"/>
    <mergeCell ref="BV1:BW1"/>
    <mergeCell ref="BX1:BY1"/>
    <mergeCell ref="Q13:T13"/>
    <mergeCell ref="V13:Y13"/>
    <mergeCell ref="AA13:AB13"/>
    <mergeCell ref="AD13:AE13"/>
    <mergeCell ref="Q14:R14"/>
    <mergeCell ref="V14:W14"/>
    <mergeCell ref="AA14:AB14"/>
    <mergeCell ref="AD14:AE14"/>
    <mergeCell ref="Q15:R15"/>
    <mergeCell ref="V15:W15"/>
    <mergeCell ref="Q16:R16"/>
    <mergeCell ref="V16:W16"/>
    <mergeCell ref="Q17:R17"/>
    <mergeCell ref="V17:W17"/>
    <mergeCell ref="Q18:R18"/>
    <mergeCell ref="V18:W18"/>
    <mergeCell ref="AA18:AB18"/>
    <mergeCell ref="AD18:AE18"/>
    <mergeCell ref="Q19:R19"/>
    <mergeCell ref="V19:W19"/>
    <mergeCell ref="Q23:R23"/>
    <mergeCell ref="V23:W23"/>
    <mergeCell ref="Q24:R24"/>
    <mergeCell ref="V24:W24"/>
    <mergeCell ref="Q20:R20"/>
    <mergeCell ref="V20:W20"/>
    <mergeCell ref="Q21:R21"/>
    <mergeCell ref="V21:W21"/>
    <mergeCell ref="Q22:R22"/>
    <mergeCell ref="V22:W22"/>
  </mergeCells>
  <pageMargins left="0.7" right="0.7" top="0.75" bottom="0.75" header="0.3" footer="0.3"/>
  <pageSetup paperSize="9"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5"/>
  <sheetViews>
    <sheetView topLeftCell="J3" workbookViewId="0">
      <selection activeCell="R9" sqref="R9:S9"/>
    </sheetView>
  </sheetViews>
  <sheetFormatPr defaultRowHeight="15" x14ac:dyDescent="0.25"/>
  <cols>
    <col min="64" max="64" width="12" customWidth="1"/>
  </cols>
  <sheetData>
    <row r="1" spans="1:79" ht="30.75" customHeight="1" thickBot="1" x14ac:dyDescent="0.3">
      <c r="A1" s="1396" t="s">
        <v>0</v>
      </c>
      <c r="B1" s="1398" t="s">
        <v>1</v>
      </c>
      <c r="C1" s="1401" t="s">
        <v>2</v>
      </c>
      <c r="D1" s="1402"/>
      <c r="E1" s="1403"/>
      <c r="F1" s="1401" t="s">
        <v>3</v>
      </c>
      <c r="G1" s="1402"/>
      <c r="H1" s="1403"/>
      <c r="I1" s="1401" t="s">
        <v>4</v>
      </c>
      <c r="J1" s="1402"/>
      <c r="K1" s="1403"/>
      <c r="L1" s="1407" t="s">
        <v>5</v>
      </c>
      <c r="M1" s="1407" t="s">
        <v>6</v>
      </c>
      <c r="N1" s="635"/>
      <c r="O1" s="635"/>
      <c r="P1" s="1407" t="s">
        <v>7</v>
      </c>
      <c r="Q1" s="1409" t="s">
        <v>8</v>
      </c>
      <c r="R1" s="1410"/>
      <c r="S1" s="1411"/>
      <c r="T1" s="1412" t="s">
        <v>9</v>
      </c>
      <c r="U1" s="1413"/>
      <c r="V1" s="1413"/>
      <c r="W1" s="1414"/>
      <c r="X1" s="1415" t="s">
        <v>10</v>
      </c>
      <c r="Y1" s="1416"/>
      <c r="Z1" s="1416"/>
      <c r="AA1" s="1417"/>
      <c r="AB1" s="1393" t="s">
        <v>11</v>
      </c>
      <c r="AC1" s="1394"/>
      <c r="AD1" s="1395"/>
      <c r="AE1" s="1381" t="s">
        <v>208</v>
      </c>
      <c r="AF1" s="1382"/>
      <c r="AG1" s="1382"/>
      <c r="AH1" s="1383"/>
      <c r="AI1" s="1384" t="s">
        <v>12</v>
      </c>
      <c r="AJ1" s="1385"/>
      <c r="AK1" s="1363" t="s">
        <v>179</v>
      </c>
      <c r="AL1" s="1364"/>
      <c r="AM1" s="1364"/>
      <c r="AN1" s="1364"/>
      <c r="AO1" s="1364"/>
      <c r="AP1" s="1364"/>
      <c r="AQ1" s="1364"/>
      <c r="AR1" s="1365"/>
      <c r="AS1" s="1228" t="s">
        <v>99</v>
      </c>
      <c r="AT1" s="1229"/>
      <c r="AU1" s="1229"/>
      <c r="AV1" s="1229"/>
      <c r="AW1" s="1230"/>
      <c r="AX1" s="1231" t="s">
        <v>100</v>
      </c>
      <c r="AY1" s="1232"/>
      <c r="AZ1" s="1233"/>
      <c r="BA1" s="1231" t="s">
        <v>101</v>
      </c>
      <c r="BB1" s="1232"/>
      <c r="BC1" s="1232"/>
      <c r="BD1" s="1232"/>
      <c r="BE1" s="1232"/>
      <c r="BF1" s="1232"/>
      <c r="BG1" s="1232"/>
      <c r="BH1" s="1232"/>
      <c r="BI1" s="1233"/>
      <c r="BJ1" s="1386" t="s">
        <v>14</v>
      </c>
      <c r="BK1" s="1387"/>
      <c r="BL1" s="1387"/>
      <c r="BM1" s="1387"/>
      <c r="BN1" s="1387"/>
      <c r="BO1" s="1387"/>
      <c r="BP1" s="1387"/>
      <c r="BQ1" s="1388"/>
      <c r="BR1" s="1389" t="s">
        <v>15</v>
      </c>
      <c r="BS1" s="1390"/>
      <c r="BT1" s="1228" t="s">
        <v>16</v>
      </c>
      <c r="BU1" s="1230"/>
      <c r="BV1" s="1389" t="s">
        <v>130</v>
      </c>
      <c r="BW1" s="1390"/>
      <c r="BX1" s="1391" t="s">
        <v>171</v>
      </c>
      <c r="BY1" s="1392"/>
      <c r="BZ1" s="1379" t="s">
        <v>209</v>
      </c>
      <c r="CA1" s="1380"/>
    </row>
    <row r="2" spans="1:79" ht="225.75" thickBot="1" x14ac:dyDescent="0.3">
      <c r="A2" s="1397"/>
      <c r="B2" s="1399"/>
      <c r="C2" s="1404"/>
      <c r="D2" s="1405"/>
      <c r="E2" s="1406"/>
      <c r="F2" s="1404"/>
      <c r="G2" s="1405"/>
      <c r="H2" s="1406"/>
      <c r="I2" s="1404"/>
      <c r="J2" s="1405"/>
      <c r="K2" s="1406"/>
      <c r="L2" s="1408"/>
      <c r="M2" s="1408"/>
      <c r="N2" s="636" t="s">
        <v>210</v>
      </c>
      <c r="O2" s="636" t="s">
        <v>211</v>
      </c>
      <c r="P2" s="1408"/>
      <c r="Q2" s="637" t="s">
        <v>17</v>
      </c>
      <c r="R2" s="637" t="s">
        <v>18</v>
      </c>
      <c r="S2" s="637" t="s">
        <v>19</v>
      </c>
      <c r="T2" s="638" t="s">
        <v>20</v>
      </c>
      <c r="U2" s="638" t="s">
        <v>21</v>
      </c>
      <c r="V2" s="638" t="s">
        <v>22</v>
      </c>
      <c r="W2" s="638" t="s">
        <v>23</v>
      </c>
      <c r="X2" s="639" t="s">
        <v>24</v>
      </c>
      <c r="Y2" s="639" t="s">
        <v>25</v>
      </c>
      <c r="Z2" s="639" t="s">
        <v>26</v>
      </c>
      <c r="AA2" s="639" t="s">
        <v>27</v>
      </c>
      <c r="AB2" s="640" t="s">
        <v>28</v>
      </c>
      <c r="AC2" s="640" t="s">
        <v>29</v>
      </c>
      <c r="AD2" s="640" t="s">
        <v>30</v>
      </c>
      <c r="AE2" s="641" t="s">
        <v>212</v>
      </c>
      <c r="AF2" s="641" t="s">
        <v>213</v>
      </c>
      <c r="AG2" s="641" t="s">
        <v>214</v>
      </c>
      <c r="AH2" s="641" t="s">
        <v>215</v>
      </c>
      <c r="AI2" s="642" t="s">
        <v>31</v>
      </c>
      <c r="AJ2" s="642" t="s">
        <v>32</v>
      </c>
      <c r="AK2" s="552" t="s">
        <v>180</v>
      </c>
      <c r="AL2" s="552" t="s">
        <v>36</v>
      </c>
      <c r="AM2" s="552" t="s">
        <v>181</v>
      </c>
      <c r="AN2" s="552" t="s">
        <v>36</v>
      </c>
      <c r="AO2" s="552" t="s">
        <v>182</v>
      </c>
      <c r="AP2" s="643" t="s">
        <v>36</v>
      </c>
      <c r="AQ2" s="552" t="s">
        <v>183</v>
      </c>
      <c r="AR2" s="643" t="s">
        <v>36</v>
      </c>
      <c r="AS2" s="644" t="s">
        <v>102</v>
      </c>
      <c r="AT2" s="644" t="s">
        <v>103</v>
      </c>
      <c r="AU2" s="644" t="s">
        <v>104</v>
      </c>
      <c r="AV2" s="644" t="s">
        <v>105</v>
      </c>
      <c r="AW2" s="644" t="s">
        <v>106</v>
      </c>
      <c r="AX2" s="645" t="s">
        <v>107</v>
      </c>
      <c r="AY2" s="645" t="s">
        <v>108</v>
      </c>
      <c r="AZ2" s="645" t="s">
        <v>109</v>
      </c>
      <c r="BA2" s="645" t="s">
        <v>110</v>
      </c>
      <c r="BB2" s="645" t="s">
        <v>111</v>
      </c>
      <c r="BC2" s="645" t="s">
        <v>112</v>
      </c>
      <c r="BD2" s="645" t="s">
        <v>113</v>
      </c>
      <c r="BE2" s="645" t="s">
        <v>114</v>
      </c>
      <c r="BF2" s="645" t="s">
        <v>115</v>
      </c>
      <c r="BG2" s="646" t="s">
        <v>116</v>
      </c>
      <c r="BH2" s="647" t="s">
        <v>117</v>
      </c>
      <c r="BI2" s="645" t="s">
        <v>118</v>
      </c>
      <c r="BJ2" s="648" t="s">
        <v>14</v>
      </c>
      <c r="BK2" s="648" t="s">
        <v>167</v>
      </c>
      <c r="BL2" s="648" t="s">
        <v>39</v>
      </c>
      <c r="BM2" s="648" t="s">
        <v>40</v>
      </c>
      <c r="BN2" s="648" t="s">
        <v>41</v>
      </c>
      <c r="BO2" s="648" t="s">
        <v>43</v>
      </c>
      <c r="BP2" s="648" t="s">
        <v>44</v>
      </c>
      <c r="BQ2" s="648" t="s">
        <v>46</v>
      </c>
      <c r="BR2" s="649" t="s">
        <v>47</v>
      </c>
      <c r="BS2" s="649" t="s">
        <v>48</v>
      </c>
      <c r="BT2" s="644" t="s">
        <v>49</v>
      </c>
      <c r="BU2" s="644" t="s">
        <v>50</v>
      </c>
      <c r="BV2" s="649" t="s">
        <v>131</v>
      </c>
      <c r="BW2" s="649" t="s">
        <v>132</v>
      </c>
      <c r="BX2" s="565" t="s">
        <v>172</v>
      </c>
      <c r="BY2" s="565" t="s">
        <v>173</v>
      </c>
      <c r="BZ2" s="650" t="s">
        <v>216</v>
      </c>
      <c r="CA2" s="650" t="s">
        <v>217</v>
      </c>
    </row>
    <row r="3" spans="1:79" ht="90.75" thickBot="1" x14ac:dyDescent="0.3">
      <c r="A3" s="651"/>
      <c r="B3" s="1400"/>
      <c r="C3" s="652" t="s">
        <v>185</v>
      </c>
      <c r="D3" s="652" t="s">
        <v>186</v>
      </c>
      <c r="E3" s="652" t="s">
        <v>187</v>
      </c>
      <c r="F3" s="652" t="s">
        <v>185</v>
      </c>
      <c r="G3" s="652" t="s">
        <v>186</v>
      </c>
      <c r="H3" s="652" t="s">
        <v>187</v>
      </c>
      <c r="I3" s="652" t="s">
        <v>185</v>
      </c>
      <c r="J3" s="652" t="s">
        <v>186</v>
      </c>
      <c r="K3" s="652" t="s">
        <v>187</v>
      </c>
      <c r="L3" s="652" t="s">
        <v>58</v>
      </c>
      <c r="M3" s="652" t="s">
        <v>188</v>
      </c>
      <c r="N3" s="652" t="s">
        <v>218</v>
      </c>
      <c r="O3" s="671" t="s">
        <v>120</v>
      </c>
      <c r="P3" s="671" t="s">
        <v>189</v>
      </c>
      <c r="Q3" s="652" t="s">
        <v>190</v>
      </c>
      <c r="R3" s="652" t="s">
        <v>190</v>
      </c>
      <c r="S3" s="652" t="s">
        <v>190</v>
      </c>
      <c r="T3" s="652" t="s">
        <v>190</v>
      </c>
      <c r="U3" s="652" t="s">
        <v>190</v>
      </c>
      <c r="V3" s="652" t="s">
        <v>57</v>
      </c>
      <c r="W3" s="652" t="s">
        <v>57</v>
      </c>
      <c r="X3" s="652" t="s">
        <v>57</v>
      </c>
      <c r="Y3" s="652" t="s">
        <v>57</v>
      </c>
      <c r="Z3" s="652" t="s">
        <v>57</v>
      </c>
      <c r="AA3" s="652" t="s">
        <v>57</v>
      </c>
      <c r="AB3" s="652" t="s">
        <v>57</v>
      </c>
      <c r="AC3" s="652" t="s">
        <v>57</v>
      </c>
      <c r="AD3" s="671" t="s">
        <v>57</v>
      </c>
      <c r="AE3" s="671" t="s">
        <v>219</v>
      </c>
      <c r="AF3" s="671" t="s">
        <v>220</v>
      </c>
      <c r="AG3" s="671" t="s">
        <v>219</v>
      </c>
      <c r="AH3" s="672" t="s">
        <v>221</v>
      </c>
      <c r="AI3" s="671" t="s">
        <v>57</v>
      </c>
      <c r="AJ3" s="671" t="s">
        <v>57</v>
      </c>
      <c r="AK3" s="671" t="s">
        <v>58</v>
      </c>
      <c r="AL3" s="652" t="s">
        <v>57</v>
      </c>
      <c r="AM3" s="652" t="s">
        <v>54</v>
      </c>
      <c r="AN3" s="652" t="s">
        <v>57</v>
      </c>
      <c r="AO3" s="652" t="s">
        <v>54</v>
      </c>
      <c r="AP3" s="652" t="s">
        <v>57</v>
      </c>
      <c r="AQ3" s="652" t="s">
        <v>54</v>
      </c>
      <c r="AR3" s="652" t="s">
        <v>57</v>
      </c>
      <c r="AS3" s="652" t="s">
        <v>62</v>
      </c>
      <c r="AT3" s="652" t="s">
        <v>62</v>
      </c>
      <c r="AU3" s="652" t="s">
        <v>62</v>
      </c>
      <c r="AV3" s="652" t="s">
        <v>54</v>
      </c>
      <c r="AW3" s="652" t="s">
        <v>57</v>
      </c>
      <c r="AX3" s="652" t="s">
        <v>62</v>
      </c>
      <c r="AY3" s="652" t="s">
        <v>54</v>
      </c>
      <c r="AZ3" s="652" t="s">
        <v>119</v>
      </c>
      <c r="BA3" s="652" t="s">
        <v>62</v>
      </c>
      <c r="BB3" s="652" t="s">
        <v>62</v>
      </c>
      <c r="BC3" s="652" t="s">
        <v>120</v>
      </c>
      <c r="BD3" s="652" t="s">
        <v>54</v>
      </c>
      <c r="BE3" s="652" t="s">
        <v>120</v>
      </c>
      <c r="BF3" s="652" t="s">
        <v>54</v>
      </c>
      <c r="BG3" s="652" t="s">
        <v>120</v>
      </c>
      <c r="BH3" s="652" t="s">
        <v>120</v>
      </c>
      <c r="BI3" s="652" t="s">
        <v>120</v>
      </c>
      <c r="BJ3" s="652" t="s">
        <v>54</v>
      </c>
      <c r="BK3" s="653" t="s">
        <v>168</v>
      </c>
      <c r="BL3" s="652" t="s">
        <v>59</v>
      </c>
      <c r="BM3" s="652" t="s">
        <v>60</v>
      </c>
      <c r="BN3" s="652" t="s">
        <v>61</v>
      </c>
      <c r="BO3" s="652" t="s">
        <v>57</v>
      </c>
      <c r="BP3" s="652" t="s">
        <v>127</v>
      </c>
      <c r="BQ3" s="652" t="s">
        <v>127</v>
      </c>
      <c r="BR3" s="652" t="s">
        <v>120</v>
      </c>
      <c r="BS3" s="652" t="s">
        <v>120</v>
      </c>
      <c r="BT3" s="652" t="s">
        <v>120</v>
      </c>
      <c r="BU3" s="652" t="s">
        <v>120</v>
      </c>
      <c r="BV3" s="652" t="s">
        <v>54</v>
      </c>
      <c r="BW3" s="652" t="s">
        <v>54</v>
      </c>
      <c r="BX3" s="565" t="s">
        <v>120</v>
      </c>
      <c r="BY3" s="565" t="s">
        <v>174</v>
      </c>
      <c r="BZ3" s="650" t="s">
        <v>120</v>
      </c>
      <c r="CA3" s="650" t="s">
        <v>222</v>
      </c>
    </row>
    <row r="4" spans="1:79" ht="31.5" x14ac:dyDescent="0.25">
      <c r="A4" s="45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675">
        <v>0</v>
      </c>
      <c r="O4" s="694" t="s">
        <v>65</v>
      </c>
      <c r="P4" s="694">
        <v>0</v>
      </c>
      <c r="Q4" s="677">
        <f>SUM(T4,X4,AB4,AS4,AX4,BA4)</f>
        <v>8.6608333333333363</v>
      </c>
      <c r="R4" s="438">
        <f>SUM(U4,Y4,AC4,AI4,AT4,BB4)</f>
        <v>6.890174074074074</v>
      </c>
      <c r="S4" s="438">
        <f>SUM(V4,Z4,AD4,AJ4,AJ4,AU4)</f>
        <v>1.8163692129629632</v>
      </c>
      <c r="T4" s="453">
        <f>S17</f>
        <v>3.8492592592592594</v>
      </c>
      <c r="U4" s="453">
        <f>T4/100*70</f>
        <v>2.6944814814814815</v>
      </c>
      <c r="V4" s="453">
        <f>U4/100*25</f>
        <v>0.67362037037037037</v>
      </c>
      <c r="W4" s="453">
        <v>0</v>
      </c>
      <c r="X4" s="454">
        <f>S18</f>
        <v>2.8869444444444445</v>
      </c>
      <c r="Y4" s="454">
        <f>X4/100*70</f>
        <v>2.020861111111111</v>
      </c>
      <c r="Z4" s="454">
        <f>Y4/100*25</f>
        <v>0.50521527777777775</v>
      </c>
      <c r="AA4" s="454">
        <v>0</v>
      </c>
      <c r="AB4" s="455">
        <f>S19</f>
        <v>0.48115740740740742</v>
      </c>
      <c r="AC4" s="668">
        <f>AB4/100*70</f>
        <v>0.33681018518518518</v>
      </c>
      <c r="AD4" s="455">
        <f>AC4/100*25</f>
        <v>8.4202546296296296E-2</v>
      </c>
      <c r="AE4" s="680">
        <v>0</v>
      </c>
      <c r="AF4" s="680">
        <v>0</v>
      </c>
      <c r="AG4" s="680">
        <v>0</v>
      </c>
      <c r="AH4" s="680">
        <v>0</v>
      </c>
      <c r="AI4" s="456">
        <f>S20</f>
        <v>0.96231481481481485</v>
      </c>
      <c r="AJ4" s="456">
        <f>AI4/100*20</f>
        <v>0.19246296296296295</v>
      </c>
      <c r="AK4" s="395">
        <v>0</v>
      </c>
      <c r="AL4" s="669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0.96231481481481485</v>
      </c>
      <c r="AT4" s="457">
        <f>AS4/100*70</f>
        <v>0.67362037037037037</v>
      </c>
      <c r="AU4" s="457">
        <f>AT4/100*25</f>
        <v>0.16840509259259259</v>
      </c>
      <c r="AV4" s="457">
        <v>0</v>
      </c>
      <c r="AW4" s="457">
        <v>0</v>
      </c>
      <c r="AX4" s="458">
        <f>S22</f>
        <v>0.19246296296296297</v>
      </c>
      <c r="AY4" s="469">
        <v>4</v>
      </c>
      <c r="AZ4" s="459"/>
      <c r="BA4" s="460">
        <f>S23</f>
        <v>0.28869444444444448</v>
      </c>
      <c r="BB4" s="458">
        <f>BA4/100*70</f>
        <v>0.20208611111111113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v>1450</v>
      </c>
      <c r="BP4" s="461">
        <v>0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t="s">
        <v>67</v>
      </c>
      <c r="CA4" t="s">
        <v>223</v>
      </c>
    </row>
    <row r="5" spans="1:79" ht="31.5" x14ac:dyDescent="0.25">
      <c r="A5" s="50">
        <v>50</v>
      </c>
      <c r="B5" s="693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676">
        <v>0</v>
      </c>
      <c r="O5" s="694" t="s">
        <v>67</v>
      </c>
      <c r="P5" s="679">
        <v>17620</v>
      </c>
      <c r="Q5" s="677">
        <f>SUM(T5,X5,AB5,AS5,AX5,BA5)</f>
        <v>9.0591666666666661</v>
      </c>
      <c r="R5" s="438">
        <f>SUM(U5,Y5,AC5,AI5,AT5,BB5)</f>
        <v>7.2070703703703707</v>
      </c>
      <c r="S5" s="438">
        <f>SUM(V5,Z5,AD5,AJ5,AU5)</f>
        <v>1.6985937500000001</v>
      </c>
      <c r="T5" s="453">
        <f>X17</f>
        <v>4.0262962962962963</v>
      </c>
      <c r="U5" s="453">
        <f>T5/100*70</f>
        <v>2.8184074074074075</v>
      </c>
      <c r="V5" s="453">
        <f>U5/100*25</f>
        <v>0.70460185185185187</v>
      </c>
      <c r="W5" s="345">
        <v>0</v>
      </c>
      <c r="X5" s="454">
        <f>X18</f>
        <v>3.0197222222222226</v>
      </c>
      <c r="Y5" s="454">
        <f>X5/100*70</f>
        <v>2.1138055555555559</v>
      </c>
      <c r="Z5" s="454">
        <f>Y5/100*25</f>
        <v>0.52845138888888898</v>
      </c>
      <c r="AA5" s="346">
        <v>0</v>
      </c>
      <c r="AB5" s="455">
        <f>X19</f>
        <v>0.50328703703703703</v>
      </c>
      <c r="AC5" s="668">
        <f>AB5/100*70</f>
        <v>0.35230092592592593</v>
      </c>
      <c r="AD5" s="455">
        <f>AC5/100*25</f>
        <v>8.8075231481481484E-2</v>
      </c>
      <c r="AE5" s="680">
        <v>0</v>
      </c>
      <c r="AF5" s="680">
        <v>0</v>
      </c>
      <c r="AG5" s="680">
        <v>0</v>
      </c>
      <c r="AH5" s="680">
        <v>0</v>
      </c>
      <c r="AI5" s="456">
        <f>X20</f>
        <v>1.0065740740740741</v>
      </c>
      <c r="AJ5" s="456">
        <f>AI5/100*20</f>
        <v>0.20131481481481484</v>
      </c>
      <c r="AK5" s="342">
        <v>0</v>
      </c>
      <c r="AL5" s="670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1.0065740740740741</v>
      </c>
      <c r="AT5" s="457">
        <f>AS5/100*70</f>
        <v>0.70460185185185187</v>
      </c>
      <c r="AU5" s="457">
        <f>AT5/100*25</f>
        <v>0.17615046296296297</v>
      </c>
      <c r="AV5" s="349">
        <v>0</v>
      </c>
      <c r="AW5" s="349">
        <v>0</v>
      </c>
      <c r="AX5" s="458">
        <f>X22</f>
        <v>0.20131481481481484</v>
      </c>
      <c r="AY5" s="350">
        <v>1</v>
      </c>
      <c r="AZ5" s="361"/>
      <c r="BA5" s="458">
        <f>X23</f>
        <v>0.30197222222222225</v>
      </c>
      <c r="BB5" s="458">
        <f>BA5/100*70</f>
        <v>0.2113805555555556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362">
        <v>820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t="s">
        <v>67</v>
      </c>
      <c r="CA5" t="s">
        <v>224</v>
      </c>
    </row>
    <row r="6" spans="1:79" x14ac:dyDescent="0.25">
      <c r="A6" s="526"/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674"/>
      <c r="P6" s="674"/>
      <c r="Q6" s="685"/>
      <c r="R6" s="526"/>
      <c r="S6" s="526"/>
      <c r="T6" s="526"/>
      <c r="U6" s="526"/>
      <c r="V6" s="526"/>
      <c r="W6" s="526"/>
      <c r="X6" s="526"/>
      <c r="Y6" s="526"/>
      <c r="Z6" s="526"/>
      <c r="AA6" s="526"/>
      <c r="AB6" s="526"/>
      <c r="AC6" s="526"/>
      <c r="AD6" s="673"/>
      <c r="AE6" s="686"/>
      <c r="AF6" s="686"/>
      <c r="AG6" s="686"/>
      <c r="AH6" s="686"/>
      <c r="AI6" s="673"/>
      <c r="AJ6" s="673"/>
      <c r="AK6" s="673"/>
      <c r="AL6" s="526"/>
      <c r="AM6" s="526"/>
      <c r="AN6" s="526"/>
      <c r="AO6" s="526"/>
      <c r="AP6" s="526"/>
      <c r="AQ6" s="526"/>
      <c r="AR6" s="526"/>
      <c r="AS6" s="526"/>
      <c r="AT6" s="526"/>
      <c r="AU6" s="526"/>
      <c r="AV6" s="526"/>
      <c r="AW6" s="526"/>
      <c r="AX6" s="526"/>
      <c r="AY6" s="526"/>
      <c r="AZ6" s="526"/>
      <c r="BA6" s="526"/>
      <c r="BB6" s="526"/>
      <c r="BC6" s="526"/>
      <c r="BD6" s="526"/>
      <c r="BE6" s="526"/>
      <c r="BF6" s="526"/>
      <c r="BG6" s="526"/>
      <c r="BH6" s="526"/>
      <c r="BI6" s="526"/>
      <c r="BJ6" s="526"/>
      <c r="BK6" s="526"/>
      <c r="BL6" s="526"/>
      <c r="BM6" s="526"/>
      <c r="BN6" s="526"/>
      <c r="BO6" s="526"/>
      <c r="BP6" s="526"/>
      <c r="BQ6" s="526"/>
      <c r="BR6" s="526"/>
      <c r="BS6" s="526"/>
      <c r="BT6" s="526"/>
      <c r="BU6" s="526"/>
      <c r="BV6" s="526"/>
      <c r="BW6" s="526"/>
      <c r="BX6" s="526"/>
      <c r="BY6" s="526"/>
    </row>
    <row r="7" spans="1:79" ht="31.5" x14ac:dyDescent="0.25">
      <c r="A7" s="50">
        <v>60</v>
      </c>
      <c r="B7" s="693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676">
        <v>0</v>
      </c>
      <c r="O7" s="694" t="s">
        <v>65</v>
      </c>
      <c r="P7" s="694">
        <v>0</v>
      </c>
      <c r="Q7" s="678">
        <f>SUM(T7,X7,AB7,AS7,AX7,BA7)</f>
        <v>268.4858333333334</v>
      </c>
      <c r="R7" s="394">
        <f>SUM(U7,Y7,AC7,AI7,AT7,BB7)</f>
        <v>213.59539629629631</v>
      </c>
      <c r="S7" s="394">
        <f>SUM(V7,Z7,AD7,AJ7,AU7)</f>
        <v>50.341093750000006</v>
      </c>
      <c r="T7" s="527">
        <f>31*T4</f>
        <v>119.32703703703704</v>
      </c>
      <c r="U7" s="527">
        <f t="shared" ref="U7:W8" si="0">31*U4</f>
        <v>83.528925925925932</v>
      </c>
      <c r="V7" s="527">
        <f t="shared" si="0"/>
        <v>20.882231481481483</v>
      </c>
      <c r="W7" s="527">
        <f t="shared" si="0"/>
        <v>0</v>
      </c>
      <c r="X7" s="528">
        <f>31*X4</f>
        <v>89.495277777777787</v>
      </c>
      <c r="Y7" s="528">
        <f t="shared" ref="Y7:AA8" si="1">31*Y4</f>
        <v>62.646694444444442</v>
      </c>
      <c r="Z7" s="528">
        <f t="shared" si="1"/>
        <v>15.661673611111111</v>
      </c>
      <c r="AA7" s="528">
        <f t="shared" si="1"/>
        <v>0</v>
      </c>
      <c r="AB7" s="680">
        <f>31*AB4</f>
        <v>14.915879629629631</v>
      </c>
      <c r="AC7" s="680">
        <f t="shared" ref="AC7:AD8" si="2">31*AC4</f>
        <v>10.441115740740742</v>
      </c>
      <c r="AD7" s="680">
        <f t="shared" si="2"/>
        <v>2.6102789351851854</v>
      </c>
      <c r="AE7" s="680">
        <v>0</v>
      </c>
      <c r="AF7" s="680">
        <v>0</v>
      </c>
      <c r="AG7" s="680">
        <v>0</v>
      </c>
      <c r="AH7" s="680">
        <v>0</v>
      </c>
      <c r="AI7" s="681">
        <f>AI4*31</f>
        <v>29.831759259259261</v>
      </c>
      <c r="AJ7" s="681">
        <f>AJ4*31</f>
        <v>5.9663518518518517</v>
      </c>
      <c r="AK7" s="395">
        <v>0</v>
      </c>
      <c r="AL7" s="669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AS4*31</f>
        <v>29.831759259259261</v>
      </c>
      <c r="AT7" s="682">
        <f t="shared" ref="AT7:AW8" si="3">AT4*31</f>
        <v>20.882231481481483</v>
      </c>
      <c r="AU7" s="682">
        <f t="shared" si="3"/>
        <v>5.2205578703703708</v>
      </c>
      <c r="AV7" s="682">
        <f t="shared" si="3"/>
        <v>0</v>
      </c>
      <c r="AW7" s="682">
        <f t="shared" si="3"/>
        <v>0</v>
      </c>
      <c r="AX7" s="469">
        <f>AX4*31</f>
        <v>5.9663518518518526</v>
      </c>
      <c r="AY7" s="469">
        <v>4</v>
      </c>
      <c r="AZ7" s="683"/>
      <c r="BA7" s="684">
        <f>BA4*31</f>
        <v>8.949527777777778</v>
      </c>
      <c r="BB7" s="684">
        <f>BB4*31</f>
        <v>6.2646694444444453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t="s">
        <v>67</v>
      </c>
      <c r="CA7" t="s">
        <v>223</v>
      </c>
    </row>
    <row r="8" spans="1:79" ht="31.5" x14ac:dyDescent="0.25">
      <c r="A8" s="50">
        <v>50</v>
      </c>
      <c r="B8" s="693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676">
        <v>0</v>
      </c>
      <c r="O8" s="694" t="s">
        <v>67</v>
      </c>
      <c r="P8" s="679">
        <v>17620</v>
      </c>
      <c r="Q8" s="678">
        <f>SUM(T8,X8,AB8,AS8,AX8,BA8)</f>
        <v>280.8341666666667</v>
      </c>
      <c r="R8" s="394">
        <f>SUM(U8,Y8,AC8,AI8,AT8,BB8)</f>
        <v>223.4191814814815</v>
      </c>
      <c r="S8" s="394">
        <f>SUM(V8,Z8,AD8,AJ8,AU8)</f>
        <v>52.656406250000011</v>
      </c>
      <c r="T8" s="527">
        <f>31*T5</f>
        <v>124.81518518518519</v>
      </c>
      <c r="U8" s="527">
        <f t="shared" si="0"/>
        <v>87.370629629629633</v>
      </c>
      <c r="V8" s="527">
        <f t="shared" si="0"/>
        <v>21.842657407407408</v>
      </c>
      <c r="W8" s="527">
        <f t="shared" si="0"/>
        <v>0</v>
      </c>
      <c r="X8" s="528">
        <f>31*X5</f>
        <v>93.611388888888897</v>
      </c>
      <c r="Y8" s="528">
        <f t="shared" si="1"/>
        <v>65.527972222222232</v>
      </c>
      <c r="Z8" s="528">
        <f t="shared" si="1"/>
        <v>16.381993055555558</v>
      </c>
      <c r="AA8" s="528">
        <f t="shared" si="1"/>
        <v>0</v>
      </c>
      <c r="AB8" s="680">
        <f>31*AB5</f>
        <v>15.601898148148148</v>
      </c>
      <c r="AC8" s="680">
        <f t="shared" si="2"/>
        <v>10.921328703703704</v>
      </c>
      <c r="AD8" s="680">
        <f t="shared" si="2"/>
        <v>2.730332175925926</v>
      </c>
      <c r="AE8" s="680">
        <v>0</v>
      </c>
      <c r="AF8" s="680">
        <v>0</v>
      </c>
      <c r="AG8" s="680">
        <v>0</v>
      </c>
      <c r="AH8" s="680">
        <v>0</v>
      </c>
      <c r="AI8" s="681">
        <f>AI5*31</f>
        <v>31.203796296296296</v>
      </c>
      <c r="AJ8" s="681">
        <f>AJ5*31</f>
        <v>6.24075925925926</v>
      </c>
      <c r="AK8" s="395">
        <v>0</v>
      </c>
      <c r="AL8" s="669">
        <v>0</v>
      </c>
      <c r="AM8" s="395">
        <v>1</v>
      </c>
      <c r="AN8" s="395">
        <v>1.6</v>
      </c>
      <c r="AO8" s="395">
        <v>0</v>
      </c>
      <c r="AP8" s="395">
        <v>0</v>
      </c>
      <c r="AQ8" s="395">
        <v>0</v>
      </c>
      <c r="AR8" s="395">
        <v>0</v>
      </c>
      <c r="AS8" s="682">
        <f>AS5*31</f>
        <v>31.203796296296296</v>
      </c>
      <c r="AT8" s="682">
        <f t="shared" si="3"/>
        <v>21.842657407407408</v>
      </c>
      <c r="AU8" s="682">
        <f t="shared" si="3"/>
        <v>5.4606643518518521</v>
      </c>
      <c r="AV8" s="682">
        <f t="shared" si="3"/>
        <v>0</v>
      </c>
      <c r="AW8" s="682">
        <f t="shared" si="3"/>
        <v>0</v>
      </c>
      <c r="AX8" s="469">
        <f>AX5*31</f>
        <v>6.24075925925926</v>
      </c>
      <c r="AY8" s="469">
        <v>1</v>
      </c>
      <c r="AZ8" s="683"/>
      <c r="BA8" s="684">
        <f>BA5*31</f>
        <v>9.36113888888889</v>
      </c>
      <c r="BB8" s="684">
        <f>BB5*31</f>
        <v>6.5527972222222237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t="s">
        <v>67</v>
      </c>
      <c r="CA8" t="s">
        <v>224</v>
      </c>
    </row>
    <row r="9" spans="1:79" x14ac:dyDescent="0.25">
      <c r="R9" s="393">
        <f>R8+R7</f>
        <v>437.01457777777784</v>
      </c>
      <c r="S9" s="393">
        <f>S8+S7</f>
        <v>102.99750000000002</v>
      </c>
      <c r="AE9" s="393"/>
      <c r="AF9" s="393"/>
      <c r="AG9" s="393"/>
      <c r="AH9" s="393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</row>
    <row r="14" spans="1:79" x14ac:dyDescent="0.25">
      <c r="Q14" s="1127" t="s">
        <v>192</v>
      </c>
      <c r="R14" s="1128"/>
      <c r="S14" s="591">
        <v>31179</v>
      </c>
      <c r="T14" s="591"/>
      <c r="V14" s="1127" t="s">
        <v>192</v>
      </c>
      <c r="W14" s="1128"/>
      <c r="X14" s="591">
        <v>32613</v>
      </c>
      <c r="Y14" s="591"/>
      <c r="AA14" s="1134" t="s">
        <v>199</v>
      </c>
      <c r="AB14" s="1135"/>
      <c r="AD14" s="1134" t="s">
        <v>199</v>
      </c>
      <c r="AE14" s="1135"/>
    </row>
    <row r="15" spans="1:79" x14ac:dyDescent="0.25">
      <c r="Q15" s="1127" t="s">
        <v>193</v>
      </c>
      <c r="R15" s="1128"/>
      <c r="S15" s="591">
        <v>280</v>
      </c>
      <c r="T15" s="591" t="s">
        <v>194</v>
      </c>
      <c r="V15" s="1127" t="s">
        <v>193</v>
      </c>
      <c r="W15" s="1128"/>
      <c r="X15" s="591">
        <v>280</v>
      </c>
      <c r="Y15" s="591" t="s">
        <v>194</v>
      </c>
      <c r="AA15" s="249"/>
      <c r="AB15" s="634">
        <f>108*S14/1000000</f>
        <v>3.3673320000000002</v>
      </c>
      <c r="AD15" s="249"/>
      <c r="AE15" s="634">
        <f>108*X14/1000000</f>
        <v>3.5222039999999999</v>
      </c>
    </row>
    <row r="16" spans="1:79" x14ac:dyDescent="0.25">
      <c r="Q16" s="1127" t="s">
        <v>195</v>
      </c>
      <c r="R16" s="1128"/>
      <c r="S16" s="596">
        <f>S14*S15/907200</f>
        <v>9.6231481481481485</v>
      </c>
      <c r="T16" s="591"/>
      <c r="V16" s="1127" t="s">
        <v>195</v>
      </c>
      <c r="W16" s="1128"/>
      <c r="X16" s="596">
        <f>X14*X15/907200</f>
        <v>10.065740740740742</v>
      </c>
      <c r="Y16" s="591"/>
      <c r="AA16" s="249"/>
      <c r="AB16" s="634">
        <f>AB15*31</f>
        <v>104.387292</v>
      </c>
      <c r="AD16" s="249"/>
      <c r="AE16" s="634">
        <f>AE15*31</f>
        <v>109.18832399999999</v>
      </c>
    </row>
    <row r="17" spans="17:36" x14ac:dyDescent="0.25">
      <c r="Q17" s="1132" t="s">
        <v>9</v>
      </c>
      <c r="R17" s="1133"/>
      <c r="S17" s="592">
        <f>S16/100*40</f>
        <v>3.8492592592592594</v>
      </c>
      <c r="T17" s="591">
        <v>40</v>
      </c>
      <c r="V17" s="1132" t="s">
        <v>9</v>
      </c>
      <c r="W17" s="1133"/>
      <c r="X17" s="592">
        <f>X16/100*40</f>
        <v>4.0262962962962963</v>
      </c>
      <c r="Y17" s="591">
        <v>40</v>
      </c>
      <c r="AA17" s="249"/>
      <c r="AB17" s="249"/>
      <c r="AD17" s="249"/>
      <c r="AE17" s="249"/>
      <c r="AJ17">
        <v>223</v>
      </c>
    </row>
    <row r="18" spans="17:36" x14ac:dyDescent="0.25">
      <c r="Q18" s="1132" t="s">
        <v>10</v>
      </c>
      <c r="R18" s="1133"/>
      <c r="S18" s="592">
        <f>S16/100*30</f>
        <v>2.8869444444444445</v>
      </c>
      <c r="T18" s="591">
        <v>30</v>
      </c>
      <c r="V18" s="1132" t="s">
        <v>10</v>
      </c>
      <c r="W18" s="1133"/>
      <c r="X18" s="592">
        <f>X16/100*30</f>
        <v>3.0197222222222226</v>
      </c>
      <c r="Y18" s="591">
        <v>30</v>
      </c>
      <c r="AA18" s="1137" t="s">
        <v>225</v>
      </c>
      <c r="AB18" s="1138"/>
      <c r="AD18" s="1137" t="s">
        <v>225</v>
      </c>
      <c r="AE18" s="1138"/>
      <c r="AG18">
        <v>10</v>
      </c>
      <c r="AJ18">
        <v>166</v>
      </c>
    </row>
    <row r="19" spans="17:36" x14ac:dyDescent="0.25">
      <c r="Q19" s="1132" t="s">
        <v>11</v>
      </c>
      <c r="R19" s="1133"/>
      <c r="S19" s="592">
        <f>S16/100*5</f>
        <v>0.48115740740740742</v>
      </c>
      <c r="T19" s="591">
        <v>5</v>
      </c>
      <c r="V19" s="1132" t="s">
        <v>11</v>
      </c>
      <c r="W19" s="1133"/>
      <c r="X19" s="592">
        <f>X16/100*5</f>
        <v>0.50328703703703703</v>
      </c>
      <c r="Y19" s="591">
        <v>5</v>
      </c>
      <c r="AA19" s="249"/>
      <c r="AB19" s="634">
        <f>120*S14/250</f>
        <v>14965.92</v>
      </c>
      <c r="AD19" s="249"/>
      <c r="AE19" s="634">
        <f>120*X14/250</f>
        <v>15654.24</v>
      </c>
      <c r="AG19">
        <v>22</v>
      </c>
      <c r="AJ19">
        <f>AJ17-AJ18</f>
        <v>57</v>
      </c>
    </row>
    <row r="20" spans="17:36" x14ac:dyDescent="0.25">
      <c r="Q20" s="1132" t="s">
        <v>12</v>
      </c>
      <c r="R20" s="1133"/>
      <c r="S20" s="592">
        <f>S16/100*10</f>
        <v>0.96231481481481485</v>
      </c>
      <c r="T20" s="591">
        <v>10</v>
      </c>
      <c r="V20" s="1132" t="s">
        <v>12</v>
      </c>
      <c r="W20" s="1133"/>
      <c r="X20" s="592">
        <f>X16/100*10</f>
        <v>1.0065740740740741</v>
      </c>
      <c r="Y20" s="591">
        <v>10</v>
      </c>
      <c r="AA20" s="249"/>
      <c r="AB20" s="634">
        <f>AB19/1000</f>
        <v>14.965920000000001</v>
      </c>
      <c r="AD20" s="249"/>
      <c r="AE20" s="634">
        <f>AE19/1000</f>
        <v>15.65424</v>
      </c>
      <c r="AG20">
        <v>16</v>
      </c>
      <c r="AJ20">
        <v>20</v>
      </c>
    </row>
    <row r="21" spans="17:36" x14ac:dyDescent="0.25">
      <c r="Q21" s="1132" t="s">
        <v>99</v>
      </c>
      <c r="R21" s="1133"/>
      <c r="S21" s="592">
        <f>S16/100*10</f>
        <v>0.96231481481481485</v>
      </c>
      <c r="T21" s="591">
        <v>10</v>
      </c>
      <c r="V21" s="1132" t="s">
        <v>99</v>
      </c>
      <c r="W21" s="1133"/>
      <c r="X21" s="592">
        <f>X16/100*10</f>
        <v>1.0065740740740741</v>
      </c>
      <c r="Y21" s="591">
        <v>10</v>
      </c>
      <c r="AA21" s="249"/>
      <c r="AB21" s="634">
        <f>AB20*31</f>
        <v>463.94352000000003</v>
      </c>
      <c r="AD21" s="249"/>
      <c r="AE21" s="634">
        <f>AE20*31</f>
        <v>485.28143999999998</v>
      </c>
      <c r="AG21">
        <v>5</v>
      </c>
      <c r="AJ21">
        <f>AJ19-AJ20</f>
        <v>37</v>
      </c>
    </row>
    <row r="22" spans="17:36" x14ac:dyDescent="0.25">
      <c r="Q22" s="1132" t="s">
        <v>100</v>
      </c>
      <c r="R22" s="1133"/>
      <c r="S22" s="592">
        <f>S16/100*2</f>
        <v>0.19246296296296297</v>
      </c>
      <c r="T22" s="591">
        <v>2</v>
      </c>
      <c r="V22" s="1132" t="s">
        <v>100</v>
      </c>
      <c r="W22" s="1133"/>
      <c r="X22" s="592">
        <f>X16/100*2</f>
        <v>0.20131481481481484</v>
      </c>
      <c r="Y22" s="591">
        <v>2</v>
      </c>
      <c r="AA22" s="249"/>
      <c r="AB22" s="634">
        <f>AB21/100*2</f>
        <v>9.2788704000000006</v>
      </c>
      <c r="AD22" s="249"/>
      <c r="AE22" s="634">
        <f>AE21/100*2</f>
        <v>9.7056287999999995</v>
      </c>
      <c r="AG22">
        <v>0</v>
      </c>
    </row>
    <row r="23" spans="17:36" x14ac:dyDescent="0.25">
      <c r="Q23" s="1132" t="s">
        <v>101</v>
      </c>
      <c r="R23" s="1133"/>
      <c r="S23" s="592">
        <f>S16/100*3</f>
        <v>0.28869444444444448</v>
      </c>
      <c r="T23" s="591">
        <v>3</v>
      </c>
      <c r="V23" s="1132" t="s">
        <v>101</v>
      </c>
      <c r="W23" s="1133"/>
      <c r="X23" s="592">
        <f>X16/100*3</f>
        <v>0.30197222222222225</v>
      </c>
      <c r="Y23" s="591">
        <v>3</v>
      </c>
      <c r="AG23">
        <f>SUM(AG18,AG19,AG20,AG21,AG22)</f>
        <v>53</v>
      </c>
    </row>
    <row r="24" spans="17:36" x14ac:dyDescent="0.25">
      <c r="Q24" s="1140" t="s">
        <v>89</v>
      </c>
      <c r="R24" s="1141"/>
      <c r="S24" s="596">
        <f>SUM(S17:S23)</f>
        <v>9.6231481481481502</v>
      </c>
      <c r="T24" s="591">
        <f>SUM(T17:T23)</f>
        <v>100</v>
      </c>
      <c r="V24" s="1140" t="s">
        <v>89</v>
      </c>
      <c r="W24" s="1141"/>
      <c r="X24" s="596">
        <f>SUM(X17:X23)</f>
        <v>10.06574074074074</v>
      </c>
      <c r="Y24" s="591">
        <f>SUM(Y17:Y23)</f>
        <v>100</v>
      </c>
      <c r="AG24">
        <v>223</v>
      </c>
    </row>
    <row r="25" spans="17:36" x14ac:dyDescent="0.25">
      <c r="AG25">
        <f>AG24-AG23</f>
        <v>170</v>
      </c>
    </row>
    <row r="29" spans="17:36" x14ac:dyDescent="0.25">
      <c r="AA29" s="617" t="s">
        <v>203</v>
      </c>
      <c r="AB29" s="618" t="s">
        <v>204</v>
      </c>
      <c r="AC29" s="618" t="s">
        <v>205</v>
      </c>
      <c r="AD29" s="618" t="s">
        <v>206</v>
      </c>
      <c r="AE29" s="617" t="s">
        <v>207</v>
      </c>
    </row>
    <row r="30" spans="17:36" x14ac:dyDescent="0.25">
      <c r="AA30" s="619" t="s">
        <v>90</v>
      </c>
      <c r="AB30" s="620">
        <v>0</v>
      </c>
      <c r="AC30" s="620">
        <v>57</v>
      </c>
      <c r="AD30" s="620">
        <v>10</v>
      </c>
      <c r="AE30" s="619">
        <v>720.28599999999994</v>
      </c>
    </row>
    <row r="31" spans="17:36" x14ac:dyDescent="0.25">
      <c r="AA31" s="619" t="s">
        <v>86</v>
      </c>
      <c r="AB31" s="620">
        <v>0</v>
      </c>
      <c r="AC31" s="620">
        <v>87</v>
      </c>
      <c r="AD31" s="620">
        <v>22</v>
      </c>
      <c r="AE31" s="619">
        <v>2.7</v>
      </c>
    </row>
    <row r="32" spans="17:36" x14ac:dyDescent="0.25">
      <c r="AA32" s="619" t="s">
        <v>87</v>
      </c>
      <c r="AB32" s="620">
        <v>0</v>
      </c>
      <c r="AC32" s="620">
        <v>66</v>
      </c>
      <c r="AD32" s="620">
        <v>16</v>
      </c>
      <c r="AE32" s="619">
        <v>1.7</v>
      </c>
    </row>
    <row r="33" spans="27:31" x14ac:dyDescent="0.25">
      <c r="AA33" s="619" t="s">
        <v>201</v>
      </c>
      <c r="AB33" s="620">
        <v>0</v>
      </c>
      <c r="AC33" s="620">
        <v>9</v>
      </c>
      <c r="AD33" s="620">
        <v>5</v>
      </c>
      <c r="AE33" s="619">
        <v>0.08</v>
      </c>
    </row>
    <row r="34" spans="27:31" x14ac:dyDescent="0.25">
      <c r="AA34" s="619" t="s">
        <v>202</v>
      </c>
      <c r="AB34" s="620">
        <v>0</v>
      </c>
      <c r="AC34" s="620">
        <v>4</v>
      </c>
      <c r="AD34" s="620">
        <v>0</v>
      </c>
      <c r="AE34" s="619">
        <v>0.05</v>
      </c>
    </row>
    <row r="35" spans="27:31" x14ac:dyDescent="0.25">
      <c r="AB35">
        <f>SUM(AB30:AB34)</f>
        <v>0</v>
      </c>
      <c r="AC35">
        <f t="shared" ref="AC35:AE35" si="4">SUM(AC30:AC34)</f>
        <v>223</v>
      </c>
      <c r="AD35">
        <f t="shared" si="4"/>
        <v>53</v>
      </c>
      <c r="AE35">
        <f t="shared" si="4"/>
        <v>724.81600000000003</v>
      </c>
    </row>
  </sheetData>
  <mergeCells count="54">
    <mergeCell ref="Q23:R23"/>
    <mergeCell ref="V23:W23"/>
    <mergeCell ref="Q24:R24"/>
    <mergeCell ref="V24:W24"/>
    <mergeCell ref="Q20:R20"/>
    <mergeCell ref="V20:W20"/>
    <mergeCell ref="Q21:R21"/>
    <mergeCell ref="V21:W21"/>
    <mergeCell ref="Q22:R22"/>
    <mergeCell ref="V22:W22"/>
    <mergeCell ref="Q18:R18"/>
    <mergeCell ref="V18:W18"/>
    <mergeCell ref="AA18:AB18"/>
    <mergeCell ref="AD18:AE18"/>
    <mergeCell ref="Q19:R19"/>
    <mergeCell ref="V19:W19"/>
    <mergeCell ref="Q15:R15"/>
    <mergeCell ref="V15:W15"/>
    <mergeCell ref="Q16:R16"/>
    <mergeCell ref="V16:W16"/>
    <mergeCell ref="Q17:R17"/>
    <mergeCell ref="V17:W17"/>
    <mergeCell ref="Q13:T13"/>
    <mergeCell ref="V13:Y13"/>
    <mergeCell ref="AA13:AB13"/>
    <mergeCell ref="AD13:AE13"/>
    <mergeCell ref="Q14:R14"/>
    <mergeCell ref="V14:W14"/>
    <mergeCell ref="AA14:AB14"/>
    <mergeCell ref="AD14:AE14"/>
    <mergeCell ref="BZ1:CA1"/>
    <mergeCell ref="AE1:AH1"/>
    <mergeCell ref="AI1:AJ1"/>
    <mergeCell ref="AK1:AR1"/>
    <mergeCell ref="AS1:AW1"/>
    <mergeCell ref="AX1:AZ1"/>
    <mergeCell ref="BA1:BI1"/>
    <mergeCell ref="BJ1:BQ1"/>
    <mergeCell ref="BR1:BS1"/>
    <mergeCell ref="BT1:BU1"/>
    <mergeCell ref="BV1:BW1"/>
    <mergeCell ref="BX1:BY1"/>
    <mergeCell ref="AB1:AD1"/>
    <mergeCell ref="A1:A2"/>
    <mergeCell ref="B1:B3"/>
    <mergeCell ref="C1:E2"/>
    <mergeCell ref="F1:H2"/>
    <mergeCell ref="I1:K2"/>
    <mergeCell ref="L1:L2"/>
    <mergeCell ref="M1:M2"/>
    <mergeCell ref="P1:P2"/>
    <mergeCell ref="Q1:S1"/>
    <mergeCell ref="T1:W1"/>
    <mergeCell ref="X1:AA1"/>
  </mergeCells>
  <pageMargins left="0.7" right="0.7" top="0.75" bottom="0.75" header="0.3" footer="0.3"/>
  <pageSetup paperSize="9"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9"/>
  <sheetViews>
    <sheetView topLeftCell="O7" workbookViewId="0">
      <selection activeCell="R9" sqref="R9:S9"/>
    </sheetView>
  </sheetViews>
  <sheetFormatPr defaultRowHeight="15" x14ac:dyDescent="0.25"/>
  <cols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1" width="11.5703125" bestFit="1" customWidth="1"/>
    <col min="64" max="64" width="12" customWidth="1"/>
  </cols>
  <sheetData>
    <row r="1" spans="1:79" ht="30.75" customHeight="1" thickBot="1" x14ac:dyDescent="0.3">
      <c r="A1" s="1396" t="s">
        <v>0</v>
      </c>
      <c r="B1" s="1398" t="s">
        <v>1</v>
      </c>
      <c r="C1" s="1401" t="s">
        <v>2</v>
      </c>
      <c r="D1" s="1402"/>
      <c r="E1" s="1403"/>
      <c r="F1" s="1401" t="s">
        <v>3</v>
      </c>
      <c r="G1" s="1402"/>
      <c r="H1" s="1403"/>
      <c r="I1" s="1401" t="s">
        <v>4</v>
      </c>
      <c r="J1" s="1402"/>
      <c r="K1" s="1403"/>
      <c r="L1" s="1407" t="s">
        <v>5</v>
      </c>
      <c r="M1" s="1407" t="s">
        <v>6</v>
      </c>
      <c r="N1" s="635"/>
      <c r="O1" s="635"/>
      <c r="P1" s="1407" t="s">
        <v>7</v>
      </c>
      <c r="Q1" s="1409" t="s">
        <v>8</v>
      </c>
      <c r="R1" s="1410"/>
      <c r="S1" s="1411"/>
      <c r="T1" s="1412" t="s">
        <v>9</v>
      </c>
      <c r="U1" s="1413"/>
      <c r="V1" s="1413"/>
      <c r="W1" s="1414"/>
      <c r="X1" s="1415" t="s">
        <v>10</v>
      </c>
      <c r="Y1" s="1416"/>
      <c r="Z1" s="1416"/>
      <c r="AA1" s="1417"/>
      <c r="AB1" s="1393" t="s">
        <v>11</v>
      </c>
      <c r="AC1" s="1394"/>
      <c r="AD1" s="1395"/>
      <c r="AE1" s="1381" t="s">
        <v>208</v>
      </c>
      <c r="AF1" s="1382"/>
      <c r="AG1" s="1382"/>
      <c r="AH1" s="1383"/>
      <c r="AI1" s="1384" t="s">
        <v>12</v>
      </c>
      <c r="AJ1" s="1385"/>
      <c r="AK1" s="1363" t="s">
        <v>179</v>
      </c>
      <c r="AL1" s="1364"/>
      <c r="AM1" s="1364"/>
      <c r="AN1" s="1364"/>
      <c r="AO1" s="1364"/>
      <c r="AP1" s="1364"/>
      <c r="AQ1" s="1364"/>
      <c r="AR1" s="1365"/>
      <c r="AS1" s="1228" t="s">
        <v>99</v>
      </c>
      <c r="AT1" s="1229"/>
      <c r="AU1" s="1229"/>
      <c r="AV1" s="1229"/>
      <c r="AW1" s="1230"/>
      <c r="AX1" s="1231" t="s">
        <v>100</v>
      </c>
      <c r="AY1" s="1232"/>
      <c r="AZ1" s="1233"/>
      <c r="BA1" s="1231" t="s">
        <v>101</v>
      </c>
      <c r="BB1" s="1232"/>
      <c r="BC1" s="1232"/>
      <c r="BD1" s="1232"/>
      <c r="BE1" s="1232"/>
      <c r="BF1" s="1232"/>
      <c r="BG1" s="1232"/>
      <c r="BH1" s="1232"/>
      <c r="BI1" s="1233"/>
      <c r="BJ1" s="1386" t="s">
        <v>14</v>
      </c>
      <c r="BK1" s="1387"/>
      <c r="BL1" s="1387"/>
      <c r="BM1" s="1387"/>
      <c r="BN1" s="1387"/>
      <c r="BO1" s="1387"/>
      <c r="BP1" s="1387"/>
      <c r="BQ1" s="1388"/>
      <c r="BR1" s="1389" t="s">
        <v>15</v>
      </c>
      <c r="BS1" s="1390"/>
      <c r="BT1" s="1228" t="s">
        <v>16</v>
      </c>
      <c r="BU1" s="1230"/>
      <c r="BV1" s="1389" t="s">
        <v>130</v>
      </c>
      <c r="BW1" s="1390"/>
      <c r="BX1" s="1391" t="s">
        <v>171</v>
      </c>
      <c r="BY1" s="1392"/>
      <c r="BZ1" s="1379" t="s">
        <v>209</v>
      </c>
      <c r="CA1" s="1380"/>
    </row>
    <row r="2" spans="1:79" ht="225.75" thickBot="1" x14ac:dyDescent="0.3">
      <c r="A2" s="1397"/>
      <c r="B2" s="1399"/>
      <c r="C2" s="1404"/>
      <c r="D2" s="1405"/>
      <c r="E2" s="1406"/>
      <c r="F2" s="1404"/>
      <c r="G2" s="1405"/>
      <c r="H2" s="1406"/>
      <c r="I2" s="1404"/>
      <c r="J2" s="1405"/>
      <c r="K2" s="1406"/>
      <c r="L2" s="1408"/>
      <c r="M2" s="1408"/>
      <c r="N2" s="636" t="s">
        <v>210</v>
      </c>
      <c r="O2" s="636" t="s">
        <v>211</v>
      </c>
      <c r="P2" s="1408"/>
      <c r="Q2" s="637" t="s">
        <v>17</v>
      </c>
      <c r="R2" s="637" t="s">
        <v>18</v>
      </c>
      <c r="S2" s="637" t="s">
        <v>19</v>
      </c>
      <c r="T2" s="638" t="s">
        <v>20</v>
      </c>
      <c r="U2" s="638" t="s">
        <v>21</v>
      </c>
      <c r="V2" s="638" t="s">
        <v>22</v>
      </c>
      <c r="W2" s="638" t="s">
        <v>23</v>
      </c>
      <c r="X2" s="639" t="s">
        <v>24</v>
      </c>
      <c r="Y2" s="639" t="s">
        <v>25</v>
      </c>
      <c r="Z2" s="639" t="s">
        <v>26</v>
      </c>
      <c r="AA2" s="639" t="s">
        <v>27</v>
      </c>
      <c r="AB2" s="640" t="s">
        <v>28</v>
      </c>
      <c r="AC2" s="640" t="s">
        <v>29</v>
      </c>
      <c r="AD2" s="640" t="s">
        <v>30</v>
      </c>
      <c r="AE2" s="641" t="s">
        <v>212</v>
      </c>
      <c r="AF2" s="641" t="s">
        <v>213</v>
      </c>
      <c r="AG2" s="641" t="s">
        <v>214</v>
      </c>
      <c r="AH2" s="641" t="s">
        <v>215</v>
      </c>
      <c r="AI2" s="642" t="s">
        <v>31</v>
      </c>
      <c r="AJ2" s="642" t="s">
        <v>32</v>
      </c>
      <c r="AK2" s="552" t="s">
        <v>180</v>
      </c>
      <c r="AL2" s="552" t="s">
        <v>36</v>
      </c>
      <c r="AM2" s="552" t="s">
        <v>181</v>
      </c>
      <c r="AN2" s="552" t="s">
        <v>36</v>
      </c>
      <c r="AO2" s="552" t="s">
        <v>182</v>
      </c>
      <c r="AP2" s="643" t="s">
        <v>36</v>
      </c>
      <c r="AQ2" s="552" t="s">
        <v>183</v>
      </c>
      <c r="AR2" s="643" t="s">
        <v>36</v>
      </c>
      <c r="AS2" s="644" t="s">
        <v>102</v>
      </c>
      <c r="AT2" s="644" t="s">
        <v>103</v>
      </c>
      <c r="AU2" s="644" t="s">
        <v>104</v>
      </c>
      <c r="AV2" s="644" t="s">
        <v>105</v>
      </c>
      <c r="AW2" s="644" t="s">
        <v>106</v>
      </c>
      <c r="AX2" s="645" t="s">
        <v>107</v>
      </c>
      <c r="AY2" s="645" t="s">
        <v>108</v>
      </c>
      <c r="AZ2" s="645" t="s">
        <v>109</v>
      </c>
      <c r="BA2" s="645" t="s">
        <v>110</v>
      </c>
      <c r="BB2" s="645" t="s">
        <v>111</v>
      </c>
      <c r="BC2" s="645" t="s">
        <v>112</v>
      </c>
      <c r="BD2" s="645" t="s">
        <v>113</v>
      </c>
      <c r="BE2" s="645" t="s">
        <v>114</v>
      </c>
      <c r="BF2" s="645" t="s">
        <v>115</v>
      </c>
      <c r="BG2" s="646" t="s">
        <v>116</v>
      </c>
      <c r="BH2" s="647" t="s">
        <v>117</v>
      </c>
      <c r="BI2" s="645" t="s">
        <v>118</v>
      </c>
      <c r="BJ2" s="648" t="s">
        <v>14</v>
      </c>
      <c r="BK2" s="648" t="s">
        <v>167</v>
      </c>
      <c r="BL2" s="648" t="s">
        <v>39</v>
      </c>
      <c r="BM2" s="648" t="s">
        <v>40</v>
      </c>
      <c r="BN2" s="648" t="s">
        <v>41</v>
      </c>
      <c r="BO2" s="648" t="s">
        <v>43</v>
      </c>
      <c r="BP2" s="648" t="s">
        <v>44</v>
      </c>
      <c r="BQ2" s="648" t="s">
        <v>46</v>
      </c>
      <c r="BR2" s="649" t="s">
        <v>47</v>
      </c>
      <c r="BS2" s="649" t="s">
        <v>48</v>
      </c>
      <c r="BT2" s="644" t="s">
        <v>49</v>
      </c>
      <c r="BU2" s="644" t="s">
        <v>50</v>
      </c>
      <c r="BV2" s="649" t="s">
        <v>131</v>
      </c>
      <c r="BW2" s="649" t="s">
        <v>132</v>
      </c>
      <c r="BX2" s="565" t="s">
        <v>172</v>
      </c>
      <c r="BY2" s="565" t="s">
        <v>173</v>
      </c>
      <c r="BZ2" s="650" t="s">
        <v>216</v>
      </c>
      <c r="CA2" s="650" t="s">
        <v>217</v>
      </c>
    </row>
    <row r="3" spans="1:79" ht="90.75" thickBot="1" x14ac:dyDescent="0.3">
      <c r="A3" s="651"/>
      <c r="B3" s="1400"/>
      <c r="C3" s="652" t="s">
        <v>185</v>
      </c>
      <c r="D3" s="652" t="s">
        <v>186</v>
      </c>
      <c r="E3" s="652" t="s">
        <v>187</v>
      </c>
      <c r="F3" s="652" t="s">
        <v>185</v>
      </c>
      <c r="G3" s="652" t="s">
        <v>186</v>
      </c>
      <c r="H3" s="652" t="s">
        <v>187</v>
      </c>
      <c r="I3" s="652" t="s">
        <v>185</v>
      </c>
      <c r="J3" s="652" t="s">
        <v>186</v>
      </c>
      <c r="K3" s="652" t="s">
        <v>187</v>
      </c>
      <c r="L3" s="652" t="s">
        <v>58</v>
      </c>
      <c r="M3" s="652" t="s">
        <v>188</v>
      </c>
      <c r="N3" s="652" t="s">
        <v>218</v>
      </c>
      <c r="O3" s="671" t="s">
        <v>120</v>
      </c>
      <c r="P3" s="671" t="s">
        <v>189</v>
      </c>
      <c r="Q3" s="652" t="s">
        <v>190</v>
      </c>
      <c r="R3" s="652" t="s">
        <v>190</v>
      </c>
      <c r="S3" s="652" t="s">
        <v>190</v>
      </c>
      <c r="T3" s="652" t="s">
        <v>190</v>
      </c>
      <c r="U3" s="652" t="s">
        <v>190</v>
      </c>
      <c r="V3" s="652" t="s">
        <v>57</v>
      </c>
      <c r="W3" s="652" t="s">
        <v>57</v>
      </c>
      <c r="X3" s="652" t="s">
        <v>57</v>
      </c>
      <c r="Y3" s="652" t="s">
        <v>57</v>
      </c>
      <c r="Z3" s="652" t="s">
        <v>57</v>
      </c>
      <c r="AA3" s="652" t="s">
        <v>57</v>
      </c>
      <c r="AB3" s="652" t="s">
        <v>57</v>
      </c>
      <c r="AC3" s="652" t="s">
        <v>57</v>
      </c>
      <c r="AD3" s="671" t="s">
        <v>57</v>
      </c>
      <c r="AE3" s="671" t="s">
        <v>219</v>
      </c>
      <c r="AF3" s="671" t="s">
        <v>220</v>
      </c>
      <c r="AG3" s="671" t="s">
        <v>219</v>
      </c>
      <c r="AH3" s="672" t="s">
        <v>221</v>
      </c>
      <c r="AI3" s="671" t="s">
        <v>57</v>
      </c>
      <c r="AJ3" s="671" t="s">
        <v>57</v>
      </c>
      <c r="AK3" s="671" t="s">
        <v>58</v>
      </c>
      <c r="AL3" s="652" t="s">
        <v>57</v>
      </c>
      <c r="AM3" s="652" t="s">
        <v>54</v>
      </c>
      <c r="AN3" s="652" t="s">
        <v>57</v>
      </c>
      <c r="AO3" s="652" t="s">
        <v>54</v>
      </c>
      <c r="AP3" s="652" t="s">
        <v>57</v>
      </c>
      <c r="AQ3" s="652" t="s">
        <v>54</v>
      </c>
      <c r="AR3" s="652" t="s">
        <v>57</v>
      </c>
      <c r="AS3" s="652" t="s">
        <v>62</v>
      </c>
      <c r="AT3" s="652" t="s">
        <v>62</v>
      </c>
      <c r="AU3" s="652" t="s">
        <v>62</v>
      </c>
      <c r="AV3" s="652" t="s">
        <v>54</v>
      </c>
      <c r="AW3" s="652" t="s">
        <v>57</v>
      </c>
      <c r="AX3" s="652" t="s">
        <v>62</v>
      </c>
      <c r="AY3" s="652" t="s">
        <v>54</v>
      </c>
      <c r="AZ3" s="652" t="s">
        <v>119</v>
      </c>
      <c r="BA3" s="652" t="s">
        <v>62</v>
      </c>
      <c r="BB3" s="652" t="s">
        <v>62</v>
      </c>
      <c r="BC3" s="652" t="s">
        <v>120</v>
      </c>
      <c r="BD3" s="652" t="s">
        <v>54</v>
      </c>
      <c r="BE3" s="652" t="s">
        <v>120</v>
      </c>
      <c r="BF3" s="652" t="s">
        <v>54</v>
      </c>
      <c r="BG3" s="652" t="s">
        <v>120</v>
      </c>
      <c r="BH3" s="652" t="s">
        <v>120</v>
      </c>
      <c r="BI3" s="652" t="s">
        <v>120</v>
      </c>
      <c r="BJ3" s="652" t="s">
        <v>54</v>
      </c>
      <c r="BK3" s="653" t="s">
        <v>168</v>
      </c>
      <c r="BL3" s="652" t="s">
        <v>59</v>
      </c>
      <c r="BM3" s="652" t="s">
        <v>60</v>
      </c>
      <c r="BN3" s="652" t="s">
        <v>61</v>
      </c>
      <c r="BO3" s="652" t="s">
        <v>57</v>
      </c>
      <c r="BP3" s="652" t="s">
        <v>127</v>
      </c>
      <c r="BQ3" s="652" t="s">
        <v>127</v>
      </c>
      <c r="BR3" s="652" t="s">
        <v>120</v>
      </c>
      <c r="BS3" s="652" t="s">
        <v>120</v>
      </c>
      <c r="BT3" s="652" t="s">
        <v>120</v>
      </c>
      <c r="BU3" s="652" t="s">
        <v>120</v>
      </c>
      <c r="BV3" s="652" t="s">
        <v>54</v>
      </c>
      <c r="BW3" s="652" t="s">
        <v>54</v>
      </c>
      <c r="BX3" s="565" t="s">
        <v>120</v>
      </c>
      <c r="BY3" s="565" t="s">
        <v>174</v>
      </c>
      <c r="BZ3" s="650" t="s">
        <v>120</v>
      </c>
      <c r="CA3" s="650" t="s">
        <v>222</v>
      </c>
    </row>
    <row r="4" spans="1:79" ht="31.5" x14ac:dyDescent="0.25">
      <c r="A4" s="45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675">
        <v>0</v>
      </c>
      <c r="O4" s="696" t="s">
        <v>67</v>
      </c>
      <c r="P4" s="696">
        <v>0</v>
      </c>
      <c r="Q4" s="677">
        <f>SUM(T4,X4,AB4,AS4,AX4,BA4)</f>
        <v>8.6917648809523822</v>
      </c>
      <c r="R4" s="438">
        <f>SUM(U4,Y4,AC4,AI4,AT4,BB4)</f>
        <v>6.9147818386243385</v>
      </c>
      <c r="S4" s="438">
        <f>SUM(V4,Z4,AD4,AJ4,AJ4,AU4)</f>
        <v>1.8228562458664019</v>
      </c>
      <c r="T4" s="453">
        <f>S17</f>
        <v>3.8630066137566139</v>
      </c>
      <c r="U4" s="453">
        <f>T4/100*70</f>
        <v>2.7041046296296294</v>
      </c>
      <c r="V4" s="453">
        <f>U4/100*25</f>
        <v>0.67602615740740735</v>
      </c>
      <c r="W4" s="453">
        <v>0</v>
      </c>
      <c r="X4" s="454">
        <f>S18</f>
        <v>2.8972549603174604</v>
      </c>
      <c r="Y4" s="454">
        <f>X4/100*70</f>
        <v>2.0280784722222225</v>
      </c>
      <c r="Z4" s="454">
        <f>Y4/100*25</f>
        <v>0.50701961805555562</v>
      </c>
      <c r="AA4" s="454">
        <v>0</v>
      </c>
      <c r="AB4" s="455">
        <f>S19</f>
        <v>0.48287582671957674</v>
      </c>
      <c r="AC4" s="668">
        <f>AB4/100*70</f>
        <v>0.33801307870370367</v>
      </c>
      <c r="AD4" s="455">
        <f>AC4/100*25</f>
        <v>8.4503269675925918E-2</v>
      </c>
      <c r="AE4" s="697">
        <v>0</v>
      </c>
      <c r="AF4" s="698">
        <v>0</v>
      </c>
      <c r="AG4" s="698">
        <v>0</v>
      </c>
      <c r="AH4" s="698">
        <v>0</v>
      </c>
      <c r="AI4" s="456">
        <f>S20</f>
        <v>0.96575165343915348</v>
      </c>
      <c r="AJ4" s="456">
        <f>AI4/100*20</f>
        <v>0.19315033068783069</v>
      </c>
      <c r="AK4" s="395">
        <v>0</v>
      </c>
      <c r="AL4" s="669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0.96575165343915348</v>
      </c>
      <c r="AT4" s="457">
        <f>AS4/100*70</f>
        <v>0.67602615740740735</v>
      </c>
      <c r="AU4" s="457">
        <f>AT4/100*25</f>
        <v>0.16900653935185184</v>
      </c>
      <c r="AV4" s="457">
        <v>0</v>
      </c>
      <c r="AW4" s="457">
        <v>0</v>
      </c>
      <c r="AX4" s="458">
        <f>S22</f>
        <v>0.19315033068783069</v>
      </c>
      <c r="AY4" s="469">
        <v>4</v>
      </c>
      <c r="AZ4" s="459"/>
      <c r="BA4" s="460">
        <f>S23</f>
        <v>0.28972549603174602</v>
      </c>
      <c r="BB4" s="458">
        <f>BA4/100*70</f>
        <v>0.20280784722222223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v>1450</v>
      </c>
      <c r="BP4" s="461">
        <v>0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t="s">
        <v>67</v>
      </c>
      <c r="CA4" t="s">
        <v>223</v>
      </c>
    </row>
    <row r="5" spans="1:79" ht="31.5" x14ac:dyDescent="0.25">
      <c r="A5" s="50">
        <v>50</v>
      </c>
      <c r="B5" s="695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676">
        <v>0</v>
      </c>
      <c r="O5" s="696" t="s">
        <v>67</v>
      </c>
      <c r="P5" s="679"/>
      <c r="Q5" s="677">
        <f>SUM(T5,X5,AB5,AS5,AX5,BA5)</f>
        <v>9.0915208333333339</v>
      </c>
      <c r="R5" s="438">
        <f>SUM(U5,Y5,AC5,AI5,AT5,BB5)</f>
        <v>7.2328099074074084</v>
      </c>
      <c r="S5" s="438">
        <f>SUM(V5,Z5,AD5,AJ5,AU5)</f>
        <v>1.7046601562500003</v>
      </c>
      <c r="T5" s="453">
        <f>X17</f>
        <v>4.0406759259259264</v>
      </c>
      <c r="U5" s="453">
        <f>T5/100*70</f>
        <v>2.8284731481481487</v>
      </c>
      <c r="V5" s="453">
        <f>U5/100*25</f>
        <v>0.70711828703703716</v>
      </c>
      <c r="W5" s="345">
        <v>0</v>
      </c>
      <c r="X5" s="454">
        <f>X18</f>
        <v>3.0305069444444448</v>
      </c>
      <c r="Y5" s="454">
        <f>X5/100*70</f>
        <v>2.1213548611111115</v>
      </c>
      <c r="Z5" s="454">
        <f>Y5/100*25</f>
        <v>0.53033871527777787</v>
      </c>
      <c r="AA5" s="346">
        <v>0</v>
      </c>
      <c r="AB5" s="455">
        <f>X19</f>
        <v>0.5050844907407408</v>
      </c>
      <c r="AC5" s="668">
        <f>AB5/100*70</f>
        <v>0.35355914351851858</v>
      </c>
      <c r="AD5" s="455">
        <f>AC5/100*25</f>
        <v>8.8389785879629645E-2</v>
      </c>
      <c r="AE5" s="698">
        <v>0</v>
      </c>
      <c r="AF5" s="698">
        <v>0</v>
      </c>
      <c r="AG5" s="698">
        <v>0</v>
      </c>
      <c r="AH5" s="698">
        <v>0</v>
      </c>
      <c r="AI5" s="456">
        <f>X20</f>
        <v>1.0101689814814816</v>
      </c>
      <c r="AJ5" s="456">
        <f>AI5/100*20</f>
        <v>0.20203379629629634</v>
      </c>
      <c r="AK5" s="342">
        <v>0</v>
      </c>
      <c r="AL5" s="670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1.0101689814814816</v>
      </c>
      <c r="AT5" s="457">
        <f>AS5/100*70</f>
        <v>0.70711828703703716</v>
      </c>
      <c r="AU5" s="457">
        <f>AT5/100*25</f>
        <v>0.17677957175925929</v>
      </c>
      <c r="AV5" s="349">
        <v>0</v>
      </c>
      <c r="AW5" s="349">
        <v>0</v>
      </c>
      <c r="AX5" s="458">
        <f>X22</f>
        <v>0.20203379629629631</v>
      </c>
      <c r="AY5" s="350">
        <v>1</v>
      </c>
      <c r="AZ5" s="361"/>
      <c r="BA5" s="458">
        <f>X23</f>
        <v>0.30305069444444444</v>
      </c>
      <c r="BB5" s="458">
        <f>BA5/100*70</f>
        <v>0.2121354861111111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362">
        <v>820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t="s">
        <v>67</v>
      </c>
      <c r="CA5" t="s">
        <v>224</v>
      </c>
    </row>
    <row r="6" spans="1:79" x14ac:dyDescent="0.25">
      <c r="A6" s="526"/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674"/>
      <c r="P6" s="674"/>
      <c r="Q6" s="685"/>
      <c r="R6" s="526"/>
      <c r="S6" s="526"/>
      <c r="T6" s="526"/>
      <c r="U6" s="526"/>
      <c r="V6" s="526"/>
      <c r="W6" s="526"/>
      <c r="X6" s="526"/>
      <c r="Y6" s="526"/>
      <c r="Z6" s="526"/>
      <c r="AA6" s="526"/>
      <c r="AB6" s="526"/>
      <c r="AC6" s="526"/>
      <c r="AD6" s="673"/>
      <c r="AE6" s="686"/>
      <c r="AF6" s="686"/>
      <c r="AG6" s="686"/>
      <c r="AH6" s="686"/>
      <c r="AI6" s="673"/>
      <c r="AJ6" s="673"/>
      <c r="AK6" s="673"/>
      <c r="AL6" s="526"/>
      <c r="AM6" s="526"/>
      <c r="AN6" s="526"/>
      <c r="AO6" s="526"/>
      <c r="AP6" s="526"/>
      <c r="AQ6" s="526"/>
      <c r="AR6" s="526"/>
      <c r="AS6" s="526"/>
      <c r="AT6" s="526"/>
      <c r="AU6" s="526"/>
      <c r="AV6" s="526"/>
      <c r="AW6" s="526"/>
      <c r="AX6" s="526"/>
      <c r="AY6" s="526"/>
      <c r="AZ6" s="526"/>
      <c r="BA6" s="526"/>
      <c r="BB6" s="526"/>
      <c r="BC6" s="526"/>
      <c r="BD6" s="526"/>
      <c r="BE6" s="526"/>
      <c r="BF6" s="526"/>
      <c r="BG6" s="526"/>
      <c r="BH6" s="526"/>
      <c r="BI6" s="526"/>
      <c r="BJ6" s="526"/>
      <c r="BK6" s="526"/>
      <c r="BL6" s="526"/>
      <c r="BM6" s="526"/>
      <c r="BN6" s="526"/>
      <c r="BO6" s="526"/>
      <c r="BP6" s="526"/>
      <c r="BQ6" s="526"/>
      <c r="BR6" s="526"/>
      <c r="BS6" s="526"/>
      <c r="BT6" s="526"/>
      <c r="BU6" s="526"/>
      <c r="BV6" s="526"/>
      <c r="BW6" s="526"/>
      <c r="BX6" s="526"/>
      <c r="BY6" s="526"/>
    </row>
    <row r="7" spans="1:79" ht="31.5" x14ac:dyDescent="0.25">
      <c r="A7" s="50">
        <v>60</v>
      </c>
      <c r="B7" s="695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676">
        <v>0</v>
      </c>
      <c r="O7" s="696" t="s">
        <v>65</v>
      </c>
      <c r="P7" s="696">
        <v>0</v>
      </c>
      <c r="Q7" s="678">
        <f>SUM(T7,X7,AB7,AS7,AX7,BA7)</f>
        <v>269.44471130952383</v>
      </c>
      <c r="R7" s="394">
        <f>SUM(U7,Y7,AC7,AI7,AT7,BB7)</f>
        <v>214.35823699735451</v>
      </c>
      <c r="S7" s="394">
        <f>SUM(V7,Z7,AD7,AJ7,AU7)</f>
        <v>50.520883370535714</v>
      </c>
      <c r="T7" s="527">
        <f>31*T4</f>
        <v>119.75320502645503</v>
      </c>
      <c r="U7" s="527">
        <f>31*U4</f>
        <v>83.827243518518515</v>
      </c>
      <c r="V7" s="527">
        <f t="shared" ref="U7:W8" si="0">31*V4</f>
        <v>20.956810879629629</v>
      </c>
      <c r="W7" s="527">
        <f t="shared" si="0"/>
        <v>0</v>
      </c>
      <c r="X7" s="528">
        <f>31*X4</f>
        <v>89.81490376984128</v>
      </c>
      <c r="Y7" s="528">
        <f t="shared" ref="Y7:AA8" si="1">31*Y4</f>
        <v>62.8704326388889</v>
      </c>
      <c r="Z7" s="528">
        <f t="shared" si="1"/>
        <v>15.717608159722225</v>
      </c>
      <c r="AA7" s="528">
        <f t="shared" si="1"/>
        <v>0</v>
      </c>
      <c r="AB7" s="680">
        <f>31*AB4</f>
        <v>14.969150628306879</v>
      </c>
      <c r="AC7" s="680">
        <f t="shared" ref="AC7:AD8" si="2">31*AC4</f>
        <v>10.478405439814814</v>
      </c>
      <c r="AD7" s="680">
        <f t="shared" si="2"/>
        <v>2.6196013599537036</v>
      </c>
      <c r="AE7" s="680">
        <v>0</v>
      </c>
      <c r="AF7" s="680">
        <v>0</v>
      </c>
      <c r="AG7" s="680">
        <v>0</v>
      </c>
      <c r="AH7" s="680">
        <v>0</v>
      </c>
      <c r="AI7" s="681">
        <f>AI4*31</f>
        <v>29.938301256613759</v>
      </c>
      <c r="AJ7" s="681">
        <f>AJ4*31</f>
        <v>5.987660251322751</v>
      </c>
      <c r="AK7" s="395">
        <v>0</v>
      </c>
      <c r="AL7" s="669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AS4*31</f>
        <v>29.938301256613759</v>
      </c>
      <c r="AT7" s="682">
        <f t="shared" ref="AT7:AW8" si="3">AT4*31</f>
        <v>20.956810879629629</v>
      </c>
      <c r="AU7" s="682">
        <f t="shared" si="3"/>
        <v>5.2392027199074072</v>
      </c>
      <c r="AV7" s="682">
        <f t="shared" si="3"/>
        <v>0</v>
      </c>
      <c r="AW7" s="682">
        <f t="shared" si="3"/>
        <v>0</v>
      </c>
      <c r="AX7" s="469">
        <f>AX4*31</f>
        <v>5.987660251322751</v>
      </c>
      <c r="AY7" s="469">
        <v>4</v>
      </c>
      <c r="AZ7" s="683"/>
      <c r="BA7" s="684">
        <f>BA4*31</f>
        <v>8.9814903769841266</v>
      </c>
      <c r="BB7" s="684">
        <f>BB4*31</f>
        <v>6.2870432638888891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t="s">
        <v>67</v>
      </c>
      <c r="CA7" t="s">
        <v>223</v>
      </c>
    </row>
    <row r="8" spans="1:79" ht="31.5" x14ac:dyDescent="0.25">
      <c r="A8" s="50">
        <v>50</v>
      </c>
      <c r="B8" s="695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676">
        <v>0</v>
      </c>
      <c r="O8" s="696" t="s">
        <v>67</v>
      </c>
      <c r="P8" s="679">
        <v>17620</v>
      </c>
      <c r="Q8" s="678">
        <f>SUM(T8,X8,AB8,AS8,AX8,BA8)</f>
        <v>281.83714583333341</v>
      </c>
      <c r="R8" s="394">
        <f>SUM(U8,Y8,AC8,AI8,AT8,BB8)</f>
        <v>224.21710712962968</v>
      </c>
      <c r="S8" s="394">
        <f>SUM(V8,Z8,AD8,AJ8,AU8)</f>
        <v>52.844464843750011</v>
      </c>
      <c r="T8" s="527">
        <f>31*T5</f>
        <v>125.26095370370372</v>
      </c>
      <c r="U8" s="527">
        <f t="shared" si="0"/>
        <v>87.682667592592608</v>
      </c>
      <c r="V8" s="527">
        <f t="shared" si="0"/>
        <v>21.920666898148152</v>
      </c>
      <c r="W8" s="527">
        <f t="shared" si="0"/>
        <v>0</v>
      </c>
      <c r="X8" s="528">
        <f>31*X5</f>
        <v>93.945715277777794</v>
      </c>
      <c r="Y8" s="528">
        <f t="shared" si="1"/>
        <v>65.762000694444453</v>
      </c>
      <c r="Z8" s="528">
        <f t="shared" si="1"/>
        <v>16.440500173611113</v>
      </c>
      <c r="AA8" s="528">
        <f t="shared" si="1"/>
        <v>0</v>
      </c>
      <c r="AB8" s="680">
        <f>31*AB5</f>
        <v>15.657619212962965</v>
      </c>
      <c r="AC8" s="680">
        <f t="shared" si="2"/>
        <v>10.960333449074076</v>
      </c>
      <c r="AD8" s="680">
        <f t="shared" si="2"/>
        <v>2.740083362268519</v>
      </c>
      <c r="AE8" s="680">
        <v>0</v>
      </c>
      <c r="AF8" s="680">
        <v>0</v>
      </c>
      <c r="AG8" s="680">
        <v>0</v>
      </c>
      <c r="AH8" s="680">
        <v>0</v>
      </c>
      <c r="AI8" s="681">
        <f>AI5*31</f>
        <v>31.31523842592593</v>
      </c>
      <c r="AJ8" s="681">
        <f>AJ5*31</f>
        <v>6.2630476851851862</v>
      </c>
      <c r="AK8" s="395">
        <v>0</v>
      </c>
      <c r="AL8" s="669">
        <v>0</v>
      </c>
      <c r="AM8" s="395">
        <v>1</v>
      </c>
      <c r="AN8" s="395">
        <v>1.6</v>
      </c>
      <c r="AO8" s="395">
        <v>0</v>
      </c>
      <c r="AP8" s="395">
        <v>0</v>
      </c>
      <c r="AQ8" s="395">
        <v>0</v>
      </c>
      <c r="AR8" s="395">
        <v>0</v>
      </c>
      <c r="AS8" s="682">
        <f>AS5*31</f>
        <v>31.31523842592593</v>
      </c>
      <c r="AT8" s="682">
        <f t="shared" si="3"/>
        <v>21.920666898148152</v>
      </c>
      <c r="AU8" s="682">
        <f t="shared" si="3"/>
        <v>5.480166724537038</v>
      </c>
      <c r="AV8" s="682">
        <f t="shared" si="3"/>
        <v>0</v>
      </c>
      <c r="AW8" s="682">
        <f t="shared" si="3"/>
        <v>0</v>
      </c>
      <c r="AX8" s="469">
        <f>AX5*31</f>
        <v>6.2630476851851853</v>
      </c>
      <c r="AY8" s="469">
        <v>1</v>
      </c>
      <c r="AZ8" s="683"/>
      <c r="BA8" s="684">
        <f>BA5*31</f>
        <v>9.3945715277777779</v>
      </c>
      <c r="BB8" s="684">
        <f>BB5*31</f>
        <v>6.576200069444444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t="s">
        <v>67</v>
      </c>
      <c r="CA8" t="s">
        <v>224</v>
      </c>
    </row>
    <row r="9" spans="1:79" x14ac:dyDescent="0.25">
      <c r="R9" s="393">
        <f>R8+R7</f>
        <v>438.57534412698419</v>
      </c>
      <c r="S9" s="393">
        <f>S8+S7</f>
        <v>103.36534821428572</v>
      </c>
      <c r="AE9" s="393"/>
      <c r="AF9" s="393"/>
      <c r="AG9" s="393"/>
      <c r="AH9" s="393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</row>
    <row r="14" spans="1:79" x14ac:dyDescent="0.25">
      <c r="Q14" s="1127" t="s">
        <v>192</v>
      </c>
      <c r="R14" s="1128"/>
      <c r="S14" s="591">
        <v>31179</v>
      </c>
      <c r="T14" s="591"/>
      <c r="V14" s="1127" t="s">
        <v>192</v>
      </c>
      <c r="W14" s="1128"/>
      <c r="X14" s="591">
        <v>32613</v>
      </c>
      <c r="Y14" s="591"/>
      <c r="AA14" s="1134" t="s">
        <v>199</v>
      </c>
      <c r="AB14" s="1135"/>
      <c r="AD14" s="1134" t="s">
        <v>199</v>
      </c>
      <c r="AE14" s="1135"/>
    </row>
    <row r="15" spans="1:79" x14ac:dyDescent="0.25">
      <c r="Q15" s="1127" t="s">
        <v>193</v>
      </c>
      <c r="R15" s="1128"/>
      <c r="S15" s="591">
        <v>281</v>
      </c>
      <c r="T15" s="591" t="s">
        <v>194</v>
      </c>
      <c r="V15" s="1127" t="s">
        <v>193</v>
      </c>
      <c r="W15" s="1128"/>
      <c r="X15" s="591">
        <v>281</v>
      </c>
      <c r="Y15" s="591" t="s">
        <v>194</v>
      </c>
      <c r="AA15" s="249"/>
      <c r="AB15" s="634">
        <f>108*S14/1000000</f>
        <v>3.3673320000000002</v>
      </c>
      <c r="AD15" s="249"/>
      <c r="AE15" s="634">
        <f>108*X14/1000000</f>
        <v>3.5222039999999999</v>
      </c>
    </row>
    <row r="16" spans="1:79" x14ac:dyDescent="0.25">
      <c r="Q16" s="1127" t="s">
        <v>195</v>
      </c>
      <c r="R16" s="1128"/>
      <c r="S16" s="596">
        <f>S14*S15/907200</f>
        <v>9.6575165343915348</v>
      </c>
      <c r="T16" s="591"/>
      <c r="V16" s="1127" t="s">
        <v>195</v>
      </c>
      <c r="W16" s="1128"/>
      <c r="X16" s="596">
        <f>X14*X15/907200</f>
        <v>10.101689814814815</v>
      </c>
      <c r="Y16" s="591"/>
      <c r="AA16" s="249"/>
      <c r="AB16" s="634">
        <f>AB15*31</f>
        <v>104.387292</v>
      </c>
      <c r="AD16" s="249"/>
      <c r="AE16" s="634">
        <f>AE15*31</f>
        <v>109.18832399999999</v>
      </c>
    </row>
    <row r="17" spans="17:36" x14ac:dyDescent="0.25">
      <c r="Q17" s="1132" t="s">
        <v>9</v>
      </c>
      <c r="R17" s="1133"/>
      <c r="S17" s="592">
        <f>S16/100*40</f>
        <v>3.8630066137566139</v>
      </c>
      <c r="T17" s="591">
        <v>40</v>
      </c>
      <c r="V17" s="1132" t="s">
        <v>9</v>
      </c>
      <c r="W17" s="1133"/>
      <c r="X17" s="592">
        <f>X16/100*40</f>
        <v>4.0406759259259264</v>
      </c>
      <c r="Y17" s="591">
        <v>40</v>
      </c>
      <c r="AA17" s="249"/>
      <c r="AB17" s="249"/>
      <c r="AD17" s="249"/>
      <c r="AE17" s="249"/>
      <c r="AJ17">
        <v>223</v>
      </c>
    </row>
    <row r="18" spans="17:36" x14ac:dyDescent="0.25">
      <c r="Q18" s="1132" t="s">
        <v>10</v>
      </c>
      <c r="R18" s="1133"/>
      <c r="S18" s="592">
        <f>S16/100*30</f>
        <v>2.8972549603174604</v>
      </c>
      <c r="T18" s="591">
        <v>30</v>
      </c>
      <c r="V18" s="1132" t="s">
        <v>10</v>
      </c>
      <c r="W18" s="1133"/>
      <c r="X18" s="592">
        <f>X16/100*30</f>
        <v>3.0305069444444448</v>
      </c>
      <c r="Y18" s="591">
        <v>30</v>
      </c>
      <c r="AA18" s="1137" t="s">
        <v>225</v>
      </c>
      <c r="AB18" s="1138"/>
      <c r="AD18" s="1137" t="s">
        <v>225</v>
      </c>
      <c r="AE18" s="1138"/>
      <c r="AJ18">
        <v>166</v>
      </c>
    </row>
    <row r="19" spans="17:36" x14ac:dyDescent="0.25">
      <c r="Q19" s="1132" t="s">
        <v>11</v>
      </c>
      <c r="R19" s="1133"/>
      <c r="S19" s="592">
        <f>S16/100*5</f>
        <v>0.48287582671957674</v>
      </c>
      <c r="T19" s="591">
        <v>5</v>
      </c>
      <c r="V19" s="1132" t="s">
        <v>11</v>
      </c>
      <c r="W19" s="1133"/>
      <c r="X19" s="592">
        <f>X16/100*5</f>
        <v>0.5050844907407408</v>
      </c>
      <c r="Y19" s="591">
        <v>5</v>
      </c>
      <c r="AA19" s="249"/>
      <c r="AB19" s="634">
        <f>120*S14/250</f>
        <v>14965.92</v>
      </c>
      <c r="AD19" s="249"/>
      <c r="AE19" s="634">
        <f>120*X14/250</f>
        <v>15654.24</v>
      </c>
      <c r="AJ19">
        <f>AJ17-AJ18</f>
        <v>57</v>
      </c>
    </row>
    <row r="20" spans="17:36" x14ac:dyDescent="0.25">
      <c r="Q20" s="1132" t="s">
        <v>12</v>
      </c>
      <c r="R20" s="1133"/>
      <c r="S20" s="592">
        <f>S16/100*10</f>
        <v>0.96575165343915348</v>
      </c>
      <c r="T20" s="591">
        <v>10</v>
      </c>
      <c r="V20" s="1132" t="s">
        <v>12</v>
      </c>
      <c r="W20" s="1133"/>
      <c r="X20" s="592">
        <f>X16/100*10</f>
        <v>1.0101689814814816</v>
      </c>
      <c r="Y20" s="591">
        <v>10</v>
      </c>
      <c r="AA20" s="249"/>
      <c r="AB20" s="634">
        <f>AB19/1000</f>
        <v>14.965920000000001</v>
      </c>
      <c r="AD20" s="249"/>
      <c r="AE20" s="634">
        <f>AE19/1000</f>
        <v>15.65424</v>
      </c>
      <c r="AJ20">
        <v>20</v>
      </c>
    </row>
    <row r="21" spans="17:36" x14ac:dyDescent="0.25">
      <c r="Q21" s="1132" t="s">
        <v>99</v>
      </c>
      <c r="R21" s="1133"/>
      <c r="S21" s="592">
        <f>S16/100*10</f>
        <v>0.96575165343915348</v>
      </c>
      <c r="T21" s="591">
        <v>10</v>
      </c>
      <c r="V21" s="1132" t="s">
        <v>99</v>
      </c>
      <c r="W21" s="1133"/>
      <c r="X21" s="592">
        <f>X16/100*10</f>
        <v>1.0101689814814816</v>
      </c>
      <c r="Y21" s="591">
        <v>10</v>
      </c>
      <c r="AA21" s="249"/>
      <c r="AB21" s="634">
        <f>AB20*31</f>
        <v>463.94352000000003</v>
      </c>
      <c r="AD21" s="249"/>
      <c r="AE21" s="634">
        <f>AE20*31</f>
        <v>485.28143999999998</v>
      </c>
      <c r="AJ21">
        <f>AJ19-AJ20</f>
        <v>37</v>
      </c>
    </row>
    <row r="22" spans="17:36" x14ac:dyDescent="0.25">
      <c r="Q22" s="1132" t="s">
        <v>100</v>
      </c>
      <c r="R22" s="1133"/>
      <c r="S22" s="592">
        <f>S16/100*2</f>
        <v>0.19315033068783069</v>
      </c>
      <c r="T22" s="591">
        <v>2</v>
      </c>
      <c r="V22" s="1132" t="s">
        <v>100</v>
      </c>
      <c r="W22" s="1133"/>
      <c r="X22" s="592">
        <f>X16/100*2</f>
        <v>0.20203379629629631</v>
      </c>
      <c r="Y22" s="591">
        <v>2</v>
      </c>
      <c r="AA22" s="249"/>
      <c r="AB22" s="634">
        <f>AB21/100*3</f>
        <v>13.9183056</v>
      </c>
      <c r="AD22" s="249"/>
      <c r="AE22" s="634">
        <f>AE21/100*2</f>
        <v>9.7056287999999995</v>
      </c>
    </row>
    <row r="23" spans="17:36" x14ac:dyDescent="0.25">
      <c r="Q23" s="1132" t="s">
        <v>101</v>
      </c>
      <c r="R23" s="1133"/>
      <c r="S23" s="592">
        <f>S16/100*3</f>
        <v>0.28972549603174602</v>
      </c>
      <c r="T23" s="591">
        <v>3</v>
      </c>
      <c r="V23" s="1132" t="s">
        <v>101</v>
      </c>
      <c r="W23" s="1133"/>
      <c r="X23" s="592">
        <f>X16/100*3</f>
        <v>0.30305069444444444</v>
      </c>
      <c r="Y23" s="591">
        <v>3</v>
      </c>
    </row>
    <row r="24" spans="17:36" x14ac:dyDescent="0.25">
      <c r="Q24" s="1140" t="s">
        <v>89</v>
      </c>
      <c r="R24" s="1141"/>
      <c r="S24" s="596">
        <f>SUM(S17:S23)</f>
        <v>9.6575165343915348</v>
      </c>
      <c r="T24" s="591">
        <f>SUM(T17:T23)</f>
        <v>100</v>
      </c>
      <c r="V24" s="1140" t="s">
        <v>89</v>
      </c>
      <c r="W24" s="1141"/>
      <c r="X24" s="596">
        <f>SUM(X17:X23)</f>
        <v>10.101689814814815</v>
      </c>
      <c r="Y24" s="591">
        <f>SUM(Y17:Y23)</f>
        <v>100</v>
      </c>
    </row>
    <row r="28" spans="17:36" x14ac:dyDescent="0.25">
      <c r="R28" s="1149" t="s">
        <v>137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1149"/>
      <c r="AF28" s="1149"/>
    </row>
    <row r="29" spans="17:36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</row>
    <row r="30" spans="17:36" x14ac:dyDescent="0.25">
      <c r="R30" s="1147" t="s">
        <v>90</v>
      </c>
      <c r="S30" s="1147"/>
      <c r="T30" s="1152">
        <v>58</v>
      </c>
      <c r="U30" s="1152"/>
      <c r="V30" s="1152">
        <v>8</v>
      </c>
      <c r="W30" s="1152"/>
      <c r="AA30" s="1147" t="s">
        <v>90</v>
      </c>
      <c r="AB30" s="1147"/>
      <c r="AC30" s="1152">
        <v>58</v>
      </c>
      <c r="AD30" s="1152"/>
      <c r="AE30" s="1152">
        <v>8</v>
      </c>
      <c r="AF30" s="1152"/>
    </row>
    <row r="31" spans="17:36" x14ac:dyDescent="0.25">
      <c r="R31" s="1147" t="s">
        <v>86</v>
      </c>
      <c r="S31" s="1147"/>
      <c r="T31" s="1148">
        <f>U7</f>
        <v>83.827243518518515</v>
      </c>
      <c r="U31" s="1148"/>
      <c r="V31" s="1148" t="str">
        <f>M8</f>
        <v>No</v>
      </c>
      <c r="W31" s="1148"/>
      <c r="X31" s="393"/>
      <c r="AA31" s="1147" t="s">
        <v>86</v>
      </c>
      <c r="AB31" s="1147"/>
      <c r="AC31" s="1148">
        <f>U8</f>
        <v>87.682667592592608</v>
      </c>
      <c r="AD31" s="1148"/>
      <c r="AE31" s="1148">
        <f>V8</f>
        <v>21.920666898148152</v>
      </c>
      <c r="AF31" s="1148"/>
    </row>
    <row r="32" spans="17:36" x14ac:dyDescent="0.25">
      <c r="R32" s="1147" t="s">
        <v>87</v>
      </c>
      <c r="S32" s="1147"/>
      <c r="T32" s="1148">
        <f>Y7</f>
        <v>62.8704326388889</v>
      </c>
      <c r="U32" s="1148"/>
      <c r="V32" s="1148">
        <f>Q8</f>
        <v>281.83714583333341</v>
      </c>
      <c r="W32" s="1148"/>
      <c r="X32" s="393"/>
      <c r="AA32" s="1147" t="s">
        <v>87</v>
      </c>
      <c r="AB32" s="1147"/>
      <c r="AC32" s="1148">
        <f>Y8</f>
        <v>65.762000694444453</v>
      </c>
      <c r="AD32" s="1148"/>
      <c r="AE32" s="1148">
        <f>Z8</f>
        <v>16.440500173611113</v>
      </c>
      <c r="AF32" s="1148"/>
    </row>
    <row r="33" spans="18:32" x14ac:dyDescent="0.25">
      <c r="R33" s="1147" t="s">
        <v>201</v>
      </c>
      <c r="S33" s="1147"/>
      <c r="T33" s="1152">
        <v>6</v>
      </c>
      <c r="U33" s="1152"/>
      <c r="V33" s="1152">
        <v>7</v>
      </c>
      <c r="W33" s="1152"/>
      <c r="AA33" s="1147" t="s">
        <v>201</v>
      </c>
      <c r="AB33" s="1147"/>
      <c r="AC33" s="1152">
        <v>9</v>
      </c>
      <c r="AD33" s="1152"/>
      <c r="AE33" s="1152">
        <v>7</v>
      </c>
      <c r="AF33" s="1152"/>
    </row>
    <row r="34" spans="18:32" x14ac:dyDescent="0.25">
      <c r="R34" s="1147" t="s">
        <v>202</v>
      </c>
      <c r="S34" s="1147"/>
      <c r="T34" s="1152">
        <v>3</v>
      </c>
      <c r="U34" s="1152"/>
      <c r="V34" s="1152">
        <v>0</v>
      </c>
      <c r="W34" s="1152"/>
      <c r="AA34" s="1147" t="s">
        <v>202</v>
      </c>
      <c r="AB34" s="1147"/>
      <c r="AC34" s="1152">
        <v>4</v>
      </c>
      <c r="AD34" s="1152"/>
      <c r="AE34" s="1152">
        <v>0</v>
      </c>
      <c r="AF34" s="1152"/>
    </row>
    <row r="35" spans="18:32" x14ac:dyDescent="0.25">
      <c r="R35" s="1159"/>
      <c r="S35" s="1159"/>
      <c r="T35" s="1160">
        <f t="shared" ref="T35" si="4">SUM(T30:T34)</f>
        <v>213.69767615740741</v>
      </c>
      <c r="U35" s="1160"/>
      <c r="V35" s="1160">
        <f>SUM(V30:W34)</f>
        <v>296.83714583333341</v>
      </c>
      <c r="W35" s="1160"/>
      <c r="X35" s="393"/>
      <c r="AA35" s="1159"/>
      <c r="AB35" s="1159"/>
      <c r="AC35" s="1160">
        <f t="shared" ref="AC35" si="5">SUM(AC30:AC34)</f>
        <v>224.44466828703708</v>
      </c>
      <c r="AD35" s="1160"/>
      <c r="AE35" s="1160">
        <f>SUM(AE30:AF34)</f>
        <v>53.361167071759269</v>
      </c>
      <c r="AF35" s="1160"/>
    </row>
    <row r="36" spans="18:32" x14ac:dyDescent="0.25">
      <c r="X36" s="393"/>
    </row>
    <row r="37" spans="18:32" x14ac:dyDescent="0.25">
      <c r="X37" s="393"/>
    </row>
    <row r="38" spans="18:32" x14ac:dyDescent="0.25">
      <c r="R38" s="1159"/>
      <c r="S38" s="1159"/>
      <c r="T38" s="1160">
        <f>I8</f>
        <v>1</v>
      </c>
      <c r="U38" s="1160"/>
      <c r="V38" s="1160">
        <f>J8</f>
        <v>0</v>
      </c>
      <c r="W38" s="1160"/>
      <c r="AA38" s="1159"/>
      <c r="AB38" s="1159"/>
      <c r="AC38" s="1160">
        <f>R8</f>
        <v>224.21710712962968</v>
      </c>
      <c r="AD38" s="1160"/>
      <c r="AE38" s="1160">
        <f>S8</f>
        <v>52.844464843750011</v>
      </c>
      <c r="AF38" s="1160"/>
    </row>
    <row r="39" spans="18:32" x14ac:dyDescent="0.25">
      <c r="R39" s="1159"/>
      <c r="S39" s="1159"/>
      <c r="T39" s="1160">
        <f>T38-T35</f>
        <v>-212.69767615740741</v>
      </c>
      <c r="U39" s="1160"/>
      <c r="V39" s="1160">
        <f>V38-V35</f>
        <v>-296.83714583333341</v>
      </c>
      <c r="W39" s="1160"/>
      <c r="AA39" s="1159"/>
      <c r="AB39" s="1159"/>
      <c r="AC39" s="1160">
        <f>AC38-AC35</f>
        <v>-0.22756115740739347</v>
      </c>
      <c r="AD39" s="1160"/>
      <c r="AE39" s="1160">
        <f>AE38-AE35</f>
        <v>-0.51670222800925814</v>
      </c>
      <c r="AF39" s="1160"/>
    </row>
  </sheetData>
  <mergeCells count="110">
    <mergeCell ref="R39:S39"/>
    <mergeCell ref="T39:U39"/>
    <mergeCell ref="V39:W39"/>
    <mergeCell ref="R35:S35"/>
    <mergeCell ref="T35:U35"/>
    <mergeCell ref="V35:W35"/>
    <mergeCell ref="R38:S38"/>
    <mergeCell ref="T38:U38"/>
    <mergeCell ref="V38:W38"/>
    <mergeCell ref="R28:W28"/>
    <mergeCell ref="R29:S29"/>
    <mergeCell ref="T29:U29"/>
    <mergeCell ref="V29:W29"/>
    <mergeCell ref="R30:S30"/>
    <mergeCell ref="T30:U30"/>
    <mergeCell ref="V30:W30"/>
    <mergeCell ref="AA34:AB34"/>
    <mergeCell ref="AA35:AB35"/>
    <mergeCell ref="R33:S33"/>
    <mergeCell ref="T33:U33"/>
    <mergeCell ref="V33:W33"/>
    <mergeCell ref="R34:S34"/>
    <mergeCell ref="T34:U34"/>
    <mergeCell ref="V34:W34"/>
    <mergeCell ref="R31:S31"/>
    <mergeCell ref="T31:U31"/>
    <mergeCell ref="V31:W31"/>
    <mergeCell ref="R32:S32"/>
    <mergeCell ref="T32:U32"/>
    <mergeCell ref="V32:W32"/>
    <mergeCell ref="AA38:AB38"/>
    <mergeCell ref="AA39:AB39"/>
    <mergeCell ref="AA28:AF28"/>
    <mergeCell ref="AA29:AB29"/>
    <mergeCell ref="AA30:AB30"/>
    <mergeCell ref="AA31:AB31"/>
    <mergeCell ref="AA32:AB32"/>
    <mergeCell ref="AA33:AB33"/>
    <mergeCell ref="AE33:AF33"/>
    <mergeCell ref="AE34:AF34"/>
    <mergeCell ref="AE35:AF35"/>
    <mergeCell ref="AE38:AF38"/>
    <mergeCell ref="AE39:AF39"/>
    <mergeCell ref="AC33:AD33"/>
    <mergeCell ref="AC34:AD34"/>
    <mergeCell ref="AC35:AD35"/>
    <mergeCell ref="AC38:AD38"/>
    <mergeCell ref="AC39:AD39"/>
    <mergeCell ref="AE29:AF29"/>
    <mergeCell ref="AC29:AD29"/>
    <mergeCell ref="AC30:AD30"/>
    <mergeCell ref="AC31:AD31"/>
    <mergeCell ref="AC32:AD32"/>
    <mergeCell ref="AE30:AF30"/>
    <mergeCell ref="AE31:AF31"/>
    <mergeCell ref="AE32:AF32"/>
    <mergeCell ref="AB1:AD1"/>
    <mergeCell ref="A1:A2"/>
    <mergeCell ref="B1:B3"/>
    <mergeCell ref="C1:E2"/>
    <mergeCell ref="F1:H2"/>
    <mergeCell ref="I1:K2"/>
    <mergeCell ref="L1:L2"/>
    <mergeCell ref="M1:M2"/>
    <mergeCell ref="P1:P2"/>
    <mergeCell ref="Q1:S1"/>
    <mergeCell ref="T1:W1"/>
    <mergeCell ref="X1:AA1"/>
    <mergeCell ref="Q13:T13"/>
    <mergeCell ref="V13:Y13"/>
    <mergeCell ref="AA13:AB13"/>
    <mergeCell ref="AD13:AE13"/>
    <mergeCell ref="Q14:R14"/>
    <mergeCell ref="V14:W14"/>
    <mergeCell ref="AA14:AB14"/>
    <mergeCell ref="AD14:AE14"/>
    <mergeCell ref="Q15:R15"/>
    <mergeCell ref="V15:W15"/>
    <mergeCell ref="BZ1:CA1"/>
    <mergeCell ref="AE1:AH1"/>
    <mergeCell ref="AI1:AJ1"/>
    <mergeCell ref="AK1:AR1"/>
    <mergeCell ref="AS1:AW1"/>
    <mergeCell ref="AX1:AZ1"/>
    <mergeCell ref="BA1:BI1"/>
    <mergeCell ref="BJ1:BQ1"/>
    <mergeCell ref="BR1:BS1"/>
    <mergeCell ref="BT1:BU1"/>
    <mergeCell ref="BV1:BW1"/>
    <mergeCell ref="BX1:BY1"/>
    <mergeCell ref="Q16:R16"/>
    <mergeCell ref="V16:W16"/>
    <mergeCell ref="Q17:R17"/>
    <mergeCell ref="V17:W17"/>
    <mergeCell ref="Q18:R18"/>
    <mergeCell ref="V18:W18"/>
    <mergeCell ref="AA18:AB18"/>
    <mergeCell ref="AD18:AE18"/>
    <mergeCell ref="Q19:R19"/>
    <mergeCell ref="V19:W19"/>
    <mergeCell ref="Q23:R23"/>
    <mergeCell ref="V23:W23"/>
    <mergeCell ref="Q24:R24"/>
    <mergeCell ref="V24:W24"/>
    <mergeCell ref="Q20:R20"/>
    <mergeCell ref="V20:W20"/>
    <mergeCell ref="Q21:R21"/>
    <mergeCell ref="V21:W21"/>
    <mergeCell ref="Q22:R22"/>
    <mergeCell ref="V22:W22"/>
  </mergeCells>
  <pageMargins left="0.7" right="0.7" top="0.75" bottom="0.75" header="0.3" footer="0.3"/>
  <pageSetup paperSize="9"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9"/>
  <sheetViews>
    <sheetView topLeftCell="G7" workbookViewId="0">
      <selection activeCell="R9" sqref="R9:S9"/>
    </sheetView>
  </sheetViews>
  <sheetFormatPr defaultRowHeight="15" x14ac:dyDescent="0.25"/>
  <cols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1" width="11.5703125" bestFit="1" customWidth="1"/>
    <col min="64" max="64" width="12" customWidth="1"/>
  </cols>
  <sheetData>
    <row r="1" spans="1:79" ht="30.75" customHeight="1" thickBot="1" x14ac:dyDescent="0.3">
      <c r="A1" s="1396" t="s">
        <v>0</v>
      </c>
      <c r="B1" s="1398" t="s">
        <v>1</v>
      </c>
      <c r="C1" s="1401" t="s">
        <v>2</v>
      </c>
      <c r="D1" s="1402"/>
      <c r="E1" s="1403"/>
      <c r="F1" s="1401" t="s">
        <v>3</v>
      </c>
      <c r="G1" s="1402"/>
      <c r="H1" s="1403"/>
      <c r="I1" s="1401" t="s">
        <v>4</v>
      </c>
      <c r="J1" s="1402"/>
      <c r="K1" s="1403"/>
      <c r="L1" s="1407" t="s">
        <v>5</v>
      </c>
      <c r="M1" s="1407" t="s">
        <v>6</v>
      </c>
      <c r="N1" s="635"/>
      <c r="O1" s="635"/>
      <c r="P1" s="1407" t="s">
        <v>7</v>
      </c>
      <c r="Q1" s="1409" t="s">
        <v>8</v>
      </c>
      <c r="R1" s="1410"/>
      <c r="S1" s="1411"/>
      <c r="T1" s="1412" t="s">
        <v>9</v>
      </c>
      <c r="U1" s="1413"/>
      <c r="V1" s="1413"/>
      <c r="W1" s="1414"/>
      <c r="X1" s="1415" t="s">
        <v>10</v>
      </c>
      <c r="Y1" s="1416"/>
      <c r="Z1" s="1416"/>
      <c r="AA1" s="1417"/>
      <c r="AB1" s="1393" t="s">
        <v>11</v>
      </c>
      <c r="AC1" s="1394"/>
      <c r="AD1" s="1395"/>
      <c r="AE1" s="1381" t="s">
        <v>208</v>
      </c>
      <c r="AF1" s="1382"/>
      <c r="AG1" s="1382"/>
      <c r="AH1" s="1383"/>
      <c r="AI1" s="1384" t="s">
        <v>12</v>
      </c>
      <c r="AJ1" s="1385"/>
      <c r="AK1" s="1363" t="s">
        <v>179</v>
      </c>
      <c r="AL1" s="1364"/>
      <c r="AM1" s="1364"/>
      <c r="AN1" s="1364"/>
      <c r="AO1" s="1364"/>
      <c r="AP1" s="1364"/>
      <c r="AQ1" s="1364"/>
      <c r="AR1" s="1365"/>
      <c r="AS1" s="1228" t="s">
        <v>99</v>
      </c>
      <c r="AT1" s="1229"/>
      <c r="AU1" s="1229"/>
      <c r="AV1" s="1229"/>
      <c r="AW1" s="1230"/>
      <c r="AX1" s="1231" t="s">
        <v>100</v>
      </c>
      <c r="AY1" s="1232"/>
      <c r="AZ1" s="1233"/>
      <c r="BA1" s="1231" t="s">
        <v>101</v>
      </c>
      <c r="BB1" s="1232"/>
      <c r="BC1" s="1232"/>
      <c r="BD1" s="1232"/>
      <c r="BE1" s="1232"/>
      <c r="BF1" s="1232"/>
      <c r="BG1" s="1232"/>
      <c r="BH1" s="1232"/>
      <c r="BI1" s="1233"/>
      <c r="BJ1" s="1386" t="s">
        <v>14</v>
      </c>
      <c r="BK1" s="1387"/>
      <c r="BL1" s="1387"/>
      <c r="BM1" s="1387"/>
      <c r="BN1" s="1387"/>
      <c r="BO1" s="1387"/>
      <c r="BP1" s="1387"/>
      <c r="BQ1" s="1388"/>
      <c r="BR1" s="1389" t="s">
        <v>15</v>
      </c>
      <c r="BS1" s="1390"/>
      <c r="BT1" s="1228" t="s">
        <v>16</v>
      </c>
      <c r="BU1" s="1230"/>
      <c r="BV1" s="1389" t="s">
        <v>130</v>
      </c>
      <c r="BW1" s="1390"/>
      <c r="BX1" s="1391" t="s">
        <v>171</v>
      </c>
      <c r="BY1" s="1392"/>
      <c r="BZ1" s="1379" t="s">
        <v>209</v>
      </c>
      <c r="CA1" s="1380"/>
    </row>
    <row r="2" spans="1:79" ht="225.75" thickBot="1" x14ac:dyDescent="0.3">
      <c r="A2" s="1397"/>
      <c r="B2" s="1399"/>
      <c r="C2" s="1404"/>
      <c r="D2" s="1405"/>
      <c r="E2" s="1406"/>
      <c r="F2" s="1404"/>
      <c r="G2" s="1405"/>
      <c r="H2" s="1406"/>
      <c r="I2" s="1404"/>
      <c r="J2" s="1405"/>
      <c r="K2" s="1406"/>
      <c r="L2" s="1408"/>
      <c r="M2" s="1408"/>
      <c r="N2" s="636" t="s">
        <v>210</v>
      </c>
      <c r="O2" s="636" t="s">
        <v>211</v>
      </c>
      <c r="P2" s="1408"/>
      <c r="Q2" s="637" t="s">
        <v>17</v>
      </c>
      <c r="R2" s="637" t="s">
        <v>18</v>
      </c>
      <c r="S2" s="637" t="s">
        <v>19</v>
      </c>
      <c r="T2" s="638" t="s">
        <v>20</v>
      </c>
      <c r="U2" s="638" t="s">
        <v>21</v>
      </c>
      <c r="V2" s="638" t="s">
        <v>22</v>
      </c>
      <c r="W2" s="638" t="s">
        <v>23</v>
      </c>
      <c r="X2" s="639" t="s">
        <v>24</v>
      </c>
      <c r="Y2" s="639" t="s">
        <v>25</v>
      </c>
      <c r="Z2" s="639" t="s">
        <v>26</v>
      </c>
      <c r="AA2" s="639" t="s">
        <v>27</v>
      </c>
      <c r="AB2" s="640" t="s">
        <v>28</v>
      </c>
      <c r="AC2" s="640" t="s">
        <v>29</v>
      </c>
      <c r="AD2" s="640" t="s">
        <v>30</v>
      </c>
      <c r="AE2" s="641" t="s">
        <v>212</v>
      </c>
      <c r="AF2" s="641" t="s">
        <v>213</v>
      </c>
      <c r="AG2" s="641" t="s">
        <v>214</v>
      </c>
      <c r="AH2" s="641" t="s">
        <v>215</v>
      </c>
      <c r="AI2" s="642" t="s">
        <v>31</v>
      </c>
      <c r="AJ2" s="642" t="s">
        <v>32</v>
      </c>
      <c r="AK2" s="552" t="s">
        <v>180</v>
      </c>
      <c r="AL2" s="552" t="s">
        <v>36</v>
      </c>
      <c r="AM2" s="552" t="s">
        <v>181</v>
      </c>
      <c r="AN2" s="552" t="s">
        <v>36</v>
      </c>
      <c r="AO2" s="552" t="s">
        <v>182</v>
      </c>
      <c r="AP2" s="643" t="s">
        <v>36</v>
      </c>
      <c r="AQ2" s="552" t="s">
        <v>183</v>
      </c>
      <c r="AR2" s="643" t="s">
        <v>36</v>
      </c>
      <c r="AS2" s="644" t="s">
        <v>102</v>
      </c>
      <c r="AT2" s="644" t="s">
        <v>103</v>
      </c>
      <c r="AU2" s="644" t="s">
        <v>104</v>
      </c>
      <c r="AV2" s="644" t="s">
        <v>105</v>
      </c>
      <c r="AW2" s="644" t="s">
        <v>106</v>
      </c>
      <c r="AX2" s="645" t="s">
        <v>107</v>
      </c>
      <c r="AY2" s="645" t="s">
        <v>108</v>
      </c>
      <c r="AZ2" s="645" t="s">
        <v>109</v>
      </c>
      <c r="BA2" s="645" t="s">
        <v>110</v>
      </c>
      <c r="BB2" s="645" t="s">
        <v>111</v>
      </c>
      <c r="BC2" s="645" t="s">
        <v>112</v>
      </c>
      <c r="BD2" s="645" t="s">
        <v>113</v>
      </c>
      <c r="BE2" s="645" t="s">
        <v>114</v>
      </c>
      <c r="BF2" s="645" t="s">
        <v>115</v>
      </c>
      <c r="BG2" s="646" t="s">
        <v>116</v>
      </c>
      <c r="BH2" s="647" t="s">
        <v>117</v>
      </c>
      <c r="BI2" s="645" t="s">
        <v>118</v>
      </c>
      <c r="BJ2" s="648" t="s">
        <v>14</v>
      </c>
      <c r="BK2" s="648" t="s">
        <v>167</v>
      </c>
      <c r="BL2" s="648" t="s">
        <v>39</v>
      </c>
      <c r="BM2" s="648" t="s">
        <v>40</v>
      </c>
      <c r="BN2" s="648" t="s">
        <v>41</v>
      </c>
      <c r="BO2" s="648" t="s">
        <v>43</v>
      </c>
      <c r="BP2" s="648" t="s">
        <v>44</v>
      </c>
      <c r="BQ2" s="648" t="s">
        <v>46</v>
      </c>
      <c r="BR2" s="649" t="s">
        <v>47</v>
      </c>
      <c r="BS2" s="649" t="s">
        <v>48</v>
      </c>
      <c r="BT2" s="644" t="s">
        <v>49</v>
      </c>
      <c r="BU2" s="644" t="s">
        <v>50</v>
      </c>
      <c r="BV2" s="649" t="s">
        <v>131</v>
      </c>
      <c r="BW2" s="649" t="s">
        <v>132</v>
      </c>
      <c r="BX2" s="565" t="s">
        <v>172</v>
      </c>
      <c r="BY2" s="565" t="s">
        <v>173</v>
      </c>
      <c r="BZ2" s="650" t="s">
        <v>216</v>
      </c>
      <c r="CA2" s="650" t="s">
        <v>217</v>
      </c>
    </row>
    <row r="3" spans="1:79" ht="90.75" thickBot="1" x14ac:dyDescent="0.3">
      <c r="A3" s="651"/>
      <c r="B3" s="1400"/>
      <c r="C3" s="652" t="s">
        <v>185</v>
      </c>
      <c r="D3" s="652" t="s">
        <v>186</v>
      </c>
      <c r="E3" s="652" t="s">
        <v>187</v>
      </c>
      <c r="F3" s="652" t="s">
        <v>185</v>
      </c>
      <c r="G3" s="652" t="s">
        <v>186</v>
      </c>
      <c r="H3" s="652" t="s">
        <v>187</v>
      </c>
      <c r="I3" s="652" t="s">
        <v>185</v>
      </c>
      <c r="J3" s="652" t="s">
        <v>186</v>
      </c>
      <c r="K3" s="652" t="s">
        <v>187</v>
      </c>
      <c r="L3" s="652" t="s">
        <v>58</v>
      </c>
      <c r="M3" s="652" t="s">
        <v>188</v>
      </c>
      <c r="N3" s="652" t="s">
        <v>218</v>
      </c>
      <c r="O3" s="671" t="s">
        <v>120</v>
      </c>
      <c r="P3" s="671" t="s">
        <v>189</v>
      </c>
      <c r="Q3" s="652" t="s">
        <v>190</v>
      </c>
      <c r="R3" s="652" t="s">
        <v>190</v>
      </c>
      <c r="S3" s="652" t="s">
        <v>190</v>
      </c>
      <c r="T3" s="652" t="s">
        <v>190</v>
      </c>
      <c r="U3" s="652" t="s">
        <v>190</v>
      </c>
      <c r="V3" s="652" t="s">
        <v>57</v>
      </c>
      <c r="W3" s="652" t="s">
        <v>57</v>
      </c>
      <c r="X3" s="652" t="s">
        <v>57</v>
      </c>
      <c r="Y3" s="652" t="s">
        <v>57</v>
      </c>
      <c r="Z3" s="652" t="s">
        <v>57</v>
      </c>
      <c r="AA3" s="652" t="s">
        <v>57</v>
      </c>
      <c r="AB3" s="652" t="s">
        <v>57</v>
      </c>
      <c r="AC3" s="652" t="s">
        <v>57</v>
      </c>
      <c r="AD3" s="671" t="s">
        <v>57</v>
      </c>
      <c r="AE3" s="671" t="s">
        <v>219</v>
      </c>
      <c r="AF3" s="671" t="s">
        <v>220</v>
      </c>
      <c r="AG3" s="671" t="s">
        <v>219</v>
      </c>
      <c r="AH3" s="672" t="s">
        <v>221</v>
      </c>
      <c r="AI3" s="671" t="s">
        <v>57</v>
      </c>
      <c r="AJ3" s="671" t="s">
        <v>57</v>
      </c>
      <c r="AK3" s="671" t="s">
        <v>58</v>
      </c>
      <c r="AL3" s="652" t="s">
        <v>57</v>
      </c>
      <c r="AM3" s="652" t="s">
        <v>54</v>
      </c>
      <c r="AN3" s="652" t="s">
        <v>57</v>
      </c>
      <c r="AO3" s="652" t="s">
        <v>54</v>
      </c>
      <c r="AP3" s="652" t="s">
        <v>57</v>
      </c>
      <c r="AQ3" s="652" t="s">
        <v>54</v>
      </c>
      <c r="AR3" s="652" t="s">
        <v>57</v>
      </c>
      <c r="AS3" s="652" t="s">
        <v>62</v>
      </c>
      <c r="AT3" s="652" t="s">
        <v>62</v>
      </c>
      <c r="AU3" s="652" t="s">
        <v>62</v>
      </c>
      <c r="AV3" s="652" t="s">
        <v>54</v>
      </c>
      <c r="AW3" s="652" t="s">
        <v>57</v>
      </c>
      <c r="AX3" s="652" t="s">
        <v>62</v>
      </c>
      <c r="AY3" s="652" t="s">
        <v>54</v>
      </c>
      <c r="AZ3" s="652" t="s">
        <v>119</v>
      </c>
      <c r="BA3" s="652" t="s">
        <v>62</v>
      </c>
      <c r="BB3" s="652" t="s">
        <v>62</v>
      </c>
      <c r="BC3" s="652" t="s">
        <v>120</v>
      </c>
      <c r="BD3" s="652" t="s">
        <v>54</v>
      </c>
      <c r="BE3" s="652" t="s">
        <v>120</v>
      </c>
      <c r="BF3" s="652" t="s">
        <v>54</v>
      </c>
      <c r="BG3" s="652" t="s">
        <v>120</v>
      </c>
      <c r="BH3" s="652" t="s">
        <v>120</v>
      </c>
      <c r="BI3" s="652" t="s">
        <v>120</v>
      </c>
      <c r="BJ3" s="652" t="s">
        <v>54</v>
      </c>
      <c r="BK3" s="653" t="s">
        <v>168</v>
      </c>
      <c r="BL3" s="652" t="s">
        <v>59</v>
      </c>
      <c r="BM3" s="652" t="s">
        <v>60</v>
      </c>
      <c r="BN3" s="652" t="s">
        <v>61</v>
      </c>
      <c r="BO3" s="652" t="s">
        <v>57</v>
      </c>
      <c r="BP3" s="652" t="s">
        <v>127</v>
      </c>
      <c r="BQ3" s="652" t="s">
        <v>127</v>
      </c>
      <c r="BR3" s="652" t="s">
        <v>120</v>
      </c>
      <c r="BS3" s="652" t="s">
        <v>120</v>
      </c>
      <c r="BT3" s="652" t="s">
        <v>120</v>
      </c>
      <c r="BU3" s="652" t="s">
        <v>120</v>
      </c>
      <c r="BV3" s="652" t="s">
        <v>54</v>
      </c>
      <c r="BW3" s="652" t="s">
        <v>54</v>
      </c>
      <c r="BX3" s="565" t="s">
        <v>120</v>
      </c>
      <c r="BY3" s="565" t="s">
        <v>174</v>
      </c>
      <c r="BZ3" s="650" t="s">
        <v>120</v>
      </c>
      <c r="CA3" s="650" t="s">
        <v>222</v>
      </c>
    </row>
    <row r="4" spans="1:79" ht="31.5" x14ac:dyDescent="0.25">
      <c r="A4" s="45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675">
        <v>0</v>
      </c>
      <c r="O4" s="700" t="s">
        <v>67</v>
      </c>
      <c r="P4" s="700">
        <v>0</v>
      </c>
      <c r="Q4" s="677">
        <f>SUM(T4,X4,AB4,AS4,AX4,BA4)</f>
        <v>8.5061755952380977</v>
      </c>
      <c r="R4" s="438">
        <f>SUM(U4,Y4,AC4,AI4,AT4,BB4)</f>
        <v>6.7671352513227516</v>
      </c>
      <c r="S4" s="438">
        <f>SUM(V4,Z4,AD4,AJ4,AJ4,AU4)</f>
        <v>1.7839340484457675</v>
      </c>
      <c r="T4" s="453">
        <f>S17</f>
        <v>3.7805224867724867</v>
      </c>
      <c r="U4" s="453">
        <f>T4/100*70</f>
        <v>2.646365740740741</v>
      </c>
      <c r="V4" s="453">
        <f>U4/100*25</f>
        <v>0.66159143518518526</v>
      </c>
      <c r="W4" s="453">
        <v>0</v>
      </c>
      <c r="X4" s="454">
        <f>S18</f>
        <v>2.835391865079365</v>
      </c>
      <c r="Y4" s="454">
        <f>X4/100*70</f>
        <v>1.9847743055555556</v>
      </c>
      <c r="Z4" s="454">
        <f>Y4/100*25</f>
        <v>0.49619357638888884</v>
      </c>
      <c r="AA4" s="454">
        <v>0</v>
      </c>
      <c r="AB4" s="455">
        <f>S19</f>
        <v>0.47256531084656084</v>
      </c>
      <c r="AC4" s="668">
        <f>AB4/100*70</f>
        <v>0.33079571759259263</v>
      </c>
      <c r="AD4" s="455">
        <f>AC4/100*25</f>
        <v>8.2698929398148158E-2</v>
      </c>
      <c r="AE4" s="697">
        <v>0</v>
      </c>
      <c r="AF4" s="698">
        <v>0</v>
      </c>
      <c r="AG4" s="698">
        <v>0</v>
      </c>
      <c r="AH4" s="698">
        <v>0</v>
      </c>
      <c r="AI4" s="456">
        <f>S20</f>
        <v>0.94513062169312168</v>
      </c>
      <c r="AJ4" s="456">
        <f>AI4/100*20</f>
        <v>0.18902612433862434</v>
      </c>
      <c r="AK4" s="395">
        <v>0</v>
      </c>
      <c r="AL4" s="669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0.94513062169312168</v>
      </c>
      <c r="AT4" s="457">
        <f>AS4/100*70</f>
        <v>0.66159143518518526</v>
      </c>
      <c r="AU4" s="457">
        <f>AT4/100*25</f>
        <v>0.16539785879629632</v>
      </c>
      <c r="AV4" s="457">
        <v>0</v>
      </c>
      <c r="AW4" s="457">
        <v>0</v>
      </c>
      <c r="AX4" s="458">
        <f>S22</f>
        <v>0.18902612433862434</v>
      </c>
      <c r="AY4" s="469">
        <v>4</v>
      </c>
      <c r="AZ4" s="459"/>
      <c r="BA4" s="460">
        <f>S23</f>
        <v>0.28353918650793652</v>
      </c>
      <c r="BB4" s="458">
        <f>BA4/100*70</f>
        <v>0.19847743055555558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v>1450</v>
      </c>
      <c r="BP4" s="461">
        <v>0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t="s">
        <v>67</v>
      </c>
      <c r="CA4" t="s">
        <v>223</v>
      </c>
    </row>
    <row r="5" spans="1:79" ht="31.5" x14ac:dyDescent="0.25">
      <c r="A5" s="50">
        <v>50</v>
      </c>
      <c r="B5" s="699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676">
        <v>0</v>
      </c>
      <c r="O5" s="700" t="s">
        <v>67</v>
      </c>
      <c r="P5" s="679"/>
      <c r="Q5" s="677">
        <f>SUM(T5,X5,AB5,AS5,AX5,BA5)</f>
        <v>8.8973958333333343</v>
      </c>
      <c r="R5" s="438">
        <f>SUM(U5,Y5,AC5,AI5,AT5,BB5)</f>
        <v>7.0783726851851849</v>
      </c>
      <c r="S5" s="438">
        <f>SUM(V5,Z5,AD5,AJ5,AU5)</f>
        <v>1.66826171875</v>
      </c>
      <c r="T5" s="453">
        <f>X17</f>
        <v>3.9543981481481483</v>
      </c>
      <c r="U5" s="453">
        <f>T5/100*70</f>
        <v>2.7680787037037038</v>
      </c>
      <c r="V5" s="453">
        <f>U5/100*25</f>
        <v>0.69201967592592595</v>
      </c>
      <c r="W5" s="345">
        <v>0</v>
      </c>
      <c r="X5" s="454">
        <f>X18</f>
        <v>2.9657986111111114</v>
      </c>
      <c r="Y5" s="454">
        <f>X5/100*70</f>
        <v>2.0760590277777782</v>
      </c>
      <c r="Z5" s="454">
        <f>Y5/100*25</f>
        <v>0.51901475694444454</v>
      </c>
      <c r="AA5" s="346">
        <v>0</v>
      </c>
      <c r="AB5" s="455">
        <f>X19</f>
        <v>0.49429976851851853</v>
      </c>
      <c r="AC5" s="668">
        <f>AB5/100*70</f>
        <v>0.34600983796296297</v>
      </c>
      <c r="AD5" s="455">
        <f>AC5/100*25</f>
        <v>8.6502459490740743E-2</v>
      </c>
      <c r="AE5" s="698">
        <v>0</v>
      </c>
      <c r="AF5" s="698">
        <v>0</v>
      </c>
      <c r="AG5" s="698">
        <v>0</v>
      </c>
      <c r="AH5" s="698">
        <v>0</v>
      </c>
      <c r="AI5" s="456">
        <f>X20</f>
        <v>0.98859953703703707</v>
      </c>
      <c r="AJ5" s="456">
        <f>AI5/100*20</f>
        <v>0.19771990740740741</v>
      </c>
      <c r="AK5" s="342">
        <v>0</v>
      </c>
      <c r="AL5" s="670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0.98859953703703707</v>
      </c>
      <c r="AT5" s="457">
        <f>AS5/100*70</f>
        <v>0.69201967592592595</v>
      </c>
      <c r="AU5" s="457">
        <f>AT5/100*25</f>
        <v>0.17300491898148149</v>
      </c>
      <c r="AV5" s="349">
        <v>0</v>
      </c>
      <c r="AW5" s="349">
        <v>0</v>
      </c>
      <c r="AX5" s="458">
        <f>X22</f>
        <v>0.19771990740740741</v>
      </c>
      <c r="AY5" s="350">
        <v>1</v>
      </c>
      <c r="AZ5" s="361"/>
      <c r="BA5" s="458">
        <f>X23</f>
        <v>0.29657986111111112</v>
      </c>
      <c r="BB5" s="458">
        <f>BA5/100*70</f>
        <v>0.2076059027777778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362">
        <v>820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t="s">
        <v>67</v>
      </c>
      <c r="CA5" t="s">
        <v>224</v>
      </c>
    </row>
    <row r="6" spans="1:79" x14ac:dyDescent="0.25">
      <c r="A6" s="526"/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674"/>
      <c r="P6" s="674"/>
      <c r="Q6" s="685"/>
      <c r="R6" s="526"/>
      <c r="S6" s="526"/>
      <c r="T6" s="526"/>
      <c r="U6" s="526"/>
      <c r="V6" s="526"/>
      <c r="W6" s="526"/>
      <c r="X6" s="526"/>
      <c r="Y6" s="526"/>
      <c r="Z6" s="526"/>
      <c r="AA6" s="526"/>
      <c r="AB6" s="526"/>
      <c r="AC6" s="526"/>
      <c r="AD6" s="673"/>
      <c r="AE6" s="686"/>
      <c r="AF6" s="686"/>
      <c r="AG6" s="686"/>
      <c r="AH6" s="686"/>
      <c r="AI6" s="673"/>
      <c r="AJ6" s="673"/>
      <c r="AK6" s="673"/>
      <c r="AL6" s="526"/>
      <c r="AM6" s="526"/>
      <c r="AN6" s="526"/>
      <c r="AO6" s="526"/>
      <c r="AP6" s="526"/>
      <c r="AQ6" s="526"/>
      <c r="AR6" s="526"/>
      <c r="AS6" s="526"/>
      <c r="AT6" s="526"/>
      <c r="AU6" s="526"/>
      <c r="AV6" s="526"/>
      <c r="AW6" s="526"/>
      <c r="AX6" s="526"/>
      <c r="AY6" s="526"/>
      <c r="AZ6" s="526"/>
      <c r="BA6" s="526"/>
      <c r="BB6" s="526"/>
      <c r="BC6" s="526"/>
      <c r="BD6" s="526"/>
      <c r="BE6" s="526"/>
      <c r="BF6" s="526"/>
      <c r="BG6" s="526"/>
      <c r="BH6" s="526"/>
      <c r="BI6" s="526"/>
      <c r="BJ6" s="526"/>
      <c r="BK6" s="526"/>
      <c r="BL6" s="526"/>
      <c r="BM6" s="526"/>
      <c r="BN6" s="526"/>
      <c r="BO6" s="526"/>
      <c r="BP6" s="526"/>
      <c r="BQ6" s="526"/>
      <c r="BR6" s="526"/>
      <c r="BS6" s="526"/>
      <c r="BT6" s="526"/>
      <c r="BU6" s="526"/>
      <c r="BV6" s="526"/>
      <c r="BW6" s="526"/>
      <c r="BX6" s="526"/>
      <c r="BY6" s="526"/>
    </row>
    <row r="7" spans="1:79" ht="31.5" x14ac:dyDescent="0.25">
      <c r="A7" s="50">
        <v>60</v>
      </c>
      <c r="B7" s="699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676">
        <v>0</v>
      </c>
      <c r="O7" s="700" t="s">
        <v>65</v>
      </c>
      <c r="P7" s="700">
        <v>0</v>
      </c>
      <c r="Q7" s="678">
        <f>SUM(T7,X7,AB7,AS7,AX7,BA7)</f>
        <v>263.69144345238095</v>
      </c>
      <c r="R7" s="394">
        <f>SUM(U7,Y7,AC7,AI7,AT7,BB7)</f>
        <v>209.78119279100528</v>
      </c>
      <c r="S7" s="394">
        <f>SUM(V7,Z7,AD7,AJ7,AU7)</f>
        <v>49.442145647321432</v>
      </c>
      <c r="T7" s="527">
        <f>31*T4</f>
        <v>117.19619708994709</v>
      </c>
      <c r="U7" s="527">
        <f>31*U4</f>
        <v>82.037337962962965</v>
      </c>
      <c r="V7" s="527">
        <f t="shared" ref="U7:W8" si="0">31*V4</f>
        <v>20.509334490740741</v>
      </c>
      <c r="W7" s="527">
        <f t="shared" si="0"/>
        <v>0</v>
      </c>
      <c r="X7" s="528">
        <f>31*X4</f>
        <v>87.897147817460322</v>
      </c>
      <c r="Y7" s="528">
        <f t="shared" ref="Y7:AA8" si="1">31*Y4</f>
        <v>61.528003472222224</v>
      </c>
      <c r="Z7" s="528">
        <f t="shared" si="1"/>
        <v>15.382000868055554</v>
      </c>
      <c r="AA7" s="528">
        <f t="shared" si="1"/>
        <v>0</v>
      </c>
      <c r="AB7" s="680">
        <f>31*AB4</f>
        <v>14.649524636243386</v>
      </c>
      <c r="AC7" s="680">
        <f t="shared" ref="AC7:AD8" si="2">31*AC4</f>
        <v>10.254667245370371</v>
      </c>
      <c r="AD7" s="680">
        <f t="shared" si="2"/>
        <v>2.5636668113425927</v>
      </c>
      <c r="AE7" s="680">
        <v>0</v>
      </c>
      <c r="AF7" s="680">
        <v>0</v>
      </c>
      <c r="AG7" s="680">
        <v>0</v>
      </c>
      <c r="AH7" s="680">
        <v>0</v>
      </c>
      <c r="AI7" s="681">
        <f>AI4*31</f>
        <v>29.299049272486773</v>
      </c>
      <c r="AJ7" s="681">
        <f>AJ4*31</f>
        <v>5.8598098544973549</v>
      </c>
      <c r="AK7" s="395">
        <v>0</v>
      </c>
      <c r="AL7" s="669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AS4*31</f>
        <v>29.299049272486773</v>
      </c>
      <c r="AT7" s="682">
        <f t="shared" ref="AT7:AW8" si="3">AT4*31</f>
        <v>20.509334490740741</v>
      </c>
      <c r="AU7" s="682">
        <f t="shared" si="3"/>
        <v>5.1273336226851853</v>
      </c>
      <c r="AV7" s="682">
        <f t="shared" si="3"/>
        <v>0</v>
      </c>
      <c r="AW7" s="682">
        <f t="shared" si="3"/>
        <v>0</v>
      </c>
      <c r="AX7" s="469">
        <f>AX4*31</f>
        <v>5.8598098544973549</v>
      </c>
      <c r="AY7" s="469">
        <v>4</v>
      </c>
      <c r="AZ7" s="683"/>
      <c r="BA7" s="684">
        <f>BA4*31</f>
        <v>8.7897147817460315</v>
      </c>
      <c r="BB7" s="684">
        <f>BB4*31</f>
        <v>6.1528003472222235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t="s">
        <v>67</v>
      </c>
      <c r="CA7" t="s">
        <v>223</v>
      </c>
    </row>
    <row r="8" spans="1:79" ht="31.5" x14ac:dyDescent="0.25">
      <c r="A8" s="50">
        <v>50</v>
      </c>
      <c r="B8" s="699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676">
        <v>0</v>
      </c>
      <c r="O8" s="700" t="s">
        <v>67</v>
      </c>
      <c r="P8" s="679">
        <v>17620</v>
      </c>
      <c r="Q8" s="678">
        <f>SUM(T8,X8,AB8,AS8,AX8,BA8)</f>
        <v>275.81927083333335</v>
      </c>
      <c r="R8" s="394">
        <f>SUM(U8,Y8,AC8,AI8,AT8,BB8)</f>
        <v>219.42955324074077</v>
      </c>
      <c r="S8" s="394">
        <f>SUM(V8,Z8,AD8,AJ8,AU8)</f>
        <v>51.716113281250003</v>
      </c>
      <c r="T8" s="527">
        <f>31*T5</f>
        <v>122.5863425925926</v>
      </c>
      <c r="U8" s="527">
        <f t="shared" si="0"/>
        <v>85.810439814814814</v>
      </c>
      <c r="V8" s="527">
        <f t="shared" si="0"/>
        <v>21.452609953703703</v>
      </c>
      <c r="W8" s="527">
        <f t="shared" si="0"/>
        <v>0</v>
      </c>
      <c r="X8" s="528">
        <f>31*X5</f>
        <v>91.939756944444454</v>
      </c>
      <c r="Y8" s="528">
        <f t="shared" si="1"/>
        <v>64.357829861111128</v>
      </c>
      <c r="Z8" s="528">
        <f t="shared" si="1"/>
        <v>16.089457465277782</v>
      </c>
      <c r="AA8" s="528">
        <f t="shared" si="1"/>
        <v>0</v>
      </c>
      <c r="AB8" s="680">
        <f>31*AB5</f>
        <v>15.323292824074075</v>
      </c>
      <c r="AC8" s="680">
        <f t="shared" si="2"/>
        <v>10.726304976851852</v>
      </c>
      <c r="AD8" s="680">
        <f t="shared" si="2"/>
        <v>2.6815762442129629</v>
      </c>
      <c r="AE8" s="680">
        <v>0</v>
      </c>
      <c r="AF8" s="680">
        <v>0</v>
      </c>
      <c r="AG8" s="680">
        <v>0</v>
      </c>
      <c r="AH8" s="680">
        <v>0</v>
      </c>
      <c r="AI8" s="681">
        <f>AI5*31</f>
        <v>30.64658564814815</v>
      </c>
      <c r="AJ8" s="681">
        <f>AJ5*31</f>
        <v>6.12931712962963</v>
      </c>
      <c r="AK8" s="395">
        <v>0</v>
      </c>
      <c r="AL8" s="669">
        <v>0</v>
      </c>
      <c r="AM8" s="395">
        <v>1</v>
      </c>
      <c r="AN8" s="395">
        <v>1.6</v>
      </c>
      <c r="AO8" s="395">
        <v>0</v>
      </c>
      <c r="AP8" s="395">
        <v>0</v>
      </c>
      <c r="AQ8" s="395">
        <v>0</v>
      </c>
      <c r="AR8" s="395">
        <v>0</v>
      </c>
      <c r="AS8" s="682">
        <f>AS5*31</f>
        <v>30.64658564814815</v>
      </c>
      <c r="AT8" s="682">
        <f t="shared" si="3"/>
        <v>21.452609953703703</v>
      </c>
      <c r="AU8" s="682">
        <f t="shared" si="3"/>
        <v>5.3631524884259258</v>
      </c>
      <c r="AV8" s="682">
        <f t="shared" si="3"/>
        <v>0</v>
      </c>
      <c r="AW8" s="682">
        <f t="shared" si="3"/>
        <v>0</v>
      </c>
      <c r="AX8" s="469">
        <f>AX5*31</f>
        <v>6.12931712962963</v>
      </c>
      <c r="AY8" s="469">
        <v>1</v>
      </c>
      <c r="AZ8" s="683"/>
      <c r="BA8" s="684">
        <f>BA5*31</f>
        <v>9.1939756944444451</v>
      </c>
      <c r="BB8" s="684">
        <f>BB5*31</f>
        <v>6.4357829861111115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t="s">
        <v>67</v>
      </c>
      <c r="CA8" t="s">
        <v>224</v>
      </c>
    </row>
    <row r="9" spans="1:79" x14ac:dyDescent="0.25">
      <c r="R9" s="393">
        <f>R8+R7</f>
        <v>429.21074603174605</v>
      </c>
      <c r="S9" s="393">
        <f>S8+S7</f>
        <v>101.15825892857143</v>
      </c>
      <c r="AE9" s="393"/>
      <c r="AF9" s="393"/>
      <c r="AG9" s="393"/>
      <c r="AH9" s="393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</row>
    <row r="14" spans="1:79" x14ac:dyDescent="0.25">
      <c r="Q14" s="1127" t="s">
        <v>192</v>
      </c>
      <c r="R14" s="1128"/>
      <c r="S14" s="701">
        <v>31179</v>
      </c>
      <c r="T14" s="701"/>
      <c r="V14" s="1127" t="s">
        <v>192</v>
      </c>
      <c r="W14" s="1128"/>
      <c r="X14" s="701">
        <v>32613</v>
      </c>
      <c r="Y14" s="701"/>
      <c r="AA14" s="1134" t="s">
        <v>199</v>
      </c>
      <c r="AB14" s="1135"/>
      <c r="AD14" s="1134" t="s">
        <v>199</v>
      </c>
      <c r="AE14" s="1135"/>
    </row>
    <row r="15" spans="1:79" x14ac:dyDescent="0.25">
      <c r="Q15" s="1127" t="s">
        <v>193</v>
      </c>
      <c r="R15" s="1128"/>
      <c r="S15" s="701">
        <v>275</v>
      </c>
      <c r="T15" s="701" t="s">
        <v>194</v>
      </c>
      <c r="V15" s="1127" t="s">
        <v>193</v>
      </c>
      <c r="W15" s="1128"/>
      <c r="X15" s="701">
        <v>275</v>
      </c>
      <c r="Y15" s="701" t="s">
        <v>194</v>
      </c>
      <c r="AA15" s="249"/>
      <c r="AB15" s="634">
        <f>108*S14/1000000</f>
        <v>3.3673320000000002</v>
      </c>
      <c r="AD15" s="249"/>
      <c r="AE15" s="634">
        <f>108*X14/1000000</f>
        <v>3.5222039999999999</v>
      </c>
    </row>
    <row r="16" spans="1:79" x14ac:dyDescent="0.25">
      <c r="N16">
        <v>210</v>
      </c>
      <c r="Q16" s="1127" t="s">
        <v>195</v>
      </c>
      <c r="R16" s="1128"/>
      <c r="S16" s="596">
        <f>S14*S15/907200</f>
        <v>9.4513062169312168</v>
      </c>
      <c r="T16" s="701"/>
      <c r="V16" s="1127" t="s">
        <v>195</v>
      </c>
      <c r="W16" s="1128"/>
      <c r="X16" s="596">
        <f>X14*X15/907200</f>
        <v>9.8859953703703702</v>
      </c>
      <c r="Y16" s="701"/>
      <c r="AA16" s="249"/>
      <c r="AB16" s="634">
        <f>AB15*31</f>
        <v>104.387292</v>
      </c>
      <c r="AD16" s="249"/>
      <c r="AE16" s="634">
        <f>AE15*31</f>
        <v>109.18832399999999</v>
      </c>
    </row>
    <row r="17" spans="14:36" x14ac:dyDescent="0.25">
      <c r="N17">
        <v>158</v>
      </c>
      <c r="Q17" s="1132" t="s">
        <v>9</v>
      </c>
      <c r="R17" s="1133"/>
      <c r="S17" s="592">
        <f>S16/100*40</f>
        <v>3.7805224867724867</v>
      </c>
      <c r="T17" s="701">
        <v>40</v>
      </c>
      <c r="V17" s="1132" t="s">
        <v>9</v>
      </c>
      <c r="W17" s="1133"/>
      <c r="X17" s="592">
        <f>X16/100*40</f>
        <v>3.9543981481481483</v>
      </c>
      <c r="Y17" s="701">
        <v>40</v>
      </c>
      <c r="AA17" s="249"/>
      <c r="AB17" s="249"/>
      <c r="AD17" s="249"/>
      <c r="AE17" s="249"/>
      <c r="AJ17">
        <v>223</v>
      </c>
    </row>
    <row r="18" spans="14:36" x14ac:dyDescent="0.25">
      <c r="N18">
        <f>N16-N17</f>
        <v>52</v>
      </c>
      <c r="Q18" s="1132" t="s">
        <v>10</v>
      </c>
      <c r="R18" s="1133"/>
      <c r="S18" s="592">
        <f>S16/100*30</f>
        <v>2.835391865079365</v>
      </c>
      <c r="T18" s="701">
        <v>30</v>
      </c>
      <c r="V18" s="1132" t="s">
        <v>10</v>
      </c>
      <c r="W18" s="1133"/>
      <c r="X18" s="592">
        <f>X16/100*30</f>
        <v>2.9657986111111114</v>
      </c>
      <c r="Y18" s="701">
        <v>30</v>
      </c>
      <c r="AA18" s="1137" t="s">
        <v>225</v>
      </c>
      <c r="AB18" s="1138"/>
      <c r="AD18" s="1137" t="s">
        <v>225</v>
      </c>
      <c r="AE18" s="1138"/>
      <c r="AJ18">
        <v>166</v>
      </c>
    </row>
    <row r="19" spans="14:36" x14ac:dyDescent="0.25">
      <c r="Q19" s="1132" t="s">
        <v>11</v>
      </c>
      <c r="R19" s="1133"/>
      <c r="S19" s="592">
        <f>S16/100*5</f>
        <v>0.47256531084656084</v>
      </c>
      <c r="T19" s="701">
        <v>5</v>
      </c>
      <c r="V19" s="1132" t="s">
        <v>11</v>
      </c>
      <c r="W19" s="1133"/>
      <c r="X19" s="592">
        <f>X16/100*5</f>
        <v>0.49429976851851853</v>
      </c>
      <c r="Y19" s="701">
        <v>5</v>
      </c>
      <c r="AA19" s="249"/>
      <c r="AB19" s="634">
        <f>120*S14/250</f>
        <v>14965.92</v>
      </c>
      <c r="AD19" s="249"/>
      <c r="AE19" s="634">
        <f>120*X14/250</f>
        <v>15654.24</v>
      </c>
      <c r="AJ19">
        <f>AJ17-AJ18</f>
        <v>57</v>
      </c>
    </row>
    <row r="20" spans="14:36" x14ac:dyDescent="0.25">
      <c r="Q20" s="1132" t="s">
        <v>12</v>
      </c>
      <c r="R20" s="1133"/>
      <c r="S20" s="592">
        <f>S16/100*10</f>
        <v>0.94513062169312168</v>
      </c>
      <c r="T20" s="701">
        <v>10</v>
      </c>
      <c r="V20" s="1132" t="s">
        <v>12</v>
      </c>
      <c r="W20" s="1133"/>
      <c r="X20" s="592">
        <f>X16/100*10</f>
        <v>0.98859953703703707</v>
      </c>
      <c r="Y20" s="701">
        <v>10</v>
      </c>
      <c r="AA20" s="249"/>
      <c r="AB20" s="634">
        <f>AB19/1000</f>
        <v>14.965920000000001</v>
      </c>
      <c r="AD20" s="249"/>
      <c r="AE20" s="634">
        <f>AE19/1000</f>
        <v>15.65424</v>
      </c>
      <c r="AJ20">
        <v>20</v>
      </c>
    </row>
    <row r="21" spans="14:36" x14ac:dyDescent="0.25">
      <c r="Q21" s="1132" t="s">
        <v>99</v>
      </c>
      <c r="R21" s="1133"/>
      <c r="S21" s="592">
        <f>S16/100*10</f>
        <v>0.94513062169312168</v>
      </c>
      <c r="T21" s="701">
        <v>10</v>
      </c>
      <c r="V21" s="1132" t="s">
        <v>99</v>
      </c>
      <c r="W21" s="1133"/>
      <c r="X21" s="592">
        <f>X16/100*10</f>
        <v>0.98859953703703707</v>
      </c>
      <c r="Y21" s="701">
        <v>10</v>
      </c>
      <c r="AA21" s="249"/>
      <c r="AB21" s="634">
        <f>AB20*31</f>
        <v>463.94352000000003</v>
      </c>
      <c r="AD21" s="249"/>
      <c r="AE21" s="634">
        <f>AE20*31</f>
        <v>485.28143999999998</v>
      </c>
      <c r="AJ21">
        <f>AJ19-AJ20</f>
        <v>37</v>
      </c>
    </row>
    <row r="22" spans="14:36" x14ac:dyDescent="0.25">
      <c r="Q22" s="1132" t="s">
        <v>100</v>
      </c>
      <c r="R22" s="1133"/>
      <c r="S22" s="592">
        <f>S16/100*2</f>
        <v>0.18902612433862434</v>
      </c>
      <c r="T22" s="701">
        <v>2</v>
      </c>
      <c r="V22" s="1132" t="s">
        <v>100</v>
      </c>
      <c r="W22" s="1133"/>
      <c r="X22" s="592">
        <f>X16/100*2</f>
        <v>0.19771990740740741</v>
      </c>
      <c r="Y22" s="701">
        <v>2</v>
      </c>
      <c r="AA22" s="249"/>
      <c r="AB22" s="634">
        <f>AB21/100*2</f>
        <v>9.2788704000000006</v>
      </c>
      <c r="AD22" s="249"/>
      <c r="AE22" s="634">
        <f>AE21/100*2</f>
        <v>9.7056287999999995</v>
      </c>
    </row>
    <row r="23" spans="14:36" x14ac:dyDescent="0.25">
      <c r="Q23" s="1132" t="s">
        <v>101</v>
      </c>
      <c r="R23" s="1133"/>
      <c r="S23" s="592">
        <f>S16/100*3</f>
        <v>0.28353918650793652</v>
      </c>
      <c r="T23" s="701">
        <v>3</v>
      </c>
      <c r="V23" s="1132" t="s">
        <v>101</v>
      </c>
      <c r="W23" s="1133"/>
      <c r="X23" s="592">
        <f>X16/100*3</f>
        <v>0.29657986111111112</v>
      </c>
      <c r="Y23" s="701">
        <v>3</v>
      </c>
    </row>
    <row r="24" spans="14:36" x14ac:dyDescent="0.25">
      <c r="Q24" s="1140" t="s">
        <v>89</v>
      </c>
      <c r="R24" s="1141"/>
      <c r="S24" s="596">
        <f>SUM(S17:S23)</f>
        <v>9.4513062169312185</v>
      </c>
      <c r="T24" s="701">
        <f>SUM(T17:T23)</f>
        <v>100</v>
      </c>
      <c r="V24" s="1140" t="s">
        <v>89</v>
      </c>
      <c r="W24" s="1141"/>
      <c r="X24" s="596">
        <f>SUM(X17:X23)</f>
        <v>9.885995370370372</v>
      </c>
      <c r="Y24" s="701">
        <f>SUM(Y17:Y23)</f>
        <v>100</v>
      </c>
    </row>
    <row r="28" spans="14:36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1149"/>
      <c r="AF28" s="1149"/>
    </row>
    <row r="29" spans="14:36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</row>
    <row r="30" spans="14:36" x14ac:dyDescent="0.25">
      <c r="R30" s="1147" t="s">
        <v>90</v>
      </c>
      <c r="S30" s="1147"/>
      <c r="T30" s="1152">
        <v>52</v>
      </c>
      <c r="U30" s="1152"/>
      <c r="V30" s="1152">
        <v>5</v>
      </c>
      <c r="W30" s="1152"/>
      <c r="AA30" s="1147" t="s">
        <v>90</v>
      </c>
      <c r="AB30" s="1147"/>
      <c r="AC30" s="1152">
        <v>56</v>
      </c>
      <c r="AD30" s="1152"/>
      <c r="AE30" s="1152">
        <v>8</v>
      </c>
      <c r="AF30" s="1152"/>
    </row>
    <row r="31" spans="14:36" x14ac:dyDescent="0.25">
      <c r="R31" s="1147" t="s">
        <v>86</v>
      </c>
      <c r="S31" s="1147"/>
      <c r="T31" s="1148">
        <f>U7</f>
        <v>82.037337962962965</v>
      </c>
      <c r="U31" s="1148"/>
      <c r="V31" s="1148">
        <f>V7</f>
        <v>20.509334490740741</v>
      </c>
      <c r="W31" s="1148"/>
      <c r="X31" s="393"/>
      <c r="AA31" s="1147" t="s">
        <v>86</v>
      </c>
      <c r="AB31" s="1147"/>
      <c r="AC31" s="1148">
        <f>U8</f>
        <v>85.810439814814814</v>
      </c>
      <c r="AD31" s="1148"/>
      <c r="AE31" s="1148">
        <f>V8</f>
        <v>21.452609953703703</v>
      </c>
      <c r="AF31" s="1148"/>
    </row>
    <row r="32" spans="14:36" x14ac:dyDescent="0.25">
      <c r="R32" s="1147" t="s">
        <v>87</v>
      </c>
      <c r="S32" s="1147"/>
      <c r="T32" s="1148">
        <f>Y7</f>
        <v>61.528003472222224</v>
      </c>
      <c r="U32" s="1148"/>
      <c r="V32" s="1148">
        <f>Z7</f>
        <v>15.382000868055554</v>
      </c>
      <c r="W32" s="1148"/>
      <c r="X32" s="393"/>
      <c r="AA32" s="1147" t="s">
        <v>87</v>
      </c>
      <c r="AB32" s="1147"/>
      <c r="AC32" s="1148">
        <f>Y8</f>
        <v>64.357829861111128</v>
      </c>
      <c r="AD32" s="1148"/>
      <c r="AE32" s="1148">
        <f>Z8</f>
        <v>16.089457465277782</v>
      </c>
      <c r="AF32" s="1148"/>
    </row>
    <row r="33" spans="18:32" x14ac:dyDescent="0.25">
      <c r="R33" s="1147" t="s">
        <v>201</v>
      </c>
      <c r="S33" s="1147"/>
      <c r="T33" s="1152">
        <v>10</v>
      </c>
      <c r="U33" s="1152"/>
      <c r="V33" s="1152">
        <v>8</v>
      </c>
      <c r="W33" s="1152"/>
      <c r="AA33" s="1147" t="s">
        <v>201</v>
      </c>
      <c r="AB33" s="1147"/>
      <c r="AC33" s="1152">
        <v>9</v>
      </c>
      <c r="AD33" s="1152"/>
      <c r="AE33" s="1152">
        <v>6</v>
      </c>
      <c r="AF33" s="1152"/>
    </row>
    <row r="34" spans="18:32" x14ac:dyDescent="0.25">
      <c r="R34" s="1147" t="s">
        <v>202</v>
      </c>
      <c r="S34" s="1147"/>
      <c r="T34" s="1152">
        <v>4</v>
      </c>
      <c r="U34" s="1152"/>
      <c r="V34" s="1152">
        <v>0</v>
      </c>
      <c r="W34" s="1152"/>
      <c r="AA34" s="1147" t="s">
        <v>202</v>
      </c>
      <c r="AB34" s="1147"/>
      <c r="AC34" s="1152">
        <v>4</v>
      </c>
      <c r="AD34" s="1152"/>
      <c r="AE34" s="1152">
        <v>0</v>
      </c>
      <c r="AF34" s="1152"/>
    </row>
    <row r="35" spans="18:32" x14ac:dyDescent="0.25">
      <c r="R35" s="1159"/>
      <c r="S35" s="1159"/>
      <c r="T35" s="1160">
        <f t="shared" ref="T35" si="4">SUM(T30:T34)</f>
        <v>209.56534143518519</v>
      </c>
      <c r="U35" s="1160"/>
      <c r="V35" s="1160">
        <f>SUM(V30:W34)</f>
        <v>48.891335358796297</v>
      </c>
      <c r="W35" s="1160"/>
      <c r="X35" s="393"/>
      <c r="AA35" s="1159"/>
      <c r="AB35" s="1159"/>
      <c r="AC35" s="1160">
        <f t="shared" ref="AC35" si="5">SUM(AC30:AC34)</f>
        <v>219.16826967592593</v>
      </c>
      <c r="AD35" s="1160"/>
      <c r="AE35" s="1160">
        <f>SUM(AE30:AF34)</f>
        <v>51.542067418981489</v>
      </c>
      <c r="AF35" s="1160"/>
    </row>
    <row r="36" spans="18:32" x14ac:dyDescent="0.25">
      <c r="X36" s="393"/>
    </row>
    <row r="37" spans="18:32" x14ac:dyDescent="0.25">
      <c r="X37" s="393"/>
    </row>
    <row r="38" spans="18:32" x14ac:dyDescent="0.25">
      <c r="R38" s="1159"/>
      <c r="S38" s="1159"/>
      <c r="T38" s="1160">
        <f>I8</f>
        <v>1</v>
      </c>
      <c r="U38" s="1160"/>
      <c r="V38" s="1160">
        <f>J8</f>
        <v>0</v>
      </c>
      <c r="W38" s="1160"/>
      <c r="AA38" s="1159"/>
      <c r="AB38" s="1159"/>
      <c r="AC38" s="1160">
        <f>R8</f>
        <v>219.42955324074077</v>
      </c>
      <c r="AD38" s="1160"/>
      <c r="AE38" s="1160">
        <f>S8</f>
        <v>51.716113281250003</v>
      </c>
      <c r="AF38" s="1160"/>
    </row>
    <row r="39" spans="18:32" x14ac:dyDescent="0.25">
      <c r="R39" s="1159"/>
      <c r="S39" s="1159"/>
      <c r="T39" s="1160">
        <f>T38-T35</f>
        <v>-208.56534143518519</v>
      </c>
      <c r="U39" s="1160"/>
      <c r="V39" s="1160">
        <f>V38-V35</f>
        <v>-48.891335358796297</v>
      </c>
      <c r="W39" s="1160"/>
      <c r="AA39" s="1159"/>
      <c r="AB39" s="1159"/>
      <c r="AC39" s="1160">
        <f>AC38-AC35</f>
        <v>0.26128356481484616</v>
      </c>
      <c r="AD39" s="1160"/>
      <c r="AE39" s="1160">
        <f>AE38-AE35</f>
        <v>0.17404586226851393</v>
      </c>
      <c r="AF39" s="1160"/>
    </row>
  </sheetData>
  <mergeCells count="110"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Q13:T13"/>
    <mergeCell ref="V13:Y13"/>
    <mergeCell ref="AA13:AB13"/>
    <mergeCell ref="AD13:AE13"/>
    <mergeCell ref="Q14:R14"/>
    <mergeCell ref="V14:W14"/>
    <mergeCell ref="AA14:AB14"/>
    <mergeCell ref="AD14:AE14"/>
    <mergeCell ref="BJ1:BQ1"/>
    <mergeCell ref="AD18:AE18"/>
    <mergeCell ref="Q19:R19"/>
    <mergeCell ref="V19:W19"/>
    <mergeCell ref="Q15:R15"/>
    <mergeCell ref="V15:W15"/>
    <mergeCell ref="Q16:R16"/>
    <mergeCell ref="V16:W16"/>
    <mergeCell ref="Q17:R17"/>
    <mergeCell ref="V17:W17"/>
    <mergeCell ref="Q20:R20"/>
    <mergeCell ref="V20:W20"/>
    <mergeCell ref="Q21:R21"/>
    <mergeCell ref="V21:W21"/>
    <mergeCell ref="Q22:R22"/>
    <mergeCell ref="V22:W22"/>
    <mergeCell ref="Q18:R18"/>
    <mergeCell ref="V18:W18"/>
    <mergeCell ref="AA18:AB18"/>
    <mergeCell ref="R29:S29"/>
    <mergeCell ref="T29:U29"/>
    <mergeCell ref="V29:W29"/>
    <mergeCell ref="AA29:AB29"/>
    <mergeCell ref="AC29:AD29"/>
    <mergeCell ref="AE29:AF29"/>
    <mergeCell ref="Q23:R23"/>
    <mergeCell ref="V23:W23"/>
    <mergeCell ref="Q24:R24"/>
    <mergeCell ref="V24:W24"/>
    <mergeCell ref="R28:W28"/>
    <mergeCell ref="AA28:AF28"/>
    <mergeCell ref="R31:S31"/>
    <mergeCell ref="T31:U31"/>
    <mergeCell ref="V31:W31"/>
    <mergeCell ref="AA31:AB31"/>
    <mergeCell ref="AC31:AD31"/>
    <mergeCell ref="AE31:AF31"/>
    <mergeCell ref="R30:S30"/>
    <mergeCell ref="T30:U30"/>
    <mergeCell ref="V30:W30"/>
    <mergeCell ref="AA30:AB30"/>
    <mergeCell ref="AC30:AD30"/>
    <mergeCell ref="AE30:AF30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9:S39"/>
    <mergeCell ref="T39:U39"/>
    <mergeCell ref="V39:W39"/>
    <mergeCell ref="AA39:AB39"/>
    <mergeCell ref="AC39:AD39"/>
    <mergeCell ref="AE39:AF39"/>
    <mergeCell ref="R38:S38"/>
    <mergeCell ref="T38:U38"/>
    <mergeCell ref="V38:W38"/>
    <mergeCell ref="AA38:AB38"/>
    <mergeCell ref="AC38:AD38"/>
    <mergeCell ref="AE38:AF38"/>
  </mergeCells>
  <pageMargins left="0.7" right="0.7" top="0.75" bottom="0.75" header="0.3" footer="0.3"/>
  <pageSetup paperSize="9"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9"/>
  <sheetViews>
    <sheetView topLeftCell="P4" workbookViewId="0">
      <selection activeCell="R9" sqref="R9:S9"/>
    </sheetView>
  </sheetViews>
  <sheetFormatPr defaultRowHeight="15" x14ac:dyDescent="0.25"/>
  <cols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1" width="11.5703125" bestFit="1" customWidth="1"/>
    <col min="64" max="64" width="12" customWidth="1"/>
  </cols>
  <sheetData>
    <row r="1" spans="1:79" ht="30.75" customHeight="1" thickBot="1" x14ac:dyDescent="0.3">
      <c r="A1" s="1396" t="s">
        <v>0</v>
      </c>
      <c r="B1" s="1398" t="s">
        <v>1</v>
      </c>
      <c r="C1" s="1401" t="s">
        <v>2</v>
      </c>
      <c r="D1" s="1402"/>
      <c r="E1" s="1403"/>
      <c r="F1" s="1401" t="s">
        <v>3</v>
      </c>
      <c r="G1" s="1402"/>
      <c r="H1" s="1403"/>
      <c r="I1" s="1401" t="s">
        <v>4</v>
      </c>
      <c r="J1" s="1402"/>
      <c r="K1" s="1403"/>
      <c r="L1" s="1407" t="s">
        <v>5</v>
      </c>
      <c r="M1" s="1407" t="s">
        <v>6</v>
      </c>
      <c r="N1" s="635"/>
      <c r="O1" s="635"/>
      <c r="P1" s="1407" t="s">
        <v>7</v>
      </c>
      <c r="Q1" s="1409" t="s">
        <v>8</v>
      </c>
      <c r="R1" s="1410"/>
      <c r="S1" s="1411"/>
      <c r="T1" s="1412" t="s">
        <v>9</v>
      </c>
      <c r="U1" s="1413"/>
      <c r="V1" s="1413"/>
      <c r="W1" s="1414"/>
      <c r="X1" s="1415" t="s">
        <v>10</v>
      </c>
      <c r="Y1" s="1416"/>
      <c r="Z1" s="1416"/>
      <c r="AA1" s="1417"/>
      <c r="AB1" s="1393" t="s">
        <v>11</v>
      </c>
      <c r="AC1" s="1394"/>
      <c r="AD1" s="1395"/>
      <c r="AE1" s="1381" t="s">
        <v>208</v>
      </c>
      <c r="AF1" s="1382"/>
      <c r="AG1" s="1382"/>
      <c r="AH1" s="1383"/>
      <c r="AI1" s="1384" t="s">
        <v>12</v>
      </c>
      <c r="AJ1" s="1385"/>
      <c r="AK1" s="1363" t="s">
        <v>179</v>
      </c>
      <c r="AL1" s="1364"/>
      <c r="AM1" s="1364"/>
      <c r="AN1" s="1364"/>
      <c r="AO1" s="1364"/>
      <c r="AP1" s="1364"/>
      <c r="AQ1" s="1364"/>
      <c r="AR1" s="1365"/>
      <c r="AS1" s="1228" t="s">
        <v>99</v>
      </c>
      <c r="AT1" s="1229"/>
      <c r="AU1" s="1229"/>
      <c r="AV1" s="1229"/>
      <c r="AW1" s="1230"/>
      <c r="AX1" s="1231" t="s">
        <v>100</v>
      </c>
      <c r="AY1" s="1232"/>
      <c r="AZ1" s="1233"/>
      <c r="BA1" s="1231" t="s">
        <v>101</v>
      </c>
      <c r="BB1" s="1232"/>
      <c r="BC1" s="1232"/>
      <c r="BD1" s="1232"/>
      <c r="BE1" s="1232"/>
      <c r="BF1" s="1232"/>
      <c r="BG1" s="1232"/>
      <c r="BH1" s="1232"/>
      <c r="BI1" s="1233"/>
      <c r="BJ1" s="1386" t="s">
        <v>14</v>
      </c>
      <c r="BK1" s="1387"/>
      <c r="BL1" s="1387"/>
      <c r="BM1" s="1387"/>
      <c r="BN1" s="1387"/>
      <c r="BO1" s="1387"/>
      <c r="BP1" s="1387"/>
      <c r="BQ1" s="1388"/>
      <c r="BR1" s="1389" t="s">
        <v>15</v>
      </c>
      <c r="BS1" s="1390"/>
      <c r="BT1" s="1228" t="s">
        <v>16</v>
      </c>
      <c r="BU1" s="1230"/>
      <c r="BV1" s="1389" t="s">
        <v>130</v>
      </c>
      <c r="BW1" s="1390"/>
      <c r="BX1" s="1391" t="s">
        <v>171</v>
      </c>
      <c r="BY1" s="1392"/>
      <c r="BZ1" s="1379" t="s">
        <v>209</v>
      </c>
      <c r="CA1" s="1380"/>
    </row>
    <row r="2" spans="1:79" ht="225.75" thickBot="1" x14ac:dyDescent="0.3">
      <c r="A2" s="1397"/>
      <c r="B2" s="1399"/>
      <c r="C2" s="1404"/>
      <c r="D2" s="1405"/>
      <c r="E2" s="1406"/>
      <c r="F2" s="1404"/>
      <c r="G2" s="1405"/>
      <c r="H2" s="1406"/>
      <c r="I2" s="1404"/>
      <c r="J2" s="1405"/>
      <c r="K2" s="1406"/>
      <c r="L2" s="1408"/>
      <c r="M2" s="1408"/>
      <c r="N2" s="636" t="s">
        <v>210</v>
      </c>
      <c r="O2" s="636" t="s">
        <v>211</v>
      </c>
      <c r="P2" s="1408"/>
      <c r="Q2" s="637" t="s">
        <v>17</v>
      </c>
      <c r="R2" s="637" t="s">
        <v>18</v>
      </c>
      <c r="S2" s="637" t="s">
        <v>19</v>
      </c>
      <c r="T2" s="638" t="s">
        <v>20</v>
      </c>
      <c r="U2" s="638" t="s">
        <v>21</v>
      </c>
      <c r="V2" s="638" t="s">
        <v>22</v>
      </c>
      <c r="W2" s="638" t="s">
        <v>23</v>
      </c>
      <c r="X2" s="639" t="s">
        <v>24</v>
      </c>
      <c r="Y2" s="639" t="s">
        <v>25</v>
      </c>
      <c r="Z2" s="639" t="s">
        <v>26</v>
      </c>
      <c r="AA2" s="639" t="s">
        <v>27</v>
      </c>
      <c r="AB2" s="640" t="s">
        <v>28</v>
      </c>
      <c r="AC2" s="640" t="s">
        <v>29</v>
      </c>
      <c r="AD2" s="640" t="s">
        <v>30</v>
      </c>
      <c r="AE2" s="641" t="s">
        <v>212</v>
      </c>
      <c r="AF2" s="641" t="s">
        <v>213</v>
      </c>
      <c r="AG2" s="641" t="s">
        <v>214</v>
      </c>
      <c r="AH2" s="641" t="s">
        <v>215</v>
      </c>
      <c r="AI2" s="642" t="s">
        <v>31</v>
      </c>
      <c r="AJ2" s="642" t="s">
        <v>32</v>
      </c>
      <c r="AK2" s="552" t="s">
        <v>180</v>
      </c>
      <c r="AL2" s="552" t="s">
        <v>36</v>
      </c>
      <c r="AM2" s="552" t="s">
        <v>181</v>
      </c>
      <c r="AN2" s="552" t="s">
        <v>36</v>
      </c>
      <c r="AO2" s="552" t="s">
        <v>182</v>
      </c>
      <c r="AP2" s="643" t="s">
        <v>36</v>
      </c>
      <c r="AQ2" s="552" t="s">
        <v>183</v>
      </c>
      <c r="AR2" s="643" t="s">
        <v>36</v>
      </c>
      <c r="AS2" s="644" t="s">
        <v>102</v>
      </c>
      <c r="AT2" s="644" t="s">
        <v>103</v>
      </c>
      <c r="AU2" s="644" t="s">
        <v>104</v>
      </c>
      <c r="AV2" s="644" t="s">
        <v>105</v>
      </c>
      <c r="AW2" s="644" t="s">
        <v>106</v>
      </c>
      <c r="AX2" s="645" t="s">
        <v>107</v>
      </c>
      <c r="AY2" s="645" t="s">
        <v>108</v>
      </c>
      <c r="AZ2" s="645" t="s">
        <v>109</v>
      </c>
      <c r="BA2" s="645" t="s">
        <v>110</v>
      </c>
      <c r="BB2" s="645" t="s">
        <v>111</v>
      </c>
      <c r="BC2" s="645" t="s">
        <v>112</v>
      </c>
      <c r="BD2" s="645" t="s">
        <v>113</v>
      </c>
      <c r="BE2" s="645" t="s">
        <v>114</v>
      </c>
      <c r="BF2" s="645" t="s">
        <v>115</v>
      </c>
      <c r="BG2" s="646" t="s">
        <v>116</v>
      </c>
      <c r="BH2" s="647" t="s">
        <v>117</v>
      </c>
      <c r="BI2" s="645" t="s">
        <v>118</v>
      </c>
      <c r="BJ2" s="648" t="s">
        <v>14</v>
      </c>
      <c r="BK2" s="648" t="s">
        <v>167</v>
      </c>
      <c r="BL2" s="648" t="s">
        <v>39</v>
      </c>
      <c r="BM2" s="648" t="s">
        <v>40</v>
      </c>
      <c r="BN2" s="648" t="s">
        <v>41</v>
      </c>
      <c r="BO2" s="648" t="s">
        <v>43</v>
      </c>
      <c r="BP2" s="648" t="s">
        <v>44</v>
      </c>
      <c r="BQ2" s="648" t="s">
        <v>46</v>
      </c>
      <c r="BR2" s="649" t="s">
        <v>47</v>
      </c>
      <c r="BS2" s="649" t="s">
        <v>48</v>
      </c>
      <c r="BT2" s="644" t="s">
        <v>49</v>
      </c>
      <c r="BU2" s="644" t="s">
        <v>50</v>
      </c>
      <c r="BV2" s="649" t="s">
        <v>131</v>
      </c>
      <c r="BW2" s="649" t="s">
        <v>132</v>
      </c>
      <c r="BX2" s="565" t="s">
        <v>172</v>
      </c>
      <c r="BY2" s="565" t="s">
        <v>173</v>
      </c>
      <c r="BZ2" s="650" t="s">
        <v>216</v>
      </c>
      <c r="CA2" s="650" t="s">
        <v>217</v>
      </c>
    </row>
    <row r="3" spans="1:79" ht="90.75" thickBot="1" x14ac:dyDescent="0.3">
      <c r="A3" s="651"/>
      <c r="B3" s="1400"/>
      <c r="C3" s="652" t="s">
        <v>185</v>
      </c>
      <c r="D3" s="652" t="s">
        <v>186</v>
      </c>
      <c r="E3" s="652" t="s">
        <v>187</v>
      </c>
      <c r="F3" s="652" t="s">
        <v>185</v>
      </c>
      <c r="G3" s="652" t="s">
        <v>186</v>
      </c>
      <c r="H3" s="652" t="s">
        <v>187</v>
      </c>
      <c r="I3" s="652" t="s">
        <v>185</v>
      </c>
      <c r="J3" s="652" t="s">
        <v>186</v>
      </c>
      <c r="K3" s="652" t="s">
        <v>187</v>
      </c>
      <c r="L3" s="652" t="s">
        <v>58</v>
      </c>
      <c r="M3" s="652" t="s">
        <v>188</v>
      </c>
      <c r="N3" s="652" t="s">
        <v>218</v>
      </c>
      <c r="O3" s="671" t="s">
        <v>120</v>
      </c>
      <c r="P3" s="671" t="s">
        <v>189</v>
      </c>
      <c r="Q3" s="652" t="s">
        <v>190</v>
      </c>
      <c r="R3" s="652" t="s">
        <v>190</v>
      </c>
      <c r="S3" s="652" t="s">
        <v>190</v>
      </c>
      <c r="T3" s="652" t="s">
        <v>190</v>
      </c>
      <c r="U3" s="652" t="s">
        <v>190</v>
      </c>
      <c r="V3" s="652" t="s">
        <v>57</v>
      </c>
      <c r="W3" s="652" t="s">
        <v>57</v>
      </c>
      <c r="X3" s="652" t="s">
        <v>57</v>
      </c>
      <c r="Y3" s="652" t="s">
        <v>57</v>
      </c>
      <c r="Z3" s="652" t="s">
        <v>57</v>
      </c>
      <c r="AA3" s="652" t="s">
        <v>57</v>
      </c>
      <c r="AB3" s="652" t="s">
        <v>57</v>
      </c>
      <c r="AC3" s="652" t="s">
        <v>57</v>
      </c>
      <c r="AD3" s="671" t="s">
        <v>57</v>
      </c>
      <c r="AE3" s="671" t="s">
        <v>219</v>
      </c>
      <c r="AF3" s="671" t="s">
        <v>220</v>
      </c>
      <c r="AG3" s="671" t="s">
        <v>219</v>
      </c>
      <c r="AH3" s="672" t="s">
        <v>221</v>
      </c>
      <c r="AI3" s="671" t="s">
        <v>57</v>
      </c>
      <c r="AJ3" s="671" t="s">
        <v>57</v>
      </c>
      <c r="AK3" s="671" t="s">
        <v>58</v>
      </c>
      <c r="AL3" s="652" t="s">
        <v>57</v>
      </c>
      <c r="AM3" s="652" t="s">
        <v>54</v>
      </c>
      <c r="AN3" s="652" t="s">
        <v>57</v>
      </c>
      <c r="AO3" s="652" t="s">
        <v>54</v>
      </c>
      <c r="AP3" s="652" t="s">
        <v>57</v>
      </c>
      <c r="AQ3" s="652" t="s">
        <v>54</v>
      </c>
      <c r="AR3" s="652" t="s">
        <v>57</v>
      </c>
      <c r="AS3" s="652" t="s">
        <v>62</v>
      </c>
      <c r="AT3" s="652" t="s">
        <v>62</v>
      </c>
      <c r="AU3" s="652" t="s">
        <v>62</v>
      </c>
      <c r="AV3" s="652" t="s">
        <v>54</v>
      </c>
      <c r="AW3" s="652" t="s">
        <v>57</v>
      </c>
      <c r="AX3" s="652" t="s">
        <v>62</v>
      </c>
      <c r="AY3" s="652" t="s">
        <v>54</v>
      </c>
      <c r="AZ3" s="652" t="s">
        <v>119</v>
      </c>
      <c r="BA3" s="652" t="s">
        <v>62</v>
      </c>
      <c r="BB3" s="652" t="s">
        <v>62</v>
      </c>
      <c r="BC3" s="652" t="s">
        <v>120</v>
      </c>
      <c r="BD3" s="652" t="s">
        <v>54</v>
      </c>
      <c r="BE3" s="652" t="s">
        <v>120</v>
      </c>
      <c r="BF3" s="652" t="s">
        <v>54</v>
      </c>
      <c r="BG3" s="652" t="s">
        <v>120</v>
      </c>
      <c r="BH3" s="652" t="s">
        <v>120</v>
      </c>
      <c r="BI3" s="652" t="s">
        <v>120</v>
      </c>
      <c r="BJ3" s="652" t="s">
        <v>54</v>
      </c>
      <c r="BK3" s="653" t="s">
        <v>168</v>
      </c>
      <c r="BL3" s="652" t="s">
        <v>59</v>
      </c>
      <c r="BM3" s="652" t="s">
        <v>60</v>
      </c>
      <c r="BN3" s="652" t="s">
        <v>61</v>
      </c>
      <c r="BO3" s="652" t="s">
        <v>57</v>
      </c>
      <c r="BP3" s="652" t="s">
        <v>127</v>
      </c>
      <c r="BQ3" s="652" t="s">
        <v>127</v>
      </c>
      <c r="BR3" s="652" t="s">
        <v>120</v>
      </c>
      <c r="BS3" s="652" t="s">
        <v>120</v>
      </c>
      <c r="BT3" s="652" t="s">
        <v>120</v>
      </c>
      <c r="BU3" s="652" t="s">
        <v>120</v>
      </c>
      <c r="BV3" s="652" t="s">
        <v>54</v>
      </c>
      <c r="BW3" s="652" t="s">
        <v>54</v>
      </c>
      <c r="BX3" s="565" t="s">
        <v>120</v>
      </c>
      <c r="BY3" s="565" t="s">
        <v>174</v>
      </c>
      <c r="BZ3" s="650" t="s">
        <v>120</v>
      </c>
      <c r="CA3" s="650" t="s">
        <v>222</v>
      </c>
    </row>
    <row r="4" spans="1:79" ht="31.5" x14ac:dyDescent="0.25">
      <c r="A4" s="45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675">
        <v>0</v>
      </c>
      <c r="O4" s="706" t="s">
        <v>67</v>
      </c>
      <c r="P4" s="706">
        <v>0</v>
      </c>
      <c r="Q4" s="677">
        <f>SUM(T4,X4,AB4,AS4,AX4,BA4)</f>
        <v>8.1968601190476189</v>
      </c>
      <c r="R4" s="438">
        <f>SUM(U4,Y4,AC4,AI4,AT4,BB4)</f>
        <v>6.521057605820106</v>
      </c>
      <c r="S4" s="438">
        <f>SUM(V4,Z4,AD4,AJ4,AJ4,AU4)</f>
        <v>1.7190637194113758</v>
      </c>
      <c r="T4" s="453">
        <f>S17</f>
        <v>3.6430489417989422</v>
      </c>
      <c r="U4" s="453">
        <f>T4/100*70</f>
        <v>2.5501342592592597</v>
      </c>
      <c r="V4" s="453">
        <f>U4/100*25</f>
        <v>0.63753356481481493</v>
      </c>
      <c r="W4" s="453">
        <v>0</v>
      </c>
      <c r="X4" s="454">
        <f>S18</f>
        <v>2.7322867063492065</v>
      </c>
      <c r="Y4" s="454">
        <f>X4/100*70</f>
        <v>1.9126006944444445</v>
      </c>
      <c r="Z4" s="454">
        <f>Y4/100*25</f>
        <v>0.47815017361111112</v>
      </c>
      <c r="AA4" s="454">
        <v>0</v>
      </c>
      <c r="AB4" s="455">
        <f>S19</f>
        <v>0.45538111772486778</v>
      </c>
      <c r="AC4" s="668">
        <f>AB4/100*70</f>
        <v>0.31876678240740747</v>
      </c>
      <c r="AD4" s="455">
        <f>AC4/100*25</f>
        <v>7.9691695601851867E-2</v>
      </c>
      <c r="AE4" s="697">
        <v>0</v>
      </c>
      <c r="AF4" s="698">
        <v>0</v>
      </c>
      <c r="AG4" s="698">
        <v>0</v>
      </c>
      <c r="AH4" s="698">
        <v>0</v>
      </c>
      <c r="AI4" s="456">
        <f>S20</f>
        <v>0.91076223544973556</v>
      </c>
      <c r="AJ4" s="456">
        <f>AI4/100*20</f>
        <v>0.18215244708994713</v>
      </c>
      <c r="AK4" s="395">
        <v>0</v>
      </c>
      <c r="AL4" s="669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0.91076223544973556</v>
      </c>
      <c r="AT4" s="457">
        <f>AS4/100*70</f>
        <v>0.63753356481481493</v>
      </c>
      <c r="AU4" s="457">
        <f>AT4/100*25</f>
        <v>0.15938339120370373</v>
      </c>
      <c r="AV4" s="457">
        <v>0</v>
      </c>
      <c r="AW4" s="457">
        <v>0</v>
      </c>
      <c r="AX4" s="458">
        <f>S22</f>
        <v>0.1821524470899471</v>
      </c>
      <c r="AY4" s="469">
        <v>4</v>
      </c>
      <c r="AZ4" s="459"/>
      <c r="BA4" s="460">
        <f>S23</f>
        <v>0.27322867063492062</v>
      </c>
      <c r="BB4" s="458">
        <f>BA4/100*70</f>
        <v>0.19126006944444443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v>1450</v>
      </c>
      <c r="BP4" s="461">
        <v>0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t="s">
        <v>67</v>
      </c>
      <c r="CA4" t="s">
        <v>223</v>
      </c>
    </row>
    <row r="5" spans="1:79" ht="31.5" x14ac:dyDescent="0.25">
      <c r="A5" s="50">
        <v>50</v>
      </c>
      <c r="B5" s="705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676">
        <v>0</v>
      </c>
      <c r="O5" s="706" t="s">
        <v>67</v>
      </c>
      <c r="P5" s="679"/>
      <c r="Q5" s="677">
        <f>SUM(T5,X5,AB5,AS5,AX5,BA5)</f>
        <v>8.5738541666666652</v>
      </c>
      <c r="R5" s="438">
        <f>SUM(U5,Y5,AC5,AI5,AT5,BB5)</f>
        <v>6.8209773148148152</v>
      </c>
      <c r="S5" s="438">
        <f>SUM(V5,Z5,AD5,AJ5,AU5)</f>
        <v>1.6075976562500001</v>
      </c>
      <c r="T5" s="453">
        <f>X17</f>
        <v>3.8106018518518519</v>
      </c>
      <c r="U5" s="453">
        <f>T5/100*70</f>
        <v>2.6674212962962964</v>
      </c>
      <c r="V5" s="453">
        <f>U5/100*25</f>
        <v>0.66685532407407411</v>
      </c>
      <c r="W5" s="345">
        <v>0</v>
      </c>
      <c r="X5" s="454">
        <f>X18</f>
        <v>2.857951388888889</v>
      </c>
      <c r="Y5" s="454">
        <f>X5/100*70</f>
        <v>2.0005659722222222</v>
      </c>
      <c r="Z5" s="454">
        <f>Y5/100*25</f>
        <v>0.50014149305555555</v>
      </c>
      <c r="AA5" s="346">
        <v>0</v>
      </c>
      <c r="AB5" s="455">
        <f>X19</f>
        <v>0.47632523148148148</v>
      </c>
      <c r="AC5" s="668">
        <f>AB5/100*70</f>
        <v>0.33342766203703705</v>
      </c>
      <c r="AD5" s="455">
        <f>AC5/100*25</f>
        <v>8.3356915509259263E-2</v>
      </c>
      <c r="AE5" s="698">
        <v>0</v>
      </c>
      <c r="AF5" s="698">
        <v>0</v>
      </c>
      <c r="AG5" s="698">
        <v>0</v>
      </c>
      <c r="AH5" s="698">
        <v>0</v>
      </c>
      <c r="AI5" s="456">
        <f>X20</f>
        <v>0.95265046296296296</v>
      </c>
      <c r="AJ5" s="456">
        <f>AI5/100*20</f>
        <v>0.1905300925925926</v>
      </c>
      <c r="AK5" s="342">
        <v>0</v>
      </c>
      <c r="AL5" s="670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0.95265046296296296</v>
      </c>
      <c r="AT5" s="457">
        <f>AS5/100*70</f>
        <v>0.66685532407407411</v>
      </c>
      <c r="AU5" s="457">
        <f>AT5/100*25</f>
        <v>0.16671383101851853</v>
      </c>
      <c r="AV5" s="349">
        <v>0</v>
      </c>
      <c r="AW5" s="349">
        <v>0</v>
      </c>
      <c r="AX5" s="458">
        <f>X22</f>
        <v>0.1905300925925926</v>
      </c>
      <c r="AY5" s="350">
        <v>1</v>
      </c>
      <c r="AZ5" s="361"/>
      <c r="BA5" s="458">
        <f>X23</f>
        <v>0.28579513888888891</v>
      </c>
      <c r="BB5" s="458">
        <f>BA5/100*70</f>
        <v>0.20005659722222224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362">
        <v>820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t="s">
        <v>67</v>
      </c>
      <c r="CA5" t="s">
        <v>224</v>
      </c>
    </row>
    <row r="6" spans="1:79" x14ac:dyDescent="0.25">
      <c r="A6" s="526"/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674"/>
      <c r="P6" s="674"/>
      <c r="Q6" s="685"/>
      <c r="R6" s="526"/>
      <c r="S6" s="526"/>
      <c r="T6" s="526"/>
      <c r="U6" s="526"/>
      <c r="V6" s="526"/>
      <c r="W6" s="526"/>
      <c r="X6" s="526"/>
      <c r="Y6" s="526"/>
      <c r="Z6" s="526"/>
      <c r="AA6" s="526"/>
      <c r="AB6" s="526"/>
      <c r="AC6" s="526"/>
      <c r="AD6" s="673"/>
      <c r="AE6" s="686"/>
      <c r="AF6" s="686"/>
      <c r="AG6" s="686"/>
      <c r="AH6" s="686"/>
      <c r="AI6" s="673"/>
      <c r="AJ6" s="673"/>
      <c r="AK6" s="673"/>
      <c r="AL6" s="526"/>
      <c r="AM6" s="526"/>
      <c r="AN6" s="526"/>
      <c r="AO6" s="526"/>
      <c r="AP6" s="526"/>
      <c r="AQ6" s="526"/>
      <c r="AR6" s="526"/>
      <c r="AS6" s="526"/>
      <c r="AT6" s="526"/>
      <c r="AU6" s="526"/>
      <c r="AV6" s="526"/>
      <c r="AW6" s="526"/>
      <c r="AX6" s="526"/>
      <c r="AY6" s="526"/>
      <c r="AZ6" s="526"/>
      <c r="BA6" s="526"/>
      <c r="BB6" s="526"/>
      <c r="BC6" s="526"/>
      <c r="BD6" s="526"/>
      <c r="BE6" s="526"/>
      <c r="BF6" s="526"/>
      <c r="BG6" s="526"/>
      <c r="BH6" s="526"/>
      <c r="BI6" s="526"/>
      <c r="BJ6" s="526"/>
      <c r="BK6" s="526"/>
      <c r="BL6" s="526"/>
      <c r="BM6" s="526"/>
      <c r="BN6" s="526"/>
      <c r="BO6" s="526"/>
      <c r="BP6" s="526"/>
      <c r="BQ6" s="526"/>
      <c r="BR6" s="526"/>
      <c r="BS6" s="526"/>
      <c r="BT6" s="526"/>
      <c r="BU6" s="526"/>
      <c r="BV6" s="526"/>
      <c r="BW6" s="526"/>
      <c r="BX6" s="526"/>
      <c r="BY6" s="526"/>
    </row>
    <row r="7" spans="1:79" ht="31.5" x14ac:dyDescent="0.25">
      <c r="A7" s="50">
        <v>60</v>
      </c>
      <c r="B7" s="705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676">
        <v>0</v>
      </c>
      <c r="O7" s="706" t="s">
        <v>65</v>
      </c>
      <c r="P7" s="706">
        <v>0</v>
      </c>
      <c r="Q7" s="678">
        <f>SUM(T7,X7,AB7,AS7,AX7,BA7)</f>
        <v>254.10266369047622</v>
      </c>
      <c r="R7" s="394">
        <f>SUM(U7,Y7,AC7,AI7,AT7,BB7)</f>
        <v>202.1527857804233</v>
      </c>
      <c r="S7" s="394">
        <f>SUM(V7,Z7,AD7,AJ7,AU7)</f>
        <v>47.644249441964291</v>
      </c>
      <c r="T7" s="527">
        <f>31*T4</f>
        <v>112.93451719576721</v>
      </c>
      <c r="U7" s="527">
        <f>31*U4</f>
        <v>79.054162037037045</v>
      </c>
      <c r="V7" s="527">
        <f t="shared" ref="U7:W8" si="0">31*V4</f>
        <v>19.763540509259261</v>
      </c>
      <c r="W7" s="527">
        <f t="shared" si="0"/>
        <v>0</v>
      </c>
      <c r="X7" s="528">
        <f>31*X4</f>
        <v>84.700887896825407</v>
      </c>
      <c r="Y7" s="528">
        <f t="shared" ref="Y7:AA8" si="1">31*Y4</f>
        <v>59.29062152777778</v>
      </c>
      <c r="Z7" s="528">
        <f t="shared" si="1"/>
        <v>14.822655381944445</v>
      </c>
      <c r="AA7" s="528">
        <f t="shared" si="1"/>
        <v>0</v>
      </c>
      <c r="AB7" s="680">
        <f>31*AB4</f>
        <v>14.116814649470902</v>
      </c>
      <c r="AC7" s="680">
        <f t="shared" ref="AC7:AD8" si="2">31*AC4</f>
        <v>9.8817702546296307</v>
      </c>
      <c r="AD7" s="680">
        <f t="shared" si="2"/>
        <v>2.4704425636574077</v>
      </c>
      <c r="AE7" s="680">
        <v>0</v>
      </c>
      <c r="AF7" s="680">
        <v>0</v>
      </c>
      <c r="AG7" s="680">
        <v>0</v>
      </c>
      <c r="AH7" s="680">
        <v>0</v>
      </c>
      <c r="AI7" s="681">
        <f>AI4*31</f>
        <v>28.233629298941803</v>
      </c>
      <c r="AJ7" s="681">
        <f>AJ4*31</f>
        <v>5.6467258597883614</v>
      </c>
      <c r="AK7" s="395">
        <v>0</v>
      </c>
      <c r="AL7" s="669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AS4*31</f>
        <v>28.233629298941803</v>
      </c>
      <c r="AT7" s="682">
        <f t="shared" ref="AT7:AW8" si="3">AT4*31</f>
        <v>19.763540509259261</v>
      </c>
      <c r="AU7" s="682">
        <f t="shared" si="3"/>
        <v>4.9408851273148153</v>
      </c>
      <c r="AV7" s="682">
        <f t="shared" si="3"/>
        <v>0</v>
      </c>
      <c r="AW7" s="682">
        <f t="shared" si="3"/>
        <v>0</v>
      </c>
      <c r="AX7" s="469">
        <f>AX4*31</f>
        <v>5.6467258597883605</v>
      </c>
      <c r="AY7" s="469">
        <v>4</v>
      </c>
      <c r="AZ7" s="683"/>
      <c r="BA7" s="684">
        <f>BA4*31</f>
        <v>8.4700887896825385</v>
      </c>
      <c r="BB7" s="684">
        <f>BB4*31</f>
        <v>5.9290621527777772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t="s">
        <v>67</v>
      </c>
      <c r="CA7" t="s">
        <v>223</v>
      </c>
    </row>
    <row r="8" spans="1:79" ht="31.5" x14ac:dyDescent="0.25">
      <c r="A8" s="50">
        <v>50</v>
      </c>
      <c r="B8" s="705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676">
        <v>0</v>
      </c>
      <c r="O8" s="706" t="s">
        <v>67</v>
      </c>
      <c r="P8" s="679">
        <v>17620</v>
      </c>
      <c r="Q8" s="678">
        <f>SUM(T8,X8,AB8,AS8,AX8,BA8)</f>
        <v>265.78947916666669</v>
      </c>
      <c r="R8" s="394">
        <f>SUM(U8,Y8,AC8,AI8,AT8,BB8)</f>
        <v>211.45029675925926</v>
      </c>
      <c r="S8" s="394">
        <f>SUM(V8,Z8,AD8,AJ8,AU8)</f>
        <v>49.835527343749995</v>
      </c>
      <c r="T8" s="527">
        <f>31*T5</f>
        <v>118.1286574074074</v>
      </c>
      <c r="U8" s="527">
        <f t="shared" si="0"/>
        <v>82.690060185185189</v>
      </c>
      <c r="V8" s="527">
        <f t="shared" si="0"/>
        <v>20.672515046296297</v>
      </c>
      <c r="W8" s="527">
        <f t="shared" si="0"/>
        <v>0</v>
      </c>
      <c r="X8" s="528">
        <f>31*X5</f>
        <v>88.596493055555555</v>
      </c>
      <c r="Y8" s="528">
        <f t="shared" si="1"/>
        <v>62.017545138888892</v>
      </c>
      <c r="Z8" s="528">
        <f t="shared" si="1"/>
        <v>15.504386284722223</v>
      </c>
      <c r="AA8" s="528">
        <f t="shared" si="1"/>
        <v>0</v>
      </c>
      <c r="AB8" s="680">
        <f>31*AB5</f>
        <v>14.766082175925925</v>
      </c>
      <c r="AC8" s="680">
        <f t="shared" si="2"/>
        <v>10.336257523148149</v>
      </c>
      <c r="AD8" s="680">
        <f t="shared" si="2"/>
        <v>2.5840643807870372</v>
      </c>
      <c r="AE8" s="680">
        <v>0</v>
      </c>
      <c r="AF8" s="680">
        <v>0</v>
      </c>
      <c r="AG8" s="680">
        <v>0</v>
      </c>
      <c r="AH8" s="680">
        <v>0</v>
      </c>
      <c r="AI8" s="681">
        <f>AI5*31</f>
        <v>29.532164351851851</v>
      </c>
      <c r="AJ8" s="681">
        <f>AJ5*31</f>
        <v>5.9064328703703701</v>
      </c>
      <c r="AK8" s="395">
        <v>0</v>
      </c>
      <c r="AL8" s="669">
        <v>0</v>
      </c>
      <c r="AM8" s="395">
        <v>1</v>
      </c>
      <c r="AN8" s="395">
        <v>1.6</v>
      </c>
      <c r="AO8" s="395">
        <v>0</v>
      </c>
      <c r="AP8" s="395">
        <v>0</v>
      </c>
      <c r="AQ8" s="395">
        <v>0</v>
      </c>
      <c r="AR8" s="395">
        <v>0</v>
      </c>
      <c r="AS8" s="682">
        <f>AS5*31</f>
        <v>29.532164351851851</v>
      </c>
      <c r="AT8" s="682">
        <f t="shared" si="3"/>
        <v>20.672515046296297</v>
      </c>
      <c r="AU8" s="682">
        <f t="shared" si="3"/>
        <v>5.1681287615740743</v>
      </c>
      <c r="AV8" s="682">
        <f t="shared" si="3"/>
        <v>0</v>
      </c>
      <c r="AW8" s="682">
        <f t="shared" si="3"/>
        <v>0</v>
      </c>
      <c r="AX8" s="469">
        <f>AX5*31</f>
        <v>5.9064328703703701</v>
      </c>
      <c r="AY8" s="469">
        <v>1</v>
      </c>
      <c r="AZ8" s="683"/>
      <c r="BA8" s="684">
        <f>BA5*31</f>
        <v>8.859649305555557</v>
      </c>
      <c r="BB8" s="684">
        <f>BB5*31</f>
        <v>6.2017545138888899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t="s">
        <v>67</v>
      </c>
      <c r="CA8" t="s">
        <v>224</v>
      </c>
    </row>
    <row r="9" spans="1:79" x14ac:dyDescent="0.25">
      <c r="R9" s="393">
        <f>R8+R7</f>
        <v>413.60308253968253</v>
      </c>
      <c r="S9" s="393">
        <f>S8+S7</f>
        <v>97.479776785714279</v>
      </c>
      <c r="AE9" s="393"/>
      <c r="AF9" s="393"/>
      <c r="AG9" s="393"/>
      <c r="AH9" s="393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</row>
    <row r="14" spans="1:79" x14ac:dyDescent="0.25">
      <c r="Q14" s="1127" t="s">
        <v>192</v>
      </c>
      <c r="R14" s="1128"/>
      <c r="S14" s="707">
        <v>31179</v>
      </c>
      <c r="T14" s="707"/>
      <c r="V14" s="1127" t="s">
        <v>192</v>
      </c>
      <c r="W14" s="1128"/>
      <c r="X14" s="707">
        <v>32613</v>
      </c>
      <c r="Y14" s="707"/>
      <c r="AA14" s="1134" t="s">
        <v>199</v>
      </c>
      <c r="AB14" s="1135"/>
      <c r="AD14" s="1134" t="s">
        <v>199</v>
      </c>
      <c r="AE14" s="1135"/>
    </row>
    <row r="15" spans="1:79" x14ac:dyDescent="0.25">
      <c r="Q15" s="1127" t="s">
        <v>193</v>
      </c>
      <c r="R15" s="1128"/>
      <c r="S15" s="707">
        <v>265</v>
      </c>
      <c r="T15" s="707" t="s">
        <v>194</v>
      </c>
      <c r="V15" s="1127" t="s">
        <v>193</v>
      </c>
      <c r="W15" s="1128"/>
      <c r="X15" s="707">
        <v>265</v>
      </c>
      <c r="Y15" s="707" t="s">
        <v>194</v>
      </c>
      <c r="AA15" s="249"/>
      <c r="AB15" s="634">
        <f>108*S14/1000000</f>
        <v>3.3673320000000002</v>
      </c>
      <c r="AD15" s="249"/>
      <c r="AE15" s="634">
        <f>108*X14/1000000</f>
        <v>3.5222039999999999</v>
      </c>
    </row>
    <row r="16" spans="1:79" x14ac:dyDescent="0.25">
      <c r="N16">
        <v>210</v>
      </c>
      <c r="Q16" s="1127" t="s">
        <v>195</v>
      </c>
      <c r="R16" s="1128"/>
      <c r="S16" s="596">
        <f>S14*S15/907200</f>
        <v>9.1076223544973551</v>
      </c>
      <c r="T16" s="707"/>
      <c r="V16" s="1127" t="s">
        <v>195</v>
      </c>
      <c r="W16" s="1128"/>
      <c r="X16" s="596">
        <f>X14*X15/907200</f>
        <v>9.5265046296296294</v>
      </c>
      <c r="Y16" s="707"/>
      <c r="AA16" s="249"/>
      <c r="AB16" s="634">
        <f>AB15*31</f>
        <v>104.387292</v>
      </c>
      <c r="AD16" s="249"/>
      <c r="AE16" s="634">
        <f>AE15*31</f>
        <v>109.18832399999999</v>
      </c>
    </row>
    <row r="17" spans="14:36" x14ac:dyDescent="0.25">
      <c r="N17">
        <v>158</v>
      </c>
      <c r="Q17" s="1132" t="s">
        <v>9</v>
      </c>
      <c r="R17" s="1133"/>
      <c r="S17" s="592">
        <f>S16/100*40</f>
        <v>3.6430489417989422</v>
      </c>
      <c r="T17" s="707">
        <v>40</v>
      </c>
      <c r="V17" s="1132" t="s">
        <v>9</v>
      </c>
      <c r="W17" s="1133"/>
      <c r="X17" s="592">
        <f>X16/100*40</f>
        <v>3.8106018518518519</v>
      </c>
      <c r="Y17" s="707">
        <v>40</v>
      </c>
      <c r="AA17" s="249"/>
      <c r="AB17" s="249"/>
      <c r="AD17" s="249"/>
      <c r="AE17" s="249"/>
      <c r="AJ17">
        <v>223</v>
      </c>
    </row>
    <row r="18" spans="14:36" x14ac:dyDescent="0.25">
      <c r="N18">
        <f>N16-N17</f>
        <v>52</v>
      </c>
      <c r="Q18" s="1132" t="s">
        <v>10</v>
      </c>
      <c r="R18" s="1133"/>
      <c r="S18" s="592">
        <f>S16/100*30</f>
        <v>2.7322867063492065</v>
      </c>
      <c r="T18" s="707">
        <v>30</v>
      </c>
      <c r="V18" s="1132" t="s">
        <v>10</v>
      </c>
      <c r="W18" s="1133"/>
      <c r="X18" s="592">
        <f>X16/100*30</f>
        <v>2.857951388888889</v>
      </c>
      <c r="Y18" s="707">
        <v>30</v>
      </c>
      <c r="AA18" s="1137" t="s">
        <v>225</v>
      </c>
      <c r="AB18" s="1138"/>
      <c r="AD18" s="1137" t="s">
        <v>225</v>
      </c>
      <c r="AE18" s="1138"/>
      <c r="AJ18">
        <v>166</v>
      </c>
    </row>
    <row r="19" spans="14:36" x14ac:dyDescent="0.25">
      <c r="Q19" s="1132" t="s">
        <v>11</v>
      </c>
      <c r="R19" s="1133"/>
      <c r="S19" s="592">
        <f>S16/100*5</f>
        <v>0.45538111772486778</v>
      </c>
      <c r="T19" s="707">
        <v>5</v>
      </c>
      <c r="V19" s="1132" t="s">
        <v>11</v>
      </c>
      <c r="W19" s="1133"/>
      <c r="X19" s="592">
        <f>X16/100*5</f>
        <v>0.47632523148148148</v>
      </c>
      <c r="Y19" s="707">
        <v>5</v>
      </c>
      <c r="AA19" s="249"/>
      <c r="AB19" s="634">
        <f>120*S14/250</f>
        <v>14965.92</v>
      </c>
      <c r="AD19" s="249"/>
      <c r="AE19" s="634">
        <f>120*X14/250</f>
        <v>15654.24</v>
      </c>
      <c r="AJ19">
        <f>AJ17-AJ18</f>
        <v>57</v>
      </c>
    </row>
    <row r="20" spans="14:36" x14ac:dyDescent="0.25">
      <c r="Q20" s="1132" t="s">
        <v>12</v>
      </c>
      <c r="R20" s="1133"/>
      <c r="S20" s="592">
        <f>S16/100*10</f>
        <v>0.91076223544973556</v>
      </c>
      <c r="T20" s="707">
        <v>10</v>
      </c>
      <c r="V20" s="1132" t="s">
        <v>12</v>
      </c>
      <c r="W20" s="1133"/>
      <c r="X20" s="592">
        <f>X16/100*10</f>
        <v>0.95265046296296296</v>
      </c>
      <c r="Y20" s="707">
        <v>10</v>
      </c>
      <c r="AA20" s="249"/>
      <c r="AB20" s="634">
        <f>AB19/1000</f>
        <v>14.965920000000001</v>
      </c>
      <c r="AD20" s="249"/>
      <c r="AE20" s="634">
        <f>AE19/1000</f>
        <v>15.65424</v>
      </c>
      <c r="AJ20">
        <v>20</v>
      </c>
    </row>
    <row r="21" spans="14:36" x14ac:dyDescent="0.25">
      <c r="Q21" s="1132" t="s">
        <v>99</v>
      </c>
      <c r="R21" s="1133"/>
      <c r="S21" s="592">
        <f>S16/100*10</f>
        <v>0.91076223544973556</v>
      </c>
      <c r="T21" s="707">
        <v>10</v>
      </c>
      <c r="V21" s="1132" t="s">
        <v>99</v>
      </c>
      <c r="W21" s="1133"/>
      <c r="X21" s="592">
        <f>X16/100*10</f>
        <v>0.95265046296296296</v>
      </c>
      <c r="Y21" s="707">
        <v>10</v>
      </c>
      <c r="AA21" s="249"/>
      <c r="AB21" s="634">
        <f>AB20*31</f>
        <v>463.94352000000003</v>
      </c>
      <c r="AD21" s="249"/>
      <c r="AE21" s="634">
        <f>AE20*31</f>
        <v>485.28143999999998</v>
      </c>
      <c r="AJ21">
        <f>AJ19-AJ20</f>
        <v>37</v>
      </c>
    </row>
    <row r="22" spans="14:36" x14ac:dyDescent="0.25">
      <c r="Q22" s="1132" t="s">
        <v>100</v>
      </c>
      <c r="R22" s="1133"/>
      <c r="S22" s="592">
        <f>S16/100*2</f>
        <v>0.1821524470899471</v>
      </c>
      <c r="T22" s="707">
        <v>2</v>
      </c>
      <c r="V22" s="1132" t="s">
        <v>100</v>
      </c>
      <c r="W22" s="1133"/>
      <c r="X22" s="592">
        <f>X16/100*2</f>
        <v>0.1905300925925926</v>
      </c>
      <c r="Y22" s="707">
        <v>2</v>
      </c>
      <c r="AA22" s="249"/>
      <c r="AB22" s="634">
        <f>AB21/100*3</f>
        <v>13.9183056</v>
      </c>
      <c r="AD22" s="249"/>
      <c r="AE22" s="634">
        <f>AE21/100*2</f>
        <v>9.7056287999999995</v>
      </c>
    </row>
    <row r="23" spans="14:36" x14ac:dyDescent="0.25">
      <c r="Q23" s="1132" t="s">
        <v>101</v>
      </c>
      <c r="R23" s="1133"/>
      <c r="S23" s="592">
        <f>S16/100*3</f>
        <v>0.27322867063492062</v>
      </c>
      <c r="T23" s="707">
        <v>3</v>
      </c>
      <c r="V23" s="1132" t="s">
        <v>101</v>
      </c>
      <c r="W23" s="1133"/>
      <c r="X23" s="592">
        <f>X16/100*3</f>
        <v>0.28579513888888891</v>
      </c>
      <c r="Y23" s="707">
        <v>3</v>
      </c>
    </row>
    <row r="24" spans="14:36" x14ac:dyDescent="0.25">
      <c r="Q24" s="1140" t="s">
        <v>89</v>
      </c>
      <c r="R24" s="1141"/>
      <c r="S24" s="596">
        <f>SUM(S17:S23)</f>
        <v>9.1076223544973569</v>
      </c>
      <c r="T24" s="707">
        <f>SUM(T17:T23)</f>
        <v>100</v>
      </c>
      <c r="V24" s="1140" t="s">
        <v>89</v>
      </c>
      <c r="W24" s="1141"/>
      <c r="X24" s="596">
        <f>SUM(X17:X23)</f>
        <v>9.5265046296296276</v>
      </c>
      <c r="Y24" s="707">
        <f>SUM(Y17:Y23)</f>
        <v>100</v>
      </c>
    </row>
    <row r="28" spans="14:36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1149"/>
      <c r="AF28" s="1149"/>
    </row>
    <row r="29" spans="14:36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</row>
    <row r="30" spans="14:36" x14ac:dyDescent="0.25">
      <c r="R30" s="1147" t="s">
        <v>90</v>
      </c>
      <c r="S30" s="1147"/>
      <c r="T30" s="1152">
        <v>50</v>
      </c>
      <c r="U30" s="1152"/>
      <c r="V30" s="1152">
        <v>5</v>
      </c>
      <c r="W30" s="1152"/>
      <c r="AA30" s="1147" t="s">
        <v>90</v>
      </c>
      <c r="AB30" s="1147"/>
      <c r="AC30" s="1152">
        <v>56</v>
      </c>
      <c r="AD30" s="1152"/>
      <c r="AE30" s="1152">
        <v>8</v>
      </c>
      <c r="AF30" s="1152"/>
    </row>
    <row r="31" spans="14:36" x14ac:dyDescent="0.25">
      <c r="R31" s="1147" t="s">
        <v>86</v>
      </c>
      <c r="S31" s="1147"/>
      <c r="T31" s="1148">
        <f>U7</f>
        <v>79.054162037037045</v>
      </c>
      <c r="U31" s="1148"/>
      <c r="V31" s="1148">
        <f>V7</f>
        <v>19.763540509259261</v>
      </c>
      <c r="W31" s="1148"/>
      <c r="X31" s="393"/>
      <c r="AA31" s="1147" t="s">
        <v>86</v>
      </c>
      <c r="AB31" s="1147"/>
      <c r="AC31" s="1148">
        <f>U8</f>
        <v>82.690060185185189</v>
      </c>
      <c r="AD31" s="1148"/>
      <c r="AE31" s="1148">
        <f>V8</f>
        <v>20.672515046296297</v>
      </c>
      <c r="AF31" s="1148"/>
    </row>
    <row r="32" spans="14:36" x14ac:dyDescent="0.25">
      <c r="R32" s="1147" t="s">
        <v>87</v>
      </c>
      <c r="S32" s="1147"/>
      <c r="T32" s="1148">
        <f>Y7</f>
        <v>59.29062152777778</v>
      </c>
      <c r="U32" s="1148"/>
      <c r="V32" s="1148">
        <f>Z7</f>
        <v>14.822655381944445</v>
      </c>
      <c r="W32" s="1148"/>
      <c r="X32" s="393"/>
      <c r="AA32" s="1147" t="s">
        <v>87</v>
      </c>
      <c r="AB32" s="1147"/>
      <c r="AC32" s="1148">
        <f>Y8</f>
        <v>62.017545138888892</v>
      </c>
      <c r="AD32" s="1148"/>
      <c r="AE32" s="1148">
        <f>Z8</f>
        <v>15.504386284722223</v>
      </c>
      <c r="AF32" s="1148"/>
    </row>
    <row r="33" spans="18:32" x14ac:dyDescent="0.25">
      <c r="R33" s="1147" t="s">
        <v>201</v>
      </c>
      <c r="S33" s="1147"/>
      <c r="T33" s="1152">
        <v>10</v>
      </c>
      <c r="U33" s="1152"/>
      <c r="V33" s="1152">
        <v>8</v>
      </c>
      <c r="W33" s="1152"/>
      <c r="AA33" s="1147" t="s">
        <v>201</v>
      </c>
      <c r="AB33" s="1147"/>
      <c r="AC33" s="1152">
        <v>9</v>
      </c>
      <c r="AD33" s="1152"/>
      <c r="AE33" s="1152">
        <v>6</v>
      </c>
      <c r="AF33" s="1152"/>
    </row>
    <row r="34" spans="18:32" x14ac:dyDescent="0.25">
      <c r="R34" s="1147" t="s">
        <v>202</v>
      </c>
      <c r="S34" s="1147"/>
      <c r="T34" s="1152">
        <v>4</v>
      </c>
      <c r="U34" s="1152"/>
      <c r="V34" s="1152">
        <v>0</v>
      </c>
      <c r="W34" s="1152"/>
      <c r="AA34" s="1147" t="s">
        <v>202</v>
      </c>
      <c r="AB34" s="1147"/>
      <c r="AC34" s="1152">
        <v>4</v>
      </c>
      <c r="AD34" s="1152"/>
      <c r="AE34" s="1152">
        <v>0</v>
      </c>
      <c r="AF34" s="1152"/>
    </row>
    <row r="35" spans="18:32" x14ac:dyDescent="0.25">
      <c r="R35" s="1159"/>
      <c r="S35" s="1159"/>
      <c r="T35" s="1160">
        <f t="shared" ref="T35" si="4">SUM(T30:T34)</f>
        <v>202.3447835648148</v>
      </c>
      <c r="U35" s="1160"/>
      <c r="V35" s="1160">
        <f>SUM(V30:W34)</f>
        <v>47.586195891203708</v>
      </c>
      <c r="W35" s="1160"/>
      <c r="X35" s="393"/>
      <c r="AA35" s="1159"/>
      <c r="AB35" s="1159"/>
      <c r="AC35" s="1160">
        <f t="shared" ref="AC35" si="5">SUM(AC30:AC34)</f>
        <v>213.70760532407408</v>
      </c>
      <c r="AD35" s="1160"/>
      <c r="AE35" s="1160">
        <f>SUM(AE30:AF34)</f>
        <v>50.17690133101852</v>
      </c>
      <c r="AF35" s="1160"/>
    </row>
    <row r="36" spans="18:32" x14ac:dyDescent="0.25">
      <c r="X36" s="393"/>
    </row>
    <row r="37" spans="18:32" x14ac:dyDescent="0.25">
      <c r="X37" s="393"/>
    </row>
    <row r="38" spans="18:32" x14ac:dyDescent="0.25">
      <c r="R38" s="1159"/>
      <c r="S38" s="1159"/>
      <c r="T38" s="1160">
        <f>I8</f>
        <v>1</v>
      </c>
      <c r="U38" s="1160"/>
      <c r="V38" s="1160">
        <f>J8</f>
        <v>0</v>
      </c>
      <c r="W38" s="1160"/>
      <c r="AA38" s="1159"/>
      <c r="AB38" s="1159"/>
      <c r="AC38" s="1160">
        <f>R8</f>
        <v>211.45029675925926</v>
      </c>
      <c r="AD38" s="1160"/>
      <c r="AE38" s="1160">
        <f>S8</f>
        <v>49.835527343749995</v>
      </c>
      <c r="AF38" s="1160"/>
    </row>
    <row r="39" spans="18:32" x14ac:dyDescent="0.25">
      <c r="R39" s="1159"/>
      <c r="S39" s="1159"/>
      <c r="T39" s="1160">
        <f>T38-T35</f>
        <v>-201.3447835648148</v>
      </c>
      <c r="U39" s="1160"/>
      <c r="V39" s="1160">
        <f>V38-V35</f>
        <v>-47.586195891203708</v>
      </c>
      <c r="W39" s="1160"/>
      <c r="AA39" s="1159"/>
      <c r="AB39" s="1159"/>
      <c r="AC39" s="1160">
        <f>AC38-AC35</f>
        <v>-2.2573085648148208</v>
      </c>
      <c r="AD39" s="1160"/>
      <c r="AE39" s="1160">
        <f>AE38-AE35</f>
        <v>-0.34137398726852552</v>
      </c>
      <c r="AF39" s="1160"/>
    </row>
  </sheetData>
  <mergeCells count="110">
    <mergeCell ref="R39:S39"/>
    <mergeCell ref="T39:U39"/>
    <mergeCell ref="V39:W39"/>
    <mergeCell ref="AA39:AB39"/>
    <mergeCell ref="AC39:AD39"/>
    <mergeCell ref="AE39:AF39"/>
    <mergeCell ref="R38:S38"/>
    <mergeCell ref="T38:U38"/>
    <mergeCell ref="V38:W38"/>
    <mergeCell ref="AA38:AB38"/>
    <mergeCell ref="AC38:AD38"/>
    <mergeCell ref="AE38:AF38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R30:S30"/>
    <mergeCell ref="T30:U30"/>
    <mergeCell ref="V30:W30"/>
    <mergeCell ref="AA30:AB30"/>
    <mergeCell ref="AC30:AD30"/>
    <mergeCell ref="AE30:AF30"/>
    <mergeCell ref="R29:S29"/>
    <mergeCell ref="T29:U29"/>
    <mergeCell ref="V29:W29"/>
    <mergeCell ref="AA29:AB29"/>
    <mergeCell ref="AC29:AD29"/>
    <mergeCell ref="AE29:AF29"/>
    <mergeCell ref="Q23:R23"/>
    <mergeCell ref="V23:W23"/>
    <mergeCell ref="Q24:R24"/>
    <mergeCell ref="V24:W24"/>
    <mergeCell ref="R28:W28"/>
    <mergeCell ref="AA28:AF28"/>
    <mergeCell ref="Q20:R20"/>
    <mergeCell ref="V20:W20"/>
    <mergeCell ref="Q21:R21"/>
    <mergeCell ref="V21:W21"/>
    <mergeCell ref="Q22:R22"/>
    <mergeCell ref="V22:W22"/>
    <mergeCell ref="Q18:R18"/>
    <mergeCell ref="V18:W18"/>
    <mergeCell ref="AA18:AB18"/>
    <mergeCell ref="AD18:AE18"/>
    <mergeCell ref="Q19:R19"/>
    <mergeCell ref="V19:W19"/>
    <mergeCell ref="Q15:R15"/>
    <mergeCell ref="V15:W15"/>
    <mergeCell ref="Q16:R16"/>
    <mergeCell ref="V16:W16"/>
    <mergeCell ref="Q17:R17"/>
    <mergeCell ref="V17:W17"/>
    <mergeCell ref="Q13:T13"/>
    <mergeCell ref="V13:Y13"/>
    <mergeCell ref="AA13:AB13"/>
    <mergeCell ref="AD13:AE13"/>
    <mergeCell ref="Q14:R14"/>
    <mergeCell ref="V14:W14"/>
    <mergeCell ref="AA14:AB14"/>
    <mergeCell ref="AD14:AE14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9"/>
  <sheetViews>
    <sheetView topLeftCell="P4" workbookViewId="0">
      <selection activeCell="R9" sqref="R9:S9"/>
    </sheetView>
  </sheetViews>
  <sheetFormatPr defaultRowHeight="15" x14ac:dyDescent="0.25"/>
  <cols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1" width="11.5703125" bestFit="1" customWidth="1"/>
    <col min="64" max="64" width="12" customWidth="1"/>
  </cols>
  <sheetData>
    <row r="1" spans="1:79" ht="30.75" customHeight="1" thickBot="1" x14ac:dyDescent="0.3">
      <c r="A1" s="1396" t="s">
        <v>0</v>
      </c>
      <c r="B1" s="1398" t="s">
        <v>1</v>
      </c>
      <c r="C1" s="1401" t="s">
        <v>2</v>
      </c>
      <c r="D1" s="1402"/>
      <c r="E1" s="1403"/>
      <c r="F1" s="1401" t="s">
        <v>3</v>
      </c>
      <c r="G1" s="1402"/>
      <c r="H1" s="1403"/>
      <c r="I1" s="1401" t="s">
        <v>4</v>
      </c>
      <c r="J1" s="1402"/>
      <c r="K1" s="1403"/>
      <c r="L1" s="1407" t="s">
        <v>5</v>
      </c>
      <c r="M1" s="1407" t="s">
        <v>6</v>
      </c>
      <c r="N1" s="635"/>
      <c r="O1" s="635"/>
      <c r="P1" s="1407" t="s">
        <v>7</v>
      </c>
      <c r="Q1" s="1409" t="s">
        <v>8</v>
      </c>
      <c r="R1" s="1410"/>
      <c r="S1" s="1411"/>
      <c r="T1" s="1412" t="s">
        <v>9</v>
      </c>
      <c r="U1" s="1413"/>
      <c r="V1" s="1413"/>
      <c r="W1" s="1414"/>
      <c r="X1" s="1415" t="s">
        <v>10</v>
      </c>
      <c r="Y1" s="1416"/>
      <c r="Z1" s="1416"/>
      <c r="AA1" s="1417"/>
      <c r="AB1" s="1393" t="s">
        <v>11</v>
      </c>
      <c r="AC1" s="1394"/>
      <c r="AD1" s="1395"/>
      <c r="AE1" s="1381" t="s">
        <v>208</v>
      </c>
      <c r="AF1" s="1382"/>
      <c r="AG1" s="1382"/>
      <c r="AH1" s="1383"/>
      <c r="AI1" s="1384" t="s">
        <v>12</v>
      </c>
      <c r="AJ1" s="1385"/>
      <c r="AK1" s="1363" t="s">
        <v>179</v>
      </c>
      <c r="AL1" s="1364"/>
      <c r="AM1" s="1364"/>
      <c r="AN1" s="1364"/>
      <c r="AO1" s="1364"/>
      <c r="AP1" s="1364"/>
      <c r="AQ1" s="1364"/>
      <c r="AR1" s="1365"/>
      <c r="AS1" s="1228" t="s">
        <v>99</v>
      </c>
      <c r="AT1" s="1229"/>
      <c r="AU1" s="1229"/>
      <c r="AV1" s="1229"/>
      <c r="AW1" s="1230"/>
      <c r="AX1" s="1231" t="s">
        <v>100</v>
      </c>
      <c r="AY1" s="1232"/>
      <c r="AZ1" s="1233"/>
      <c r="BA1" s="1231" t="s">
        <v>101</v>
      </c>
      <c r="BB1" s="1232"/>
      <c r="BC1" s="1232"/>
      <c r="BD1" s="1232"/>
      <c r="BE1" s="1232"/>
      <c r="BF1" s="1232"/>
      <c r="BG1" s="1232"/>
      <c r="BH1" s="1232"/>
      <c r="BI1" s="1233"/>
      <c r="BJ1" s="1386" t="s">
        <v>14</v>
      </c>
      <c r="BK1" s="1387"/>
      <c r="BL1" s="1387"/>
      <c r="BM1" s="1387"/>
      <c r="BN1" s="1387"/>
      <c r="BO1" s="1387"/>
      <c r="BP1" s="1387"/>
      <c r="BQ1" s="1388"/>
      <c r="BR1" s="1389" t="s">
        <v>15</v>
      </c>
      <c r="BS1" s="1390"/>
      <c r="BT1" s="1228" t="s">
        <v>16</v>
      </c>
      <c r="BU1" s="1230"/>
      <c r="BV1" s="1389" t="s">
        <v>130</v>
      </c>
      <c r="BW1" s="1390"/>
      <c r="BX1" s="1391" t="s">
        <v>171</v>
      </c>
      <c r="BY1" s="1392"/>
      <c r="BZ1" s="1379" t="s">
        <v>209</v>
      </c>
      <c r="CA1" s="1380"/>
    </row>
    <row r="2" spans="1:79" ht="225.75" thickBot="1" x14ac:dyDescent="0.3">
      <c r="A2" s="1397"/>
      <c r="B2" s="1399"/>
      <c r="C2" s="1404"/>
      <c r="D2" s="1405"/>
      <c r="E2" s="1406"/>
      <c r="F2" s="1404"/>
      <c r="G2" s="1405"/>
      <c r="H2" s="1406"/>
      <c r="I2" s="1404"/>
      <c r="J2" s="1405"/>
      <c r="K2" s="1406"/>
      <c r="L2" s="1408"/>
      <c r="M2" s="1408"/>
      <c r="N2" s="636" t="s">
        <v>210</v>
      </c>
      <c r="O2" s="636" t="s">
        <v>211</v>
      </c>
      <c r="P2" s="1408"/>
      <c r="Q2" s="637" t="s">
        <v>17</v>
      </c>
      <c r="R2" s="637" t="s">
        <v>18</v>
      </c>
      <c r="S2" s="637" t="s">
        <v>19</v>
      </c>
      <c r="T2" s="638" t="s">
        <v>20</v>
      </c>
      <c r="U2" s="638" t="s">
        <v>21</v>
      </c>
      <c r="V2" s="638" t="s">
        <v>22</v>
      </c>
      <c r="W2" s="638" t="s">
        <v>23</v>
      </c>
      <c r="X2" s="639" t="s">
        <v>24</v>
      </c>
      <c r="Y2" s="639" t="s">
        <v>25</v>
      </c>
      <c r="Z2" s="639" t="s">
        <v>26</v>
      </c>
      <c r="AA2" s="639" t="s">
        <v>27</v>
      </c>
      <c r="AB2" s="640" t="s">
        <v>28</v>
      </c>
      <c r="AC2" s="640" t="s">
        <v>29</v>
      </c>
      <c r="AD2" s="640" t="s">
        <v>30</v>
      </c>
      <c r="AE2" s="641" t="s">
        <v>212</v>
      </c>
      <c r="AF2" s="641" t="s">
        <v>213</v>
      </c>
      <c r="AG2" s="641" t="s">
        <v>214</v>
      </c>
      <c r="AH2" s="641" t="s">
        <v>215</v>
      </c>
      <c r="AI2" s="642" t="s">
        <v>31</v>
      </c>
      <c r="AJ2" s="642" t="s">
        <v>32</v>
      </c>
      <c r="AK2" s="552" t="s">
        <v>180</v>
      </c>
      <c r="AL2" s="552" t="s">
        <v>36</v>
      </c>
      <c r="AM2" s="552" t="s">
        <v>181</v>
      </c>
      <c r="AN2" s="552" t="s">
        <v>36</v>
      </c>
      <c r="AO2" s="552" t="s">
        <v>182</v>
      </c>
      <c r="AP2" s="643" t="s">
        <v>36</v>
      </c>
      <c r="AQ2" s="552" t="s">
        <v>183</v>
      </c>
      <c r="AR2" s="643" t="s">
        <v>36</v>
      </c>
      <c r="AS2" s="644" t="s">
        <v>102</v>
      </c>
      <c r="AT2" s="644" t="s">
        <v>103</v>
      </c>
      <c r="AU2" s="644" t="s">
        <v>104</v>
      </c>
      <c r="AV2" s="644" t="s">
        <v>105</v>
      </c>
      <c r="AW2" s="644" t="s">
        <v>106</v>
      </c>
      <c r="AX2" s="645" t="s">
        <v>107</v>
      </c>
      <c r="AY2" s="645" t="s">
        <v>108</v>
      </c>
      <c r="AZ2" s="645" t="s">
        <v>109</v>
      </c>
      <c r="BA2" s="645" t="s">
        <v>110</v>
      </c>
      <c r="BB2" s="645" t="s">
        <v>111</v>
      </c>
      <c r="BC2" s="645" t="s">
        <v>112</v>
      </c>
      <c r="BD2" s="645" t="s">
        <v>113</v>
      </c>
      <c r="BE2" s="645" t="s">
        <v>114</v>
      </c>
      <c r="BF2" s="645" t="s">
        <v>115</v>
      </c>
      <c r="BG2" s="646" t="s">
        <v>116</v>
      </c>
      <c r="BH2" s="647" t="s">
        <v>117</v>
      </c>
      <c r="BI2" s="645" t="s">
        <v>118</v>
      </c>
      <c r="BJ2" s="648" t="s">
        <v>14</v>
      </c>
      <c r="BK2" s="648" t="s">
        <v>167</v>
      </c>
      <c r="BL2" s="648" t="s">
        <v>39</v>
      </c>
      <c r="BM2" s="648" t="s">
        <v>40</v>
      </c>
      <c r="BN2" s="648" t="s">
        <v>41</v>
      </c>
      <c r="BO2" s="648" t="s">
        <v>43</v>
      </c>
      <c r="BP2" s="648" t="s">
        <v>44</v>
      </c>
      <c r="BQ2" s="648" t="s">
        <v>46</v>
      </c>
      <c r="BR2" s="649" t="s">
        <v>47</v>
      </c>
      <c r="BS2" s="649" t="s">
        <v>48</v>
      </c>
      <c r="BT2" s="644" t="s">
        <v>49</v>
      </c>
      <c r="BU2" s="644" t="s">
        <v>50</v>
      </c>
      <c r="BV2" s="649" t="s">
        <v>131</v>
      </c>
      <c r="BW2" s="649" t="s">
        <v>132</v>
      </c>
      <c r="BX2" s="565" t="s">
        <v>172</v>
      </c>
      <c r="BY2" s="565" t="s">
        <v>173</v>
      </c>
      <c r="BZ2" s="650" t="s">
        <v>216</v>
      </c>
      <c r="CA2" s="650" t="s">
        <v>217</v>
      </c>
    </row>
    <row r="3" spans="1:79" ht="90.75" thickBot="1" x14ac:dyDescent="0.3">
      <c r="A3" s="651"/>
      <c r="B3" s="1400"/>
      <c r="C3" s="652" t="s">
        <v>185</v>
      </c>
      <c r="D3" s="652" t="s">
        <v>186</v>
      </c>
      <c r="E3" s="652" t="s">
        <v>187</v>
      </c>
      <c r="F3" s="652" t="s">
        <v>185</v>
      </c>
      <c r="G3" s="652" t="s">
        <v>186</v>
      </c>
      <c r="H3" s="652" t="s">
        <v>187</v>
      </c>
      <c r="I3" s="652" t="s">
        <v>185</v>
      </c>
      <c r="J3" s="652" t="s">
        <v>186</v>
      </c>
      <c r="K3" s="652" t="s">
        <v>187</v>
      </c>
      <c r="L3" s="652" t="s">
        <v>58</v>
      </c>
      <c r="M3" s="652" t="s">
        <v>188</v>
      </c>
      <c r="N3" s="652" t="s">
        <v>218</v>
      </c>
      <c r="O3" s="671" t="s">
        <v>120</v>
      </c>
      <c r="P3" s="671" t="s">
        <v>189</v>
      </c>
      <c r="Q3" s="652" t="s">
        <v>190</v>
      </c>
      <c r="R3" s="652" t="s">
        <v>190</v>
      </c>
      <c r="S3" s="652" t="s">
        <v>190</v>
      </c>
      <c r="T3" s="652" t="s">
        <v>190</v>
      </c>
      <c r="U3" s="652" t="s">
        <v>190</v>
      </c>
      <c r="V3" s="652" t="s">
        <v>57</v>
      </c>
      <c r="W3" s="652" t="s">
        <v>57</v>
      </c>
      <c r="X3" s="652" t="s">
        <v>57</v>
      </c>
      <c r="Y3" s="652" t="s">
        <v>57</v>
      </c>
      <c r="Z3" s="652" t="s">
        <v>57</v>
      </c>
      <c r="AA3" s="652" t="s">
        <v>57</v>
      </c>
      <c r="AB3" s="652" t="s">
        <v>57</v>
      </c>
      <c r="AC3" s="652" t="s">
        <v>57</v>
      </c>
      <c r="AD3" s="671" t="s">
        <v>57</v>
      </c>
      <c r="AE3" s="671" t="s">
        <v>219</v>
      </c>
      <c r="AF3" s="671" t="s">
        <v>220</v>
      </c>
      <c r="AG3" s="671" t="s">
        <v>219</v>
      </c>
      <c r="AH3" s="672" t="s">
        <v>221</v>
      </c>
      <c r="AI3" s="671" t="s">
        <v>57</v>
      </c>
      <c r="AJ3" s="671" t="s">
        <v>57</v>
      </c>
      <c r="AK3" s="671" t="s">
        <v>58</v>
      </c>
      <c r="AL3" s="652" t="s">
        <v>57</v>
      </c>
      <c r="AM3" s="652" t="s">
        <v>54</v>
      </c>
      <c r="AN3" s="652" t="s">
        <v>57</v>
      </c>
      <c r="AO3" s="652" t="s">
        <v>54</v>
      </c>
      <c r="AP3" s="652" t="s">
        <v>57</v>
      </c>
      <c r="AQ3" s="652" t="s">
        <v>54</v>
      </c>
      <c r="AR3" s="652" t="s">
        <v>57</v>
      </c>
      <c r="AS3" s="652" t="s">
        <v>62</v>
      </c>
      <c r="AT3" s="652" t="s">
        <v>62</v>
      </c>
      <c r="AU3" s="652" t="s">
        <v>62</v>
      </c>
      <c r="AV3" s="652" t="s">
        <v>54</v>
      </c>
      <c r="AW3" s="652" t="s">
        <v>57</v>
      </c>
      <c r="AX3" s="652" t="s">
        <v>62</v>
      </c>
      <c r="AY3" s="652" t="s">
        <v>54</v>
      </c>
      <c r="AZ3" s="652" t="s">
        <v>119</v>
      </c>
      <c r="BA3" s="652" t="s">
        <v>62</v>
      </c>
      <c r="BB3" s="652" t="s">
        <v>62</v>
      </c>
      <c r="BC3" s="652" t="s">
        <v>120</v>
      </c>
      <c r="BD3" s="652" t="s">
        <v>54</v>
      </c>
      <c r="BE3" s="652" t="s">
        <v>120</v>
      </c>
      <c r="BF3" s="652" t="s">
        <v>54</v>
      </c>
      <c r="BG3" s="652" t="s">
        <v>120</v>
      </c>
      <c r="BH3" s="652" t="s">
        <v>120</v>
      </c>
      <c r="BI3" s="652" t="s">
        <v>120</v>
      </c>
      <c r="BJ3" s="652" t="s">
        <v>54</v>
      </c>
      <c r="BK3" s="653" t="s">
        <v>168</v>
      </c>
      <c r="BL3" s="652" t="s">
        <v>59</v>
      </c>
      <c r="BM3" s="652" t="s">
        <v>60</v>
      </c>
      <c r="BN3" s="652" t="s">
        <v>61</v>
      </c>
      <c r="BO3" s="652" t="s">
        <v>57</v>
      </c>
      <c r="BP3" s="652" t="s">
        <v>127</v>
      </c>
      <c r="BQ3" s="652" t="s">
        <v>127</v>
      </c>
      <c r="BR3" s="652" t="s">
        <v>120</v>
      </c>
      <c r="BS3" s="652" t="s">
        <v>120</v>
      </c>
      <c r="BT3" s="652" t="s">
        <v>120</v>
      </c>
      <c r="BU3" s="652" t="s">
        <v>120</v>
      </c>
      <c r="BV3" s="652" t="s">
        <v>54</v>
      </c>
      <c r="BW3" s="652" t="s">
        <v>54</v>
      </c>
      <c r="BX3" s="565" t="s">
        <v>120</v>
      </c>
      <c r="BY3" s="565" t="s">
        <v>174</v>
      </c>
      <c r="BZ3" s="650" t="s">
        <v>120</v>
      </c>
      <c r="CA3" s="650" t="s">
        <v>222</v>
      </c>
    </row>
    <row r="4" spans="1:79" ht="31.5" x14ac:dyDescent="0.25">
      <c r="A4" s="45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675">
        <v>0</v>
      </c>
      <c r="O4" s="703" t="s">
        <v>67</v>
      </c>
      <c r="P4" s="703">
        <v>0</v>
      </c>
      <c r="Q4" s="677">
        <f>SUM(T4,X4,AB4,AS4,AX4,BA4)</f>
        <v>8.3515178571428574</v>
      </c>
      <c r="R4" s="438">
        <f>SUM(U4,Y4,AC4,AI4,AT4,BB4)</f>
        <v>6.6440964285714283</v>
      </c>
      <c r="S4" s="438">
        <f>SUM(V4,Z4,AD4,AJ4,AJ4,AU4)</f>
        <v>1.7514988839285717</v>
      </c>
      <c r="T4" s="453">
        <f>S17</f>
        <v>3.711785714285714</v>
      </c>
      <c r="U4" s="453">
        <f>T4/100*70</f>
        <v>2.5982499999999997</v>
      </c>
      <c r="V4" s="453">
        <f>U4/100*25</f>
        <v>0.64956249999999993</v>
      </c>
      <c r="W4" s="453">
        <v>0</v>
      </c>
      <c r="X4" s="454">
        <f>S18</f>
        <v>2.7838392857142855</v>
      </c>
      <c r="Y4" s="454">
        <f>X4/100*70</f>
        <v>1.9486874999999999</v>
      </c>
      <c r="Z4" s="454">
        <f>Y4/100*25</f>
        <v>0.48717187500000003</v>
      </c>
      <c r="AA4" s="454">
        <v>0</v>
      </c>
      <c r="AB4" s="455">
        <f>S19</f>
        <v>0.46397321428571425</v>
      </c>
      <c r="AC4" s="668">
        <f>AB4/100*70</f>
        <v>0.32478124999999997</v>
      </c>
      <c r="AD4" s="455">
        <f>AC4/100*25</f>
        <v>8.1195312499999991E-2</v>
      </c>
      <c r="AE4" s="697">
        <v>0</v>
      </c>
      <c r="AF4" s="698">
        <v>0</v>
      </c>
      <c r="AG4" s="698">
        <v>0</v>
      </c>
      <c r="AH4" s="698">
        <v>0</v>
      </c>
      <c r="AI4" s="456">
        <f>S20</f>
        <v>0.92794642857142851</v>
      </c>
      <c r="AJ4" s="456">
        <f>AI4/100*20</f>
        <v>0.18558928571428571</v>
      </c>
      <c r="AK4" s="395">
        <v>0</v>
      </c>
      <c r="AL4" s="669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0.92794642857142851</v>
      </c>
      <c r="AT4" s="457">
        <f>AS4/100*70</f>
        <v>0.64956249999999993</v>
      </c>
      <c r="AU4" s="457">
        <f>AT4/100*25</f>
        <v>0.16239062499999998</v>
      </c>
      <c r="AV4" s="457">
        <v>0</v>
      </c>
      <c r="AW4" s="457">
        <v>0</v>
      </c>
      <c r="AX4" s="458">
        <f>S22</f>
        <v>0.18558928571428571</v>
      </c>
      <c r="AY4" s="469">
        <v>4</v>
      </c>
      <c r="AZ4" s="459"/>
      <c r="BA4" s="460">
        <f>S23</f>
        <v>0.27838392857142857</v>
      </c>
      <c r="BB4" s="458">
        <f>BA4/100*70</f>
        <v>0.19486875000000001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v>1450</v>
      </c>
      <c r="BP4" s="461">
        <v>0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t="s">
        <v>67</v>
      </c>
      <c r="CA4" t="s">
        <v>223</v>
      </c>
    </row>
    <row r="5" spans="1:79" ht="31.5" x14ac:dyDescent="0.25">
      <c r="A5" s="50">
        <v>50</v>
      </c>
      <c r="B5" s="702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676">
        <v>0</v>
      </c>
      <c r="O5" s="703" t="s">
        <v>67</v>
      </c>
      <c r="P5" s="679"/>
      <c r="Q5" s="677">
        <f>SUM(T5,X5,AB5,AS5,AX5,BA5)</f>
        <v>8.7356249999999989</v>
      </c>
      <c r="R5" s="438">
        <f>SUM(U5,Y5,AC5,AI5,AT5,BB5)</f>
        <v>6.9496750000000009</v>
      </c>
      <c r="S5" s="438">
        <f>SUM(V5,Z5,AD5,AJ5,AU5)</f>
        <v>1.6379296875000002</v>
      </c>
      <c r="T5" s="453">
        <f>X17</f>
        <v>3.8825000000000003</v>
      </c>
      <c r="U5" s="453">
        <f>T5/100*70</f>
        <v>2.7177500000000006</v>
      </c>
      <c r="V5" s="453">
        <f>U5/100*25</f>
        <v>0.67943750000000014</v>
      </c>
      <c r="W5" s="345">
        <v>0</v>
      </c>
      <c r="X5" s="454">
        <f>X18</f>
        <v>2.9118750000000002</v>
      </c>
      <c r="Y5" s="454">
        <f>X5/100*70</f>
        <v>2.0383125</v>
      </c>
      <c r="Z5" s="454">
        <f>Y5/100*25</f>
        <v>0.50957812499999999</v>
      </c>
      <c r="AA5" s="346">
        <v>0</v>
      </c>
      <c r="AB5" s="455">
        <f>X19</f>
        <v>0.48531250000000004</v>
      </c>
      <c r="AC5" s="668">
        <f>AB5/100*70</f>
        <v>0.33971875000000007</v>
      </c>
      <c r="AD5" s="455">
        <f>AC5/100*25</f>
        <v>8.4929687500000017E-2</v>
      </c>
      <c r="AE5" s="698">
        <v>0</v>
      </c>
      <c r="AF5" s="698">
        <v>0</v>
      </c>
      <c r="AG5" s="698">
        <v>0</v>
      </c>
      <c r="AH5" s="698">
        <v>0</v>
      </c>
      <c r="AI5" s="456">
        <f>X20</f>
        <v>0.97062500000000007</v>
      </c>
      <c r="AJ5" s="456">
        <f>AI5/100*20</f>
        <v>0.19412500000000002</v>
      </c>
      <c r="AK5" s="342">
        <v>0</v>
      </c>
      <c r="AL5" s="670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0.97062500000000007</v>
      </c>
      <c r="AT5" s="457">
        <f>AS5/100*70</f>
        <v>0.67943750000000014</v>
      </c>
      <c r="AU5" s="457">
        <f>AT5/100*25</f>
        <v>0.16985937500000003</v>
      </c>
      <c r="AV5" s="349">
        <v>0</v>
      </c>
      <c r="AW5" s="349">
        <v>0</v>
      </c>
      <c r="AX5" s="458">
        <f>X22</f>
        <v>0.19412500000000002</v>
      </c>
      <c r="AY5" s="350">
        <v>1</v>
      </c>
      <c r="AZ5" s="361"/>
      <c r="BA5" s="458">
        <f>X23</f>
        <v>0.29118750000000004</v>
      </c>
      <c r="BB5" s="458">
        <f>BA5/100*70</f>
        <v>0.20383125000000002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362">
        <v>820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t="s">
        <v>67</v>
      </c>
      <c r="CA5" t="s">
        <v>224</v>
      </c>
    </row>
    <row r="6" spans="1:79" x14ac:dyDescent="0.25">
      <c r="A6" s="526"/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674"/>
      <c r="P6" s="674"/>
      <c r="Q6" s="685"/>
      <c r="R6" s="526"/>
      <c r="S6" s="526"/>
      <c r="T6" s="526"/>
      <c r="U6" s="526"/>
      <c r="V6" s="526"/>
      <c r="W6" s="526"/>
      <c r="X6" s="526"/>
      <c r="Y6" s="526"/>
      <c r="Z6" s="526"/>
      <c r="AA6" s="526"/>
      <c r="AB6" s="526"/>
      <c r="AC6" s="526"/>
      <c r="AD6" s="673"/>
      <c r="AE6" s="686"/>
      <c r="AF6" s="686"/>
      <c r="AG6" s="686"/>
      <c r="AH6" s="686"/>
      <c r="AI6" s="673"/>
      <c r="AJ6" s="673"/>
      <c r="AK6" s="673"/>
      <c r="AL6" s="526"/>
      <c r="AM6" s="526"/>
      <c r="AN6" s="526"/>
      <c r="AO6" s="526"/>
      <c r="AP6" s="526"/>
      <c r="AQ6" s="526"/>
      <c r="AR6" s="526"/>
      <c r="AS6" s="526"/>
      <c r="AT6" s="526"/>
      <c r="AU6" s="526"/>
      <c r="AV6" s="526"/>
      <c r="AW6" s="526"/>
      <c r="AX6" s="526"/>
      <c r="AY6" s="526"/>
      <c r="AZ6" s="526"/>
      <c r="BA6" s="526"/>
      <c r="BB6" s="526"/>
      <c r="BC6" s="526"/>
      <c r="BD6" s="526"/>
      <c r="BE6" s="526"/>
      <c r="BF6" s="526"/>
      <c r="BG6" s="526"/>
      <c r="BH6" s="526"/>
      <c r="BI6" s="526"/>
      <c r="BJ6" s="526"/>
      <c r="BK6" s="526"/>
      <c r="BL6" s="526"/>
      <c r="BM6" s="526"/>
      <c r="BN6" s="526"/>
      <c r="BO6" s="526"/>
      <c r="BP6" s="526"/>
      <c r="BQ6" s="526"/>
      <c r="BR6" s="526"/>
      <c r="BS6" s="526"/>
      <c r="BT6" s="526"/>
      <c r="BU6" s="526"/>
      <c r="BV6" s="526"/>
      <c r="BW6" s="526"/>
      <c r="BX6" s="526"/>
      <c r="BY6" s="526"/>
    </row>
    <row r="7" spans="1:79" ht="31.5" x14ac:dyDescent="0.25">
      <c r="A7" s="50">
        <v>60</v>
      </c>
      <c r="B7" s="702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676">
        <v>0</v>
      </c>
      <c r="O7" s="703" t="s">
        <v>65</v>
      </c>
      <c r="P7" s="703">
        <v>0</v>
      </c>
      <c r="Q7" s="678">
        <f>SUM(T7,X7,AB7,AS7,AX7,BA7)</f>
        <v>258.89705357142856</v>
      </c>
      <c r="R7" s="394">
        <f>SUM(U7,Y7,AC7,AI7,AT7,BB7)</f>
        <v>205.96698928571428</v>
      </c>
      <c r="S7" s="394">
        <f>SUM(V7,Z7,AD7,AJ7,AU7)</f>
        <v>48.543197544642858</v>
      </c>
      <c r="T7" s="527">
        <f>31*T4</f>
        <v>115.06535714285714</v>
      </c>
      <c r="U7" s="527">
        <f>31*U4</f>
        <v>80.545749999999998</v>
      </c>
      <c r="V7" s="527">
        <f t="shared" ref="U7:W8" si="0">31*V4</f>
        <v>20.1364375</v>
      </c>
      <c r="W7" s="527">
        <f t="shared" si="0"/>
        <v>0</v>
      </c>
      <c r="X7" s="528">
        <f>31*X4</f>
        <v>86.299017857142857</v>
      </c>
      <c r="Y7" s="528">
        <f t="shared" ref="Y7:AA8" si="1">31*Y4</f>
        <v>60.409312499999999</v>
      </c>
      <c r="Z7" s="528">
        <f t="shared" si="1"/>
        <v>15.102328125000001</v>
      </c>
      <c r="AA7" s="528">
        <f t="shared" si="1"/>
        <v>0</v>
      </c>
      <c r="AB7" s="680">
        <f>31*AB4</f>
        <v>14.383169642857142</v>
      </c>
      <c r="AC7" s="680">
        <f t="shared" ref="AC7:AD8" si="2">31*AC4</f>
        <v>10.06821875</v>
      </c>
      <c r="AD7" s="680">
        <f t="shared" si="2"/>
        <v>2.5170546874999999</v>
      </c>
      <c r="AE7" s="680">
        <v>0</v>
      </c>
      <c r="AF7" s="680">
        <v>0</v>
      </c>
      <c r="AG7" s="680">
        <v>0</v>
      </c>
      <c r="AH7" s="680">
        <v>0</v>
      </c>
      <c r="AI7" s="681">
        <f>AI4*31</f>
        <v>28.766339285714285</v>
      </c>
      <c r="AJ7" s="681">
        <f>AJ4*31</f>
        <v>5.7532678571428573</v>
      </c>
      <c r="AK7" s="395">
        <v>0</v>
      </c>
      <c r="AL7" s="669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AS4*31</f>
        <v>28.766339285714285</v>
      </c>
      <c r="AT7" s="682">
        <f t="shared" ref="AT7:AW8" si="3">AT4*31</f>
        <v>20.1364375</v>
      </c>
      <c r="AU7" s="682">
        <f t="shared" si="3"/>
        <v>5.0341093749999999</v>
      </c>
      <c r="AV7" s="682">
        <f t="shared" si="3"/>
        <v>0</v>
      </c>
      <c r="AW7" s="682">
        <f t="shared" si="3"/>
        <v>0</v>
      </c>
      <c r="AX7" s="469">
        <f>AX4*31</f>
        <v>5.7532678571428573</v>
      </c>
      <c r="AY7" s="469">
        <v>4</v>
      </c>
      <c r="AZ7" s="683"/>
      <c r="BA7" s="684">
        <f>BA4*31</f>
        <v>8.629901785714285</v>
      </c>
      <c r="BB7" s="684">
        <f>BB4*31</f>
        <v>6.0409312499999999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t="s">
        <v>67</v>
      </c>
      <c r="CA7" t="s">
        <v>223</v>
      </c>
    </row>
    <row r="8" spans="1:79" ht="31.5" x14ac:dyDescent="0.25">
      <c r="A8" s="50">
        <v>50</v>
      </c>
      <c r="B8" s="702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676">
        <v>0</v>
      </c>
      <c r="O8" s="703" t="s">
        <v>67</v>
      </c>
      <c r="P8" s="679">
        <v>17620</v>
      </c>
      <c r="Q8" s="678">
        <f>SUM(T8,X8,AB8,AS8,AX8,BA8)</f>
        <v>270.80437500000005</v>
      </c>
      <c r="R8" s="394">
        <f>SUM(U8,Y8,AC8,AI8,AT8,BB8)</f>
        <v>215.43992500000007</v>
      </c>
      <c r="S8" s="394">
        <f>SUM(V8,Z8,AD8,AJ8,AU8)</f>
        <v>50.775820312500016</v>
      </c>
      <c r="T8" s="527">
        <f>31*T5</f>
        <v>120.35750000000002</v>
      </c>
      <c r="U8" s="527">
        <f t="shared" si="0"/>
        <v>84.250250000000023</v>
      </c>
      <c r="V8" s="527">
        <f t="shared" si="0"/>
        <v>21.062562500000006</v>
      </c>
      <c r="W8" s="527">
        <f t="shared" si="0"/>
        <v>0</v>
      </c>
      <c r="X8" s="528">
        <f>31*X5</f>
        <v>90.268125000000012</v>
      </c>
      <c r="Y8" s="528">
        <f t="shared" si="1"/>
        <v>63.187687499999996</v>
      </c>
      <c r="Z8" s="528">
        <f t="shared" si="1"/>
        <v>15.796921874999999</v>
      </c>
      <c r="AA8" s="528">
        <f t="shared" si="1"/>
        <v>0</v>
      </c>
      <c r="AB8" s="680">
        <f>31*AB5</f>
        <v>15.044687500000002</v>
      </c>
      <c r="AC8" s="680">
        <f t="shared" si="2"/>
        <v>10.531281250000003</v>
      </c>
      <c r="AD8" s="680">
        <f t="shared" si="2"/>
        <v>2.6328203125000007</v>
      </c>
      <c r="AE8" s="680">
        <v>0</v>
      </c>
      <c r="AF8" s="680">
        <v>0</v>
      </c>
      <c r="AG8" s="680">
        <v>0</v>
      </c>
      <c r="AH8" s="680">
        <v>0</v>
      </c>
      <c r="AI8" s="681">
        <f>AI5*31</f>
        <v>30.089375000000004</v>
      </c>
      <c r="AJ8" s="681">
        <f>AJ5*31</f>
        <v>6.017875000000001</v>
      </c>
      <c r="AK8" s="395">
        <v>0</v>
      </c>
      <c r="AL8" s="669">
        <v>0</v>
      </c>
      <c r="AM8" s="395">
        <v>1</v>
      </c>
      <c r="AN8" s="395">
        <v>1.6</v>
      </c>
      <c r="AO8" s="395">
        <v>0</v>
      </c>
      <c r="AP8" s="395">
        <v>0</v>
      </c>
      <c r="AQ8" s="395">
        <v>0</v>
      </c>
      <c r="AR8" s="395">
        <v>0</v>
      </c>
      <c r="AS8" s="682">
        <f>AS5*31</f>
        <v>30.089375000000004</v>
      </c>
      <c r="AT8" s="682">
        <f t="shared" si="3"/>
        <v>21.062562500000006</v>
      </c>
      <c r="AU8" s="682">
        <f t="shared" si="3"/>
        <v>5.2656406250000014</v>
      </c>
      <c r="AV8" s="682">
        <f t="shared" si="3"/>
        <v>0</v>
      </c>
      <c r="AW8" s="682">
        <f t="shared" si="3"/>
        <v>0</v>
      </c>
      <c r="AX8" s="469">
        <f>AX5*31</f>
        <v>6.017875000000001</v>
      </c>
      <c r="AY8" s="469">
        <v>1</v>
      </c>
      <c r="AZ8" s="683"/>
      <c r="BA8" s="684">
        <f>BA5*31</f>
        <v>9.0268125000000019</v>
      </c>
      <c r="BB8" s="684">
        <f>BB5*31</f>
        <v>6.3187687500000003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t="s">
        <v>67</v>
      </c>
      <c r="CA8" t="s">
        <v>224</v>
      </c>
    </row>
    <row r="9" spans="1:79" x14ac:dyDescent="0.25">
      <c r="R9" s="393">
        <f>R8+R7</f>
        <v>421.40691428571438</v>
      </c>
      <c r="S9" s="393">
        <f>S8+S7</f>
        <v>99.319017857142882</v>
      </c>
      <c r="AE9" s="393"/>
      <c r="AF9" s="393"/>
      <c r="AG9" s="393"/>
      <c r="AH9" s="393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</row>
    <row r="14" spans="1:79" x14ac:dyDescent="0.25">
      <c r="Q14" s="1127" t="s">
        <v>192</v>
      </c>
      <c r="R14" s="1128"/>
      <c r="S14" s="704">
        <v>31179</v>
      </c>
      <c r="T14" s="704"/>
      <c r="V14" s="1127" t="s">
        <v>192</v>
      </c>
      <c r="W14" s="1128"/>
      <c r="X14" s="704">
        <v>32613</v>
      </c>
      <c r="Y14" s="704"/>
      <c r="AA14" s="1134" t="s">
        <v>199</v>
      </c>
      <c r="AB14" s="1135"/>
      <c r="AD14" s="1134" t="s">
        <v>199</v>
      </c>
      <c r="AE14" s="1135"/>
    </row>
    <row r="15" spans="1:79" x14ac:dyDescent="0.25">
      <c r="Q15" s="1127" t="s">
        <v>193</v>
      </c>
      <c r="R15" s="1128"/>
      <c r="S15" s="704">
        <v>270</v>
      </c>
      <c r="T15" s="704" t="s">
        <v>194</v>
      </c>
      <c r="V15" s="1127" t="s">
        <v>193</v>
      </c>
      <c r="W15" s="1128"/>
      <c r="X15" s="704">
        <v>270</v>
      </c>
      <c r="Y15" s="704" t="s">
        <v>194</v>
      </c>
      <c r="AA15" s="249"/>
      <c r="AB15" s="634">
        <f>108*S14/1000000</f>
        <v>3.3673320000000002</v>
      </c>
      <c r="AD15" s="249"/>
      <c r="AE15" s="634">
        <f>108*X14/1000000</f>
        <v>3.5222039999999999</v>
      </c>
    </row>
    <row r="16" spans="1:79" x14ac:dyDescent="0.25">
      <c r="N16">
        <v>210</v>
      </c>
      <c r="Q16" s="1127" t="s">
        <v>195</v>
      </c>
      <c r="R16" s="1128"/>
      <c r="S16" s="596">
        <f>S14*S15/907200</f>
        <v>9.2794642857142851</v>
      </c>
      <c r="T16" s="704"/>
      <c r="V16" s="1127" t="s">
        <v>195</v>
      </c>
      <c r="W16" s="1128"/>
      <c r="X16" s="596">
        <f>X14*X15/907200</f>
        <v>9.7062500000000007</v>
      </c>
      <c r="Y16" s="704"/>
      <c r="AA16" s="249"/>
      <c r="AB16" s="634">
        <f>AB15*31</f>
        <v>104.387292</v>
      </c>
      <c r="AD16" s="249"/>
      <c r="AE16" s="634">
        <f>AE15*31</f>
        <v>109.18832399999999</v>
      </c>
    </row>
    <row r="17" spans="14:36" x14ac:dyDescent="0.25">
      <c r="N17">
        <v>158</v>
      </c>
      <c r="Q17" s="1132" t="s">
        <v>9</v>
      </c>
      <c r="R17" s="1133"/>
      <c r="S17" s="592">
        <f>S16/100*40</f>
        <v>3.711785714285714</v>
      </c>
      <c r="T17" s="704">
        <v>40</v>
      </c>
      <c r="V17" s="1132" t="s">
        <v>9</v>
      </c>
      <c r="W17" s="1133"/>
      <c r="X17" s="592">
        <f>X16/100*40</f>
        <v>3.8825000000000003</v>
      </c>
      <c r="Y17" s="704">
        <v>40</v>
      </c>
      <c r="AA17" s="249"/>
      <c r="AB17" s="249"/>
      <c r="AD17" s="249"/>
      <c r="AE17" s="249"/>
      <c r="AJ17">
        <v>223</v>
      </c>
    </row>
    <row r="18" spans="14:36" x14ac:dyDescent="0.25">
      <c r="N18">
        <f>N16-N17</f>
        <v>52</v>
      </c>
      <c r="Q18" s="1132" t="s">
        <v>10</v>
      </c>
      <c r="R18" s="1133"/>
      <c r="S18" s="592">
        <f>S16/100*30</f>
        <v>2.7838392857142855</v>
      </c>
      <c r="T18" s="704">
        <v>30</v>
      </c>
      <c r="V18" s="1132" t="s">
        <v>10</v>
      </c>
      <c r="W18" s="1133"/>
      <c r="X18" s="592">
        <f>X16/100*30</f>
        <v>2.9118750000000002</v>
      </c>
      <c r="Y18" s="704">
        <v>30</v>
      </c>
      <c r="AA18" s="1137" t="s">
        <v>225</v>
      </c>
      <c r="AB18" s="1138"/>
      <c r="AD18" s="1137" t="s">
        <v>225</v>
      </c>
      <c r="AE18" s="1138"/>
      <c r="AJ18">
        <v>166</v>
      </c>
    </row>
    <row r="19" spans="14:36" x14ac:dyDescent="0.25">
      <c r="Q19" s="1132" t="s">
        <v>11</v>
      </c>
      <c r="R19" s="1133"/>
      <c r="S19" s="592">
        <f>S16/100*5</f>
        <v>0.46397321428571425</v>
      </c>
      <c r="T19" s="704">
        <v>5</v>
      </c>
      <c r="V19" s="1132" t="s">
        <v>11</v>
      </c>
      <c r="W19" s="1133"/>
      <c r="X19" s="592">
        <f>X16/100*5</f>
        <v>0.48531250000000004</v>
      </c>
      <c r="Y19" s="704">
        <v>5</v>
      </c>
      <c r="AA19" s="249"/>
      <c r="AB19" s="634">
        <f>120*S14/250</f>
        <v>14965.92</v>
      </c>
      <c r="AD19" s="249"/>
      <c r="AE19" s="634">
        <f>120*X14/250</f>
        <v>15654.24</v>
      </c>
      <c r="AJ19">
        <f>AJ17-AJ18</f>
        <v>57</v>
      </c>
    </row>
    <row r="20" spans="14:36" x14ac:dyDescent="0.25">
      <c r="Q20" s="1132" t="s">
        <v>12</v>
      </c>
      <c r="R20" s="1133"/>
      <c r="S20" s="592">
        <f>S16/100*10</f>
        <v>0.92794642857142851</v>
      </c>
      <c r="T20" s="704">
        <v>10</v>
      </c>
      <c r="V20" s="1132" t="s">
        <v>12</v>
      </c>
      <c r="W20" s="1133"/>
      <c r="X20" s="592">
        <f>X16/100*10</f>
        <v>0.97062500000000007</v>
      </c>
      <c r="Y20" s="704">
        <v>10</v>
      </c>
      <c r="AA20" s="249"/>
      <c r="AB20" s="634">
        <f>AB19/1000</f>
        <v>14.965920000000001</v>
      </c>
      <c r="AD20" s="249"/>
      <c r="AE20" s="634">
        <f>AE19/1000</f>
        <v>15.65424</v>
      </c>
      <c r="AJ20">
        <v>20</v>
      </c>
    </row>
    <row r="21" spans="14:36" x14ac:dyDescent="0.25">
      <c r="Q21" s="1132" t="s">
        <v>99</v>
      </c>
      <c r="R21" s="1133"/>
      <c r="S21" s="592">
        <f>S16/100*10</f>
        <v>0.92794642857142851</v>
      </c>
      <c r="T21" s="704">
        <v>10</v>
      </c>
      <c r="V21" s="1132" t="s">
        <v>99</v>
      </c>
      <c r="W21" s="1133"/>
      <c r="X21" s="592">
        <f>X16/100*10</f>
        <v>0.97062500000000007</v>
      </c>
      <c r="Y21" s="704">
        <v>10</v>
      </c>
      <c r="AA21" s="249"/>
      <c r="AB21" s="634">
        <f>AB20*31</f>
        <v>463.94352000000003</v>
      </c>
      <c r="AD21" s="249"/>
      <c r="AE21" s="634">
        <f>AE20*31</f>
        <v>485.28143999999998</v>
      </c>
      <c r="AJ21">
        <f>AJ19-AJ20</f>
        <v>37</v>
      </c>
    </row>
    <row r="22" spans="14:36" x14ac:dyDescent="0.25">
      <c r="Q22" s="1132" t="s">
        <v>100</v>
      </c>
      <c r="R22" s="1133"/>
      <c r="S22" s="592">
        <f>S16/100*2</f>
        <v>0.18558928571428571</v>
      </c>
      <c r="T22" s="704">
        <v>2</v>
      </c>
      <c r="V22" s="1132" t="s">
        <v>100</v>
      </c>
      <c r="W22" s="1133"/>
      <c r="X22" s="592">
        <f>X16/100*2</f>
        <v>0.19412500000000002</v>
      </c>
      <c r="Y22" s="704">
        <v>2</v>
      </c>
      <c r="AA22" s="249"/>
      <c r="AB22" s="634">
        <f>AB21/100*2</f>
        <v>9.2788704000000006</v>
      </c>
      <c r="AD22" s="249"/>
      <c r="AE22" s="634">
        <f>AE21/100*2</f>
        <v>9.7056287999999995</v>
      </c>
    </row>
    <row r="23" spans="14:36" x14ac:dyDescent="0.25">
      <c r="Q23" s="1132" t="s">
        <v>101</v>
      </c>
      <c r="R23" s="1133"/>
      <c r="S23" s="592">
        <f>S16/100*3</f>
        <v>0.27838392857142857</v>
      </c>
      <c r="T23" s="704">
        <v>3</v>
      </c>
      <c r="V23" s="1132" t="s">
        <v>101</v>
      </c>
      <c r="W23" s="1133"/>
      <c r="X23" s="592">
        <f>X16/100*3</f>
        <v>0.29118750000000004</v>
      </c>
      <c r="Y23" s="704">
        <v>3</v>
      </c>
      <c r="AF23">
        <f>S19/30</f>
        <v>1.5465773809523808E-2</v>
      </c>
    </row>
    <row r="24" spans="14:36" x14ac:dyDescent="0.25">
      <c r="Q24" s="1140" t="s">
        <v>89</v>
      </c>
      <c r="R24" s="1141"/>
      <c r="S24" s="596">
        <f>SUM(S17:S23)</f>
        <v>9.2794642857142868</v>
      </c>
      <c r="T24" s="704">
        <f>SUM(T17:T23)</f>
        <v>100</v>
      </c>
      <c r="V24" s="1140" t="s">
        <v>89</v>
      </c>
      <c r="W24" s="1141"/>
      <c r="X24" s="596">
        <f>SUM(X17:X23)</f>
        <v>9.7062499999999989</v>
      </c>
      <c r="Y24" s="704">
        <f>SUM(Y17:Y23)</f>
        <v>100</v>
      </c>
    </row>
    <row r="28" spans="14:36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1149"/>
      <c r="AF28" s="1149"/>
    </row>
    <row r="29" spans="14:36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</row>
    <row r="30" spans="14:36" x14ac:dyDescent="0.25">
      <c r="R30" s="1147" t="s">
        <v>90</v>
      </c>
      <c r="S30" s="1147"/>
      <c r="T30" s="1152">
        <v>50</v>
      </c>
      <c r="U30" s="1152"/>
      <c r="V30" s="1152">
        <v>5</v>
      </c>
      <c r="W30" s="1152"/>
      <c r="AA30" s="1147" t="s">
        <v>90</v>
      </c>
      <c r="AB30" s="1147"/>
      <c r="AC30" s="1152">
        <v>56</v>
      </c>
      <c r="AD30" s="1152"/>
      <c r="AE30" s="1152">
        <v>8</v>
      </c>
      <c r="AF30" s="1152"/>
    </row>
    <row r="31" spans="14:36" x14ac:dyDescent="0.25">
      <c r="R31" s="1147" t="s">
        <v>86</v>
      </c>
      <c r="S31" s="1147"/>
      <c r="T31" s="1148">
        <f>U7</f>
        <v>80.545749999999998</v>
      </c>
      <c r="U31" s="1148"/>
      <c r="V31" s="1148">
        <f>V7</f>
        <v>20.1364375</v>
      </c>
      <c r="W31" s="1148"/>
      <c r="X31" s="393"/>
      <c r="AA31" s="1147" t="s">
        <v>86</v>
      </c>
      <c r="AB31" s="1147"/>
      <c r="AC31" s="1148">
        <f>U8</f>
        <v>84.250250000000023</v>
      </c>
      <c r="AD31" s="1148"/>
      <c r="AE31" s="1148">
        <f>V8</f>
        <v>21.062562500000006</v>
      </c>
      <c r="AF31" s="1148"/>
    </row>
    <row r="32" spans="14:36" x14ac:dyDescent="0.25">
      <c r="R32" s="1147" t="s">
        <v>87</v>
      </c>
      <c r="S32" s="1147"/>
      <c r="T32" s="1148">
        <f>Y7</f>
        <v>60.409312499999999</v>
      </c>
      <c r="U32" s="1148"/>
      <c r="V32" s="1148">
        <f>Z7</f>
        <v>15.102328125000001</v>
      </c>
      <c r="W32" s="1148"/>
      <c r="X32" s="393"/>
      <c r="AA32" s="1147" t="s">
        <v>87</v>
      </c>
      <c r="AB32" s="1147"/>
      <c r="AC32" s="1148">
        <f>Y8</f>
        <v>63.187687499999996</v>
      </c>
      <c r="AD32" s="1148"/>
      <c r="AE32" s="1148">
        <f>Z8</f>
        <v>15.796921874999999</v>
      </c>
      <c r="AF32" s="1148"/>
    </row>
    <row r="33" spans="18:32" x14ac:dyDescent="0.25">
      <c r="R33" s="1147" t="s">
        <v>201</v>
      </c>
      <c r="S33" s="1147"/>
      <c r="T33" s="1152">
        <v>10</v>
      </c>
      <c r="U33" s="1152"/>
      <c r="V33" s="1152">
        <v>8</v>
      </c>
      <c r="W33" s="1152"/>
      <c r="AA33" s="1147" t="s">
        <v>201</v>
      </c>
      <c r="AB33" s="1147"/>
      <c r="AC33" s="1152">
        <v>9</v>
      </c>
      <c r="AD33" s="1152"/>
      <c r="AE33" s="1152">
        <v>6</v>
      </c>
      <c r="AF33" s="1152"/>
    </row>
    <row r="34" spans="18:32" x14ac:dyDescent="0.25">
      <c r="R34" s="1147" t="s">
        <v>202</v>
      </c>
      <c r="S34" s="1147"/>
      <c r="T34" s="1152">
        <v>4</v>
      </c>
      <c r="U34" s="1152"/>
      <c r="V34" s="1152">
        <v>0</v>
      </c>
      <c r="W34" s="1152"/>
      <c r="AA34" s="1147" t="s">
        <v>202</v>
      </c>
      <c r="AB34" s="1147"/>
      <c r="AC34" s="1152">
        <v>4</v>
      </c>
      <c r="AD34" s="1152"/>
      <c r="AE34" s="1152">
        <v>0</v>
      </c>
      <c r="AF34" s="1152"/>
    </row>
    <row r="35" spans="18:32" x14ac:dyDescent="0.25">
      <c r="R35" s="1159"/>
      <c r="S35" s="1159"/>
      <c r="T35" s="1160">
        <f t="shared" ref="T35" si="4">SUM(T30:T34)</f>
        <v>204.9550625</v>
      </c>
      <c r="U35" s="1160"/>
      <c r="V35" s="1160">
        <f>SUM(V30:W34)</f>
        <v>48.238765624999999</v>
      </c>
      <c r="W35" s="1160"/>
      <c r="X35" s="393"/>
      <c r="AA35" s="1159"/>
      <c r="AB35" s="1159"/>
      <c r="AC35" s="1160">
        <f t="shared" ref="AC35" si="5">SUM(AC30:AC34)</f>
        <v>216.43793750000003</v>
      </c>
      <c r="AD35" s="1160"/>
      <c r="AE35" s="1160">
        <f>SUM(AE30:AF34)</f>
        <v>50.859484375000008</v>
      </c>
      <c r="AF35" s="1160"/>
    </row>
    <row r="36" spans="18:32" x14ac:dyDescent="0.25">
      <c r="X36" s="393"/>
    </row>
    <row r="37" spans="18:32" x14ac:dyDescent="0.25">
      <c r="X37" s="393"/>
    </row>
    <row r="38" spans="18:32" x14ac:dyDescent="0.25">
      <c r="R38" s="1159"/>
      <c r="S38" s="1159"/>
      <c r="T38" s="1160">
        <f>I8</f>
        <v>1</v>
      </c>
      <c r="U38" s="1160"/>
      <c r="V38" s="1160">
        <f>J8</f>
        <v>0</v>
      </c>
      <c r="W38" s="1160"/>
      <c r="AA38" s="1159"/>
      <c r="AB38" s="1159"/>
      <c r="AC38" s="1160">
        <f>R8</f>
        <v>215.43992500000007</v>
      </c>
      <c r="AD38" s="1160"/>
      <c r="AE38" s="1160">
        <f>S8</f>
        <v>50.775820312500016</v>
      </c>
      <c r="AF38" s="1160"/>
    </row>
    <row r="39" spans="18:32" x14ac:dyDescent="0.25">
      <c r="R39" s="1159"/>
      <c r="S39" s="1159"/>
      <c r="T39" s="1160">
        <f>T38-T35</f>
        <v>-203.9550625</v>
      </c>
      <c r="U39" s="1160"/>
      <c r="V39" s="1160">
        <f>V38-V35</f>
        <v>-48.238765624999999</v>
      </c>
      <c r="W39" s="1160"/>
      <c r="AA39" s="1159"/>
      <c r="AB39" s="1159"/>
      <c r="AC39" s="1160">
        <f>AC38-AC35</f>
        <v>-0.99801249999995889</v>
      </c>
      <c r="AD39" s="1160"/>
      <c r="AE39" s="1160">
        <f>AE38-AE35</f>
        <v>-8.3664062499991587E-2</v>
      </c>
      <c r="AF39" s="1160"/>
    </row>
  </sheetData>
  <mergeCells count="110">
    <mergeCell ref="R39:S39"/>
    <mergeCell ref="T39:U39"/>
    <mergeCell ref="V39:W39"/>
    <mergeCell ref="AA39:AB39"/>
    <mergeCell ref="AC39:AD39"/>
    <mergeCell ref="AE39:AF39"/>
    <mergeCell ref="R38:S38"/>
    <mergeCell ref="T38:U38"/>
    <mergeCell ref="V38:W38"/>
    <mergeCell ref="AA38:AB38"/>
    <mergeCell ref="AC38:AD38"/>
    <mergeCell ref="AE38:AF38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R30:S30"/>
    <mergeCell ref="T30:U30"/>
    <mergeCell ref="V30:W30"/>
    <mergeCell ref="AA30:AB30"/>
    <mergeCell ref="AC30:AD30"/>
    <mergeCell ref="AE30:AF30"/>
    <mergeCell ref="R29:S29"/>
    <mergeCell ref="T29:U29"/>
    <mergeCell ref="V29:W29"/>
    <mergeCell ref="AA29:AB29"/>
    <mergeCell ref="AC29:AD29"/>
    <mergeCell ref="AE29:AF29"/>
    <mergeCell ref="Q23:R23"/>
    <mergeCell ref="V23:W23"/>
    <mergeCell ref="Q24:R24"/>
    <mergeCell ref="V24:W24"/>
    <mergeCell ref="R28:W28"/>
    <mergeCell ref="AA28:AF28"/>
    <mergeCell ref="Q20:R20"/>
    <mergeCell ref="V20:W20"/>
    <mergeCell ref="Q21:R21"/>
    <mergeCell ref="V21:W21"/>
    <mergeCell ref="Q22:R22"/>
    <mergeCell ref="V22:W22"/>
    <mergeCell ref="Q18:R18"/>
    <mergeCell ref="V18:W18"/>
    <mergeCell ref="AA18:AB18"/>
    <mergeCell ref="AD18:AE18"/>
    <mergeCell ref="Q19:R19"/>
    <mergeCell ref="V19:W19"/>
    <mergeCell ref="Q15:R15"/>
    <mergeCell ref="V15:W15"/>
    <mergeCell ref="Q16:R16"/>
    <mergeCell ref="V16:W16"/>
    <mergeCell ref="Q17:R17"/>
    <mergeCell ref="V17:W17"/>
    <mergeCell ref="Q13:T13"/>
    <mergeCell ref="V13:Y13"/>
    <mergeCell ref="AA13:AB13"/>
    <mergeCell ref="AD13:AE13"/>
    <mergeCell ref="Q14:R14"/>
    <mergeCell ref="V14:W14"/>
    <mergeCell ref="AA14:AB14"/>
    <mergeCell ref="AD14:AE14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9"/>
  <sheetViews>
    <sheetView topLeftCell="P4" workbookViewId="0">
      <selection activeCell="R9" sqref="R9"/>
    </sheetView>
  </sheetViews>
  <sheetFormatPr defaultRowHeight="15" x14ac:dyDescent="0.25"/>
  <cols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1" width="11.5703125" bestFit="1" customWidth="1"/>
    <col min="64" max="64" width="12" customWidth="1"/>
  </cols>
  <sheetData>
    <row r="1" spans="1:79" ht="30.75" customHeight="1" thickBot="1" x14ac:dyDescent="0.3">
      <c r="A1" s="1396" t="s">
        <v>0</v>
      </c>
      <c r="B1" s="1398" t="s">
        <v>1</v>
      </c>
      <c r="C1" s="1401" t="s">
        <v>2</v>
      </c>
      <c r="D1" s="1402"/>
      <c r="E1" s="1403"/>
      <c r="F1" s="1401" t="s">
        <v>3</v>
      </c>
      <c r="G1" s="1402"/>
      <c r="H1" s="1403"/>
      <c r="I1" s="1401" t="s">
        <v>4</v>
      </c>
      <c r="J1" s="1402"/>
      <c r="K1" s="1403"/>
      <c r="L1" s="1407" t="s">
        <v>5</v>
      </c>
      <c r="M1" s="1407" t="s">
        <v>6</v>
      </c>
      <c r="N1" s="635"/>
      <c r="O1" s="635"/>
      <c r="P1" s="1407" t="s">
        <v>7</v>
      </c>
      <c r="Q1" s="1409" t="s">
        <v>8</v>
      </c>
      <c r="R1" s="1410"/>
      <c r="S1" s="1411"/>
      <c r="T1" s="1412" t="s">
        <v>9</v>
      </c>
      <c r="U1" s="1413"/>
      <c r="V1" s="1413"/>
      <c r="W1" s="1414"/>
      <c r="X1" s="1415" t="s">
        <v>10</v>
      </c>
      <c r="Y1" s="1416"/>
      <c r="Z1" s="1416"/>
      <c r="AA1" s="1417"/>
      <c r="AB1" s="1393" t="s">
        <v>11</v>
      </c>
      <c r="AC1" s="1394"/>
      <c r="AD1" s="1395"/>
      <c r="AE1" s="1381" t="s">
        <v>208</v>
      </c>
      <c r="AF1" s="1382"/>
      <c r="AG1" s="1382"/>
      <c r="AH1" s="1383"/>
      <c r="AI1" s="1384" t="s">
        <v>12</v>
      </c>
      <c r="AJ1" s="1385"/>
      <c r="AK1" s="1363" t="s">
        <v>179</v>
      </c>
      <c r="AL1" s="1364"/>
      <c r="AM1" s="1364"/>
      <c r="AN1" s="1364"/>
      <c r="AO1" s="1364"/>
      <c r="AP1" s="1364"/>
      <c r="AQ1" s="1364"/>
      <c r="AR1" s="1365"/>
      <c r="AS1" s="1228" t="s">
        <v>99</v>
      </c>
      <c r="AT1" s="1229"/>
      <c r="AU1" s="1229"/>
      <c r="AV1" s="1229"/>
      <c r="AW1" s="1230"/>
      <c r="AX1" s="1231" t="s">
        <v>100</v>
      </c>
      <c r="AY1" s="1232"/>
      <c r="AZ1" s="1233"/>
      <c r="BA1" s="1231" t="s">
        <v>101</v>
      </c>
      <c r="BB1" s="1232"/>
      <c r="BC1" s="1232"/>
      <c r="BD1" s="1232"/>
      <c r="BE1" s="1232"/>
      <c r="BF1" s="1232"/>
      <c r="BG1" s="1232"/>
      <c r="BH1" s="1232"/>
      <c r="BI1" s="1233"/>
      <c r="BJ1" s="1386" t="s">
        <v>14</v>
      </c>
      <c r="BK1" s="1387"/>
      <c r="BL1" s="1387"/>
      <c r="BM1" s="1387"/>
      <c r="BN1" s="1387"/>
      <c r="BO1" s="1387"/>
      <c r="BP1" s="1387"/>
      <c r="BQ1" s="1388"/>
      <c r="BR1" s="1389" t="s">
        <v>15</v>
      </c>
      <c r="BS1" s="1390"/>
      <c r="BT1" s="1228" t="s">
        <v>16</v>
      </c>
      <c r="BU1" s="1230"/>
      <c r="BV1" s="1389" t="s">
        <v>130</v>
      </c>
      <c r="BW1" s="1390"/>
      <c r="BX1" s="1391" t="s">
        <v>171</v>
      </c>
      <c r="BY1" s="1392"/>
      <c r="BZ1" s="1379" t="s">
        <v>209</v>
      </c>
      <c r="CA1" s="1380"/>
    </row>
    <row r="2" spans="1:79" ht="225.75" thickBot="1" x14ac:dyDescent="0.3">
      <c r="A2" s="1397"/>
      <c r="B2" s="1399"/>
      <c r="C2" s="1404"/>
      <c r="D2" s="1405"/>
      <c r="E2" s="1406"/>
      <c r="F2" s="1404"/>
      <c r="G2" s="1405"/>
      <c r="H2" s="1406"/>
      <c r="I2" s="1404"/>
      <c r="J2" s="1405"/>
      <c r="K2" s="1406"/>
      <c r="L2" s="1408"/>
      <c r="M2" s="1408"/>
      <c r="N2" s="636" t="s">
        <v>210</v>
      </c>
      <c r="O2" s="636" t="s">
        <v>211</v>
      </c>
      <c r="P2" s="1408"/>
      <c r="Q2" s="637" t="s">
        <v>17</v>
      </c>
      <c r="R2" s="637" t="s">
        <v>18</v>
      </c>
      <c r="S2" s="637" t="s">
        <v>19</v>
      </c>
      <c r="T2" s="638" t="s">
        <v>20</v>
      </c>
      <c r="U2" s="638" t="s">
        <v>21</v>
      </c>
      <c r="V2" s="638" t="s">
        <v>22</v>
      </c>
      <c r="W2" s="638" t="s">
        <v>23</v>
      </c>
      <c r="X2" s="639" t="s">
        <v>24</v>
      </c>
      <c r="Y2" s="639" t="s">
        <v>25</v>
      </c>
      <c r="Z2" s="639" t="s">
        <v>26</v>
      </c>
      <c r="AA2" s="639" t="s">
        <v>27</v>
      </c>
      <c r="AB2" s="640" t="s">
        <v>28</v>
      </c>
      <c r="AC2" s="640" t="s">
        <v>29</v>
      </c>
      <c r="AD2" s="640" t="s">
        <v>30</v>
      </c>
      <c r="AE2" s="641" t="s">
        <v>212</v>
      </c>
      <c r="AF2" s="641" t="s">
        <v>213</v>
      </c>
      <c r="AG2" s="641" t="s">
        <v>214</v>
      </c>
      <c r="AH2" s="641" t="s">
        <v>215</v>
      </c>
      <c r="AI2" s="642" t="s">
        <v>31</v>
      </c>
      <c r="AJ2" s="642" t="s">
        <v>32</v>
      </c>
      <c r="AK2" s="552" t="s">
        <v>180</v>
      </c>
      <c r="AL2" s="552" t="s">
        <v>36</v>
      </c>
      <c r="AM2" s="552" t="s">
        <v>181</v>
      </c>
      <c r="AN2" s="552" t="s">
        <v>36</v>
      </c>
      <c r="AO2" s="552" t="s">
        <v>182</v>
      </c>
      <c r="AP2" s="643" t="s">
        <v>36</v>
      </c>
      <c r="AQ2" s="552" t="s">
        <v>183</v>
      </c>
      <c r="AR2" s="643" t="s">
        <v>36</v>
      </c>
      <c r="AS2" s="644" t="s">
        <v>102</v>
      </c>
      <c r="AT2" s="644" t="s">
        <v>103</v>
      </c>
      <c r="AU2" s="644" t="s">
        <v>104</v>
      </c>
      <c r="AV2" s="644" t="s">
        <v>105</v>
      </c>
      <c r="AW2" s="644" t="s">
        <v>106</v>
      </c>
      <c r="AX2" s="645" t="s">
        <v>107</v>
      </c>
      <c r="AY2" s="645" t="s">
        <v>108</v>
      </c>
      <c r="AZ2" s="645" t="s">
        <v>109</v>
      </c>
      <c r="BA2" s="645" t="s">
        <v>110</v>
      </c>
      <c r="BB2" s="645" t="s">
        <v>111</v>
      </c>
      <c r="BC2" s="645" t="s">
        <v>112</v>
      </c>
      <c r="BD2" s="645" t="s">
        <v>113</v>
      </c>
      <c r="BE2" s="645" t="s">
        <v>114</v>
      </c>
      <c r="BF2" s="645" t="s">
        <v>115</v>
      </c>
      <c r="BG2" s="646" t="s">
        <v>116</v>
      </c>
      <c r="BH2" s="647" t="s">
        <v>117</v>
      </c>
      <c r="BI2" s="645" t="s">
        <v>118</v>
      </c>
      <c r="BJ2" s="648" t="s">
        <v>14</v>
      </c>
      <c r="BK2" s="648" t="s">
        <v>167</v>
      </c>
      <c r="BL2" s="648" t="s">
        <v>39</v>
      </c>
      <c r="BM2" s="648" t="s">
        <v>40</v>
      </c>
      <c r="BN2" s="648" t="s">
        <v>41</v>
      </c>
      <c r="BO2" s="648" t="s">
        <v>43</v>
      </c>
      <c r="BP2" s="648" t="s">
        <v>44</v>
      </c>
      <c r="BQ2" s="648" t="s">
        <v>46</v>
      </c>
      <c r="BR2" s="649" t="s">
        <v>47</v>
      </c>
      <c r="BS2" s="649" t="s">
        <v>48</v>
      </c>
      <c r="BT2" s="644" t="s">
        <v>49</v>
      </c>
      <c r="BU2" s="644" t="s">
        <v>50</v>
      </c>
      <c r="BV2" s="649" t="s">
        <v>131</v>
      </c>
      <c r="BW2" s="649" t="s">
        <v>132</v>
      </c>
      <c r="BX2" s="565" t="s">
        <v>172</v>
      </c>
      <c r="BY2" s="565" t="s">
        <v>173</v>
      </c>
      <c r="BZ2" s="650" t="s">
        <v>216</v>
      </c>
      <c r="CA2" s="650" t="s">
        <v>217</v>
      </c>
    </row>
    <row r="3" spans="1:79" ht="90.75" thickBot="1" x14ac:dyDescent="0.3">
      <c r="A3" s="651"/>
      <c r="B3" s="1400"/>
      <c r="C3" s="652" t="s">
        <v>185</v>
      </c>
      <c r="D3" s="652" t="s">
        <v>186</v>
      </c>
      <c r="E3" s="652" t="s">
        <v>187</v>
      </c>
      <c r="F3" s="652" t="s">
        <v>185</v>
      </c>
      <c r="G3" s="652" t="s">
        <v>186</v>
      </c>
      <c r="H3" s="652" t="s">
        <v>187</v>
      </c>
      <c r="I3" s="652" t="s">
        <v>185</v>
      </c>
      <c r="J3" s="652" t="s">
        <v>186</v>
      </c>
      <c r="K3" s="652" t="s">
        <v>187</v>
      </c>
      <c r="L3" s="652" t="s">
        <v>58</v>
      </c>
      <c r="M3" s="652" t="s">
        <v>188</v>
      </c>
      <c r="N3" s="652" t="s">
        <v>218</v>
      </c>
      <c r="O3" s="671" t="s">
        <v>120</v>
      </c>
      <c r="P3" s="671" t="s">
        <v>189</v>
      </c>
      <c r="Q3" s="652" t="s">
        <v>190</v>
      </c>
      <c r="R3" s="652" t="s">
        <v>190</v>
      </c>
      <c r="S3" s="652" t="s">
        <v>190</v>
      </c>
      <c r="T3" s="652" t="s">
        <v>190</v>
      </c>
      <c r="U3" s="652" t="s">
        <v>190</v>
      </c>
      <c r="V3" s="652" t="s">
        <v>57</v>
      </c>
      <c r="W3" s="652" t="s">
        <v>57</v>
      </c>
      <c r="X3" s="652" t="s">
        <v>57</v>
      </c>
      <c r="Y3" s="652" t="s">
        <v>57</v>
      </c>
      <c r="Z3" s="652" t="s">
        <v>57</v>
      </c>
      <c r="AA3" s="652" t="s">
        <v>57</v>
      </c>
      <c r="AB3" s="652" t="s">
        <v>57</v>
      </c>
      <c r="AC3" s="652" t="s">
        <v>57</v>
      </c>
      <c r="AD3" s="671" t="s">
        <v>57</v>
      </c>
      <c r="AE3" s="671" t="s">
        <v>219</v>
      </c>
      <c r="AF3" s="671" t="s">
        <v>220</v>
      </c>
      <c r="AG3" s="671" t="s">
        <v>219</v>
      </c>
      <c r="AH3" s="672" t="s">
        <v>221</v>
      </c>
      <c r="AI3" s="671" t="s">
        <v>57</v>
      </c>
      <c r="AJ3" s="671" t="s">
        <v>57</v>
      </c>
      <c r="AK3" s="671" t="s">
        <v>58</v>
      </c>
      <c r="AL3" s="652" t="s">
        <v>57</v>
      </c>
      <c r="AM3" s="652" t="s">
        <v>54</v>
      </c>
      <c r="AN3" s="652" t="s">
        <v>57</v>
      </c>
      <c r="AO3" s="652" t="s">
        <v>54</v>
      </c>
      <c r="AP3" s="652" t="s">
        <v>57</v>
      </c>
      <c r="AQ3" s="652" t="s">
        <v>54</v>
      </c>
      <c r="AR3" s="652" t="s">
        <v>57</v>
      </c>
      <c r="AS3" s="652" t="s">
        <v>62</v>
      </c>
      <c r="AT3" s="652" t="s">
        <v>62</v>
      </c>
      <c r="AU3" s="652" t="s">
        <v>62</v>
      </c>
      <c r="AV3" s="652" t="s">
        <v>54</v>
      </c>
      <c r="AW3" s="652" t="s">
        <v>57</v>
      </c>
      <c r="AX3" s="652" t="s">
        <v>62</v>
      </c>
      <c r="AY3" s="652" t="s">
        <v>54</v>
      </c>
      <c r="AZ3" s="652" t="s">
        <v>119</v>
      </c>
      <c r="BA3" s="652" t="s">
        <v>62</v>
      </c>
      <c r="BB3" s="652" t="s">
        <v>62</v>
      </c>
      <c r="BC3" s="652" t="s">
        <v>120</v>
      </c>
      <c r="BD3" s="652" t="s">
        <v>54</v>
      </c>
      <c r="BE3" s="652" t="s">
        <v>120</v>
      </c>
      <c r="BF3" s="652" t="s">
        <v>54</v>
      </c>
      <c r="BG3" s="652" t="s">
        <v>120</v>
      </c>
      <c r="BH3" s="652" t="s">
        <v>120</v>
      </c>
      <c r="BI3" s="652" t="s">
        <v>120</v>
      </c>
      <c r="BJ3" s="652" t="s">
        <v>54</v>
      </c>
      <c r="BK3" s="653" t="s">
        <v>168</v>
      </c>
      <c r="BL3" s="652" t="s">
        <v>59</v>
      </c>
      <c r="BM3" s="652" t="s">
        <v>60</v>
      </c>
      <c r="BN3" s="652" t="s">
        <v>61</v>
      </c>
      <c r="BO3" s="652" t="s">
        <v>57</v>
      </c>
      <c r="BP3" s="652" t="s">
        <v>127</v>
      </c>
      <c r="BQ3" s="652" t="s">
        <v>127</v>
      </c>
      <c r="BR3" s="652" t="s">
        <v>120</v>
      </c>
      <c r="BS3" s="652" t="s">
        <v>120</v>
      </c>
      <c r="BT3" s="652" t="s">
        <v>120</v>
      </c>
      <c r="BU3" s="652" t="s">
        <v>120</v>
      </c>
      <c r="BV3" s="652" t="s">
        <v>54</v>
      </c>
      <c r="BW3" s="652" t="s">
        <v>54</v>
      </c>
      <c r="BX3" s="565" t="s">
        <v>120</v>
      </c>
      <c r="BY3" s="565" t="s">
        <v>174</v>
      </c>
      <c r="BZ3" s="650" t="s">
        <v>120</v>
      </c>
      <c r="CA3" s="650" t="s">
        <v>222</v>
      </c>
    </row>
    <row r="4" spans="1:79" ht="31.5" x14ac:dyDescent="0.25">
      <c r="A4" s="45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675">
        <v>0</v>
      </c>
      <c r="O4" s="709" t="s">
        <v>67</v>
      </c>
      <c r="P4" s="709">
        <v>0</v>
      </c>
      <c r="Q4" s="677">
        <f>SUM(T4,X4,AB4,AS4,AX4,BA4)</f>
        <v>8.0422023809523804</v>
      </c>
      <c r="R4" s="438">
        <f>SUM(U4,Y4,AC4,AI4,AT4,BB4)</f>
        <v>6.3980187830687827</v>
      </c>
      <c r="S4" s="438">
        <f>SUM(V4,Z4,AD4,AJ4,AJ4,AU4)</f>
        <v>1.68662855489418</v>
      </c>
      <c r="T4" s="453">
        <f>S17</f>
        <v>3.5743121693121696</v>
      </c>
      <c r="U4" s="453">
        <f>T4/100*70</f>
        <v>2.5020185185185184</v>
      </c>
      <c r="V4" s="453">
        <f>U4/100*25</f>
        <v>0.6255046296296296</v>
      </c>
      <c r="W4" s="453">
        <v>0</v>
      </c>
      <c r="X4" s="454">
        <f>S18</f>
        <v>2.6807341269841269</v>
      </c>
      <c r="Y4" s="454">
        <f>X4/100*70</f>
        <v>1.8765138888888888</v>
      </c>
      <c r="Z4" s="454">
        <f>Y4/100*25</f>
        <v>0.46912847222222215</v>
      </c>
      <c r="AA4" s="454">
        <v>0</v>
      </c>
      <c r="AB4" s="455">
        <f>S19</f>
        <v>0.44678902116402119</v>
      </c>
      <c r="AC4" s="668">
        <f>AB4/100*70</f>
        <v>0.3127523148148148</v>
      </c>
      <c r="AD4" s="455">
        <f>AC4/100*25</f>
        <v>7.8188078703703701E-2</v>
      </c>
      <c r="AE4" s="697">
        <v>0</v>
      </c>
      <c r="AF4" s="698">
        <v>0</v>
      </c>
      <c r="AG4" s="698">
        <v>0</v>
      </c>
      <c r="AH4" s="698">
        <v>0</v>
      </c>
      <c r="AI4" s="456">
        <f>S20</f>
        <v>0.89357804232804239</v>
      </c>
      <c r="AJ4" s="456">
        <f>AI4/100*20</f>
        <v>0.17871560846560847</v>
      </c>
      <c r="AK4" s="395">
        <v>0</v>
      </c>
      <c r="AL4" s="669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0.89357804232804239</v>
      </c>
      <c r="AT4" s="457">
        <f>AS4/100*70</f>
        <v>0.6255046296296296</v>
      </c>
      <c r="AU4" s="457">
        <f>AT4/100*25</f>
        <v>0.1563761574074074</v>
      </c>
      <c r="AV4" s="457">
        <v>0</v>
      </c>
      <c r="AW4" s="457">
        <v>0</v>
      </c>
      <c r="AX4" s="458">
        <f>S22</f>
        <v>0.17871560846560847</v>
      </c>
      <c r="AY4" s="469">
        <v>4</v>
      </c>
      <c r="AZ4" s="459"/>
      <c r="BA4" s="460">
        <f>S23</f>
        <v>0.26807341269841267</v>
      </c>
      <c r="BB4" s="458">
        <f>BA4/100*70</f>
        <v>0.18765138888888888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v>1450</v>
      </c>
      <c r="BP4" s="461">
        <v>0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t="s">
        <v>67</v>
      </c>
      <c r="CA4" t="s">
        <v>223</v>
      </c>
    </row>
    <row r="5" spans="1:79" ht="31.5" x14ac:dyDescent="0.25">
      <c r="A5" s="50">
        <v>50</v>
      </c>
      <c r="B5" s="708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676">
        <v>0</v>
      </c>
      <c r="O5" s="709" t="s">
        <v>67</v>
      </c>
      <c r="P5" s="679"/>
      <c r="Q5" s="677">
        <f>SUM(T5,X5,AB5,AS5,AX5,BA5)</f>
        <v>8.4120833333333351</v>
      </c>
      <c r="R5" s="438">
        <f>SUM(U5,Y5,AC5,AI5,AT5,BB5)</f>
        <v>6.6922796296296303</v>
      </c>
      <c r="S5" s="438">
        <f>SUM(V5,Z5,AD5,AJ5,AU5)</f>
        <v>1.5772656250000003</v>
      </c>
      <c r="T5" s="453">
        <f>X17</f>
        <v>3.7387037037037043</v>
      </c>
      <c r="U5" s="453">
        <f>T5/100*70</f>
        <v>2.6170925925925932</v>
      </c>
      <c r="V5" s="453">
        <f>U5/100*25</f>
        <v>0.6542731481481483</v>
      </c>
      <c r="W5" s="345">
        <v>0</v>
      </c>
      <c r="X5" s="454">
        <f>X18</f>
        <v>2.8040277777777782</v>
      </c>
      <c r="Y5" s="454">
        <f>X5/100*70</f>
        <v>1.9628194444444447</v>
      </c>
      <c r="Z5" s="454">
        <f>Y5/100*25</f>
        <v>0.49070486111111122</v>
      </c>
      <c r="AA5" s="346">
        <v>0</v>
      </c>
      <c r="AB5" s="455">
        <f>X19</f>
        <v>0.46733796296296304</v>
      </c>
      <c r="AC5" s="668">
        <f>AB5/100*70</f>
        <v>0.32713657407407415</v>
      </c>
      <c r="AD5" s="455">
        <f>AC5/100*25</f>
        <v>8.1784143518518537E-2</v>
      </c>
      <c r="AE5" s="698">
        <v>0</v>
      </c>
      <c r="AF5" s="698">
        <v>0</v>
      </c>
      <c r="AG5" s="698">
        <v>0</v>
      </c>
      <c r="AH5" s="698">
        <v>0</v>
      </c>
      <c r="AI5" s="456">
        <f>X20</f>
        <v>0.93467592592592608</v>
      </c>
      <c r="AJ5" s="456">
        <f>AI5/100*20</f>
        <v>0.18693518518518523</v>
      </c>
      <c r="AK5" s="342">
        <v>0</v>
      </c>
      <c r="AL5" s="670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0.93467592592592608</v>
      </c>
      <c r="AT5" s="457">
        <f>AS5/100*70</f>
        <v>0.6542731481481483</v>
      </c>
      <c r="AU5" s="457">
        <f>AT5/100*25</f>
        <v>0.16356828703703707</v>
      </c>
      <c r="AV5" s="349">
        <v>0</v>
      </c>
      <c r="AW5" s="349">
        <v>0</v>
      </c>
      <c r="AX5" s="458">
        <f>X22</f>
        <v>0.1869351851851852</v>
      </c>
      <c r="AY5" s="350">
        <v>1</v>
      </c>
      <c r="AZ5" s="361"/>
      <c r="BA5" s="458">
        <f>X23</f>
        <v>0.28040277777777778</v>
      </c>
      <c r="BB5" s="458">
        <f>BA5/100*70</f>
        <v>0.19628194444444444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362">
        <v>820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t="s">
        <v>67</v>
      </c>
      <c r="CA5" t="s">
        <v>224</v>
      </c>
    </row>
    <row r="6" spans="1:79" x14ac:dyDescent="0.25">
      <c r="A6" s="526"/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674"/>
      <c r="P6" s="674"/>
      <c r="Q6" s="685"/>
      <c r="R6" s="526"/>
      <c r="S6" s="526"/>
      <c r="T6" s="526"/>
      <c r="U6" s="526"/>
      <c r="V6" s="526"/>
      <c r="W6" s="526"/>
      <c r="X6" s="526"/>
      <c r="Y6" s="526"/>
      <c r="Z6" s="526"/>
      <c r="AA6" s="526"/>
      <c r="AB6" s="526"/>
      <c r="AC6" s="526"/>
      <c r="AD6" s="673"/>
      <c r="AE6" s="686"/>
      <c r="AF6" s="686"/>
      <c r="AG6" s="686"/>
      <c r="AH6" s="686"/>
      <c r="AI6" s="673"/>
      <c r="AJ6" s="673"/>
      <c r="AK6" s="673"/>
      <c r="AL6" s="526"/>
      <c r="AM6" s="526"/>
      <c r="AN6" s="526"/>
      <c r="AO6" s="526"/>
      <c r="AP6" s="526"/>
      <c r="AQ6" s="526"/>
      <c r="AR6" s="526"/>
      <c r="AS6" s="526"/>
      <c r="AT6" s="526"/>
      <c r="AU6" s="526"/>
      <c r="AV6" s="526"/>
      <c r="AW6" s="526"/>
      <c r="AX6" s="526"/>
      <c r="AY6" s="526"/>
      <c r="AZ6" s="526"/>
      <c r="BA6" s="526"/>
      <c r="BB6" s="526"/>
      <c r="BC6" s="526"/>
      <c r="BD6" s="526"/>
      <c r="BE6" s="526"/>
      <c r="BF6" s="526"/>
      <c r="BG6" s="526"/>
      <c r="BH6" s="526"/>
      <c r="BI6" s="526"/>
      <c r="BJ6" s="526"/>
      <c r="BK6" s="526"/>
      <c r="BL6" s="526"/>
      <c r="BM6" s="526"/>
      <c r="BN6" s="526"/>
      <c r="BO6" s="526"/>
      <c r="BP6" s="526"/>
      <c r="BQ6" s="526"/>
      <c r="BR6" s="526"/>
      <c r="BS6" s="526"/>
      <c r="BT6" s="526"/>
      <c r="BU6" s="526"/>
      <c r="BV6" s="526"/>
      <c r="BW6" s="526"/>
      <c r="BX6" s="526"/>
      <c r="BY6" s="526"/>
    </row>
    <row r="7" spans="1:79" ht="31.5" x14ac:dyDescent="0.25">
      <c r="A7" s="50">
        <v>60</v>
      </c>
      <c r="B7" s="708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676">
        <v>0</v>
      </c>
      <c r="O7" s="709" t="s">
        <v>65</v>
      </c>
      <c r="P7" s="709">
        <v>0</v>
      </c>
      <c r="Q7" s="678">
        <f>SUM(T7,X7,AB7,AS7,AX7,BA7)</f>
        <v>249.30827380952383</v>
      </c>
      <c r="R7" s="394">
        <f>SUM(U7,Y7,AC7,AI7,AT7,BB7)</f>
        <v>198.33858227513224</v>
      </c>
      <c r="S7" s="394">
        <f>SUM(V7,Z7,AD7,AJ7,AU7)</f>
        <v>46.74530133928571</v>
      </c>
      <c r="T7" s="527">
        <f>31*T4</f>
        <v>110.80367724867726</v>
      </c>
      <c r="U7" s="527">
        <f>31*U4</f>
        <v>77.562574074074064</v>
      </c>
      <c r="V7" s="527">
        <f t="shared" ref="U7:W8" si="0">31*V4</f>
        <v>19.390643518518516</v>
      </c>
      <c r="W7" s="527">
        <f t="shared" si="0"/>
        <v>0</v>
      </c>
      <c r="X7" s="528">
        <f>31*X4</f>
        <v>83.102757936507942</v>
      </c>
      <c r="Y7" s="528">
        <f t="shared" ref="Y7:AA8" si="1">31*Y4</f>
        <v>58.171930555555555</v>
      </c>
      <c r="Z7" s="528">
        <f t="shared" si="1"/>
        <v>14.542982638888887</v>
      </c>
      <c r="AA7" s="528">
        <f t="shared" si="1"/>
        <v>0</v>
      </c>
      <c r="AB7" s="680">
        <f>31*AB4</f>
        <v>13.850459656084658</v>
      </c>
      <c r="AC7" s="680">
        <f t="shared" ref="AC7:AD8" si="2">31*AC4</f>
        <v>9.695321759259258</v>
      </c>
      <c r="AD7" s="680">
        <f t="shared" si="2"/>
        <v>2.4238304398148145</v>
      </c>
      <c r="AE7" s="680">
        <v>0</v>
      </c>
      <c r="AF7" s="680">
        <v>0</v>
      </c>
      <c r="AG7" s="680">
        <v>0</v>
      </c>
      <c r="AH7" s="680">
        <v>0</v>
      </c>
      <c r="AI7" s="681">
        <f>AI4*31</f>
        <v>27.700919312169315</v>
      </c>
      <c r="AJ7" s="681">
        <f>AJ4*31</f>
        <v>5.5401838624338628</v>
      </c>
      <c r="AK7" s="395">
        <v>0</v>
      </c>
      <c r="AL7" s="669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AS4*31</f>
        <v>27.700919312169315</v>
      </c>
      <c r="AT7" s="682">
        <f t="shared" ref="AT7:AW8" si="3">AT4*31</f>
        <v>19.390643518518516</v>
      </c>
      <c r="AU7" s="682">
        <f t="shared" si="3"/>
        <v>4.847660879629629</v>
      </c>
      <c r="AV7" s="682">
        <f t="shared" si="3"/>
        <v>0</v>
      </c>
      <c r="AW7" s="682">
        <f t="shared" si="3"/>
        <v>0</v>
      </c>
      <c r="AX7" s="469">
        <f>AX4*31</f>
        <v>5.5401838624338628</v>
      </c>
      <c r="AY7" s="469">
        <v>4</v>
      </c>
      <c r="AZ7" s="683"/>
      <c r="BA7" s="684">
        <f>BA4*31</f>
        <v>8.3102757936507921</v>
      </c>
      <c r="BB7" s="684">
        <f>BB4*31</f>
        <v>5.8171930555555553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t="s">
        <v>67</v>
      </c>
      <c r="CA7" t="s">
        <v>223</v>
      </c>
    </row>
    <row r="8" spans="1:79" ht="31.5" x14ac:dyDescent="0.25">
      <c r="A8" s="50">
        <v>50</v>
      </c>
      <c r="B8" s="708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676">
        <v>0</v>
      </c>
      <c r="O8" s="709" t="s">
        <v>67</v>
      </c>
      <c r="P8" s="679">
        <v>17620</v>
      </c>
      <c r="Q8" s="678">
        <f>SUM(T8,X8,AB8,AS8,AX8,BA8)</f>
        <v>260.77458333333334</v>
      </c>
      <c r="R8" s="394">
        <f>SUM(U8,Y8,AC8,AI8,AT8,BB8)</f>
        <v>207.46066851851856</v>
      </c>
      <c r="S8" s="394">
        <f>SUM(V8,Z8,AD8,AJ8,AU8)</f>
        <v>48.895234375000015</v>
      </c>
      <c r="T8" s="527">
        <f>31*T5</f>
        <v>115.89981481481483</v>
      </c>
      <c r="U8" s="527">
        <f t="shared" si="0"/>
        <v>81.129870370370384</v>
      </c>
      <c r="V8" s="527">
        <f t="shared" si="0"/>
        <v>20.282467592592596</v>
      </c>
      <c r="W8" s="527">
        <f t="shared" si="0"/>
        <v>0</v>
      </c>
      <c r="X8" s="528">
        <f>31*X5</f>
        <v>86.924861111111127</v>
      </c>
      <c r="Y8" s="528">
        <f t="shared" si="1"/>
        <v>60.847402777777788</v>
      </c>
      <c r="Z8" s="528">
        <f t="shared" si="1"/>
        <v>15.211850694444449</v>
      </c>
      <c r="AA8" s="528">
        <f t="shared" si="1"/>
        <v>0</v>
      </c>
      <c r="AB8" s="680">
        <f>31*AB5</f>
        <v>14.487476851851854</v>
      </c>
      <c r="AC8" s="680">
        <f t="shared" si="2"/>
        <v>10.141233796296298</v>
      </c>
      <c r="AD8" s="680">
        <f t="shared" si="2"/>
        <v>2.5353084490740745</v>
      </c>
      <c r="AE8" s="680">
        <v>0</v>
      </c>
      <c r="AF8" s="680">
        <v>0</v>
      </c>
      <c r="AG8" s="680">
        <v>0</v>
      </c>
      <c r="AH8" s="680">
        <v>0</v>
      </c>
      <c r="AI8" s="681">
        <f>AI5*31</f>
        <v>28.974953703703708</v>
      </c>
      <c r="AJ8" s="681">
        <f>AJ5*31</f>
        <v>5.7949907407407419</v>
      </c>
      <c r="AK8" s="395">
        <v>0</v>
      </c>
      <c r="AL8" s="669">
        <v>0</v>
      </c>
      <c r="AM8" s="395">
        <v>1</v>
      </c>
      <c r="AN8" s="395">
        <v>1.6</v>
      </c>
      <c r="AO8" s="395">
        <v>0</v>
      </c>
      <c r="AP8" s="395">
        <v>0</v>
      </c>
      <c r="AQ8" s="395">
        <v>0</v>
      </c>
      <c r="AR8" s="395">
        <v>0</v>
      </c>
      <c r="AS8" s="682">
        <f>AS5*31</f>
        <v>28.974953703703708</v>
      </c>
      <c r="AT8" s="682">
        <f t="shared" si="3"/>
        <v>20.282467592592596</v>
      </c>
      <c r="AU8" s="682">
        <f t="shared" si="3"/>
        <v>5.070616898148149</v>
      </c>
      <c r="AV8" s="682">
        <f t="shared" si="3"/>
        <v>0</v>
      </c>
      <c r="AW8" s="682">
        <f t="shared" si="3"/>
        <v>0</v>
      </c>
      <c r="AX8" s="469">
        <f>AX5*31</f>
        <v>5.7949907407407411</v>
      </c>
      <c r="AY8" s="469">
        <v>1</v>
      </c>
      <c r="AZ8" s="683"/>
      <c r="BA8" s="684">
        <f>BA5*31</f>
        <v>8.692486111111112</v>
      </c>
      <c r="BB8" s="684">
        <f>BB5*31</f>
        <v>6.0847402777777777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t="s">
        <v>67</v>
      </c>
      <c r="CA8" t="s">
        <v>224</v>
      </c>
    </row>
    <row r="9" spans="1:79" x14ac:dyDescent="0.25">
      <c r="AE9" s="393"/>
      <c r="AF9" s="393"/>
      <c r="AG9" s="393"/>
      <c r="AH9" s="393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</row>
    <row r="14" spans="1:79" x14ac:dyDescent="0.25">
      <c r="Q14" s="1127" t="s">
        <v>192</v>
      </c>
      <c r="R14" s="1128"/>
      <c r="S14" s="710">
        <v>31179</v>
      </c>
      <c r="T14" s="710"/>
      <c r="V14" s="1127" t="s">
        <v>192</v>
      </c>
      <c r="W14" s="1128"/>
      <c r="X14" s="710">
        <v>32613</v>
      </c>
      <c r="Y14" s="710"/>
      <c r="AA14" s="1134" t="s">
        <v>199</v>
      </c>
      <c r="AB14" s="1135"/>
      <c r="AD14" s="1134" t="s">
        <v>199</v>
      </c>
      <c r="AE14" s="1135"/>
    </row>
    <row r="15" spans="1:79" x14ac:dyDescent="0.25">
      <c r="Q15" s="1127" t="s">
        <v>193</v>
      </c>
      <c r="R15" s="1128"/>
      <c r="S15" s="710">
        <v>260</v>
      </c>
      <c r="T15" s="710" t="s">
        <v>194</v>
      </c>
      <c r="V15" s="1127" t="s">
        <v>193</v>
      </c>
      <c r="W15" s="1128"/>
      <c r="X15" s="710">
        <v>260</v>
      </c>
      <c r="Y15" s="710" t="s">
        <v>194</v>
      </c>
      <c r="AA15" s="249"/>
      <c r="AB15" s="634">
        <f>108*S14/1000000</f>
        <v>3.3673320000000002</v>
      </c>
      <c r="AD15" s="249"/>
      <c r="AE15" s="634">
        <f>108*X14/1000000</f>
        <v>3.5222039999999999</v>
      </c>
    </row>
    <row r="16" spans="1:79" x14ac:dyDescent="0.25">
      <c r="N16">
        <v>210</v>
      </c>
      <c r="Q16" s="1127" t="s">
        <v>195</v>
      </c>
      <c r="R16" s="1128"/>
      <c r="S16" s="596">
        <f>S14*S15/907200</f>
        <v>8.9357804232804234</v>
      </c>
      <c r="T16" s="710"/>
      <c r="V16" s="1127" t="s">
        <v>195</v>
      </c>
      <c r="W16" s="1128"/>
      <c r="X16" s="596">
        <f>X14*X15/907200</f>
        <v>9.3467592592592599</v>
      </c>
      <c r="Y16" s="710"/>
      <c r="AA16" s="249"/>
      <c r="AB16" s="634">
        <f>AB15*31</f>
        <v>104.387292</v>
      </c>
      <c r="AD16" s="249"/>
      <c r="AE16" s="634">
        <f>AE15*31</f>
        <v>109.18832399999999</v>
      </c>
    </row>
    <row r="17" spans="14:36" x14ac:dyDescent="0.25">
      <c r="N17">
        <v>158</v>
      </c>
      <c r="Q17" s="1132" t="s">
        <v>9</v>
      </c>
      <c r="R17" s="1133"/>
      <c r="S17" s="592">
        <f>S16/100*40</f>
        <v>3.5743121693121696</v>
      </c>
      <c r="T17" s="710">
        <v>40</v>
      </c>
      <c r="V17" s="1132" t="s">
        <v>9</v>
      </c>
      <c r="W17" s="1133"/>
      <c r="X17" s="592">
        <f>X16/100*40</f>
        <v>3.7387037037037043</v>
      </c>
      <c r="Y17" s="710">
        <v>40</v>
      </c>
      <c r="AA17" s="249"/>
      <c r="AB17" s="249"/>
      <c r="AD17" s="249"/>
      <c r="AE17" s="249"/>
      <c r="AJ17">
        <v>223</v>
      </c>
    </row>
    <row r="18" spans="14:36" x14ac:dyDescent="0.25">
      <c r="N18">
        <f>N16-N17</f>
        <v>52</v>
      </c>
      <c r="Q18" s="1132" t="s">
        <v>10</v>
      </c>
      <c r="R18" s="1133"/>
      <c r="S18" s="592">
        <f>S16/100*30</f>
        <v>2.6807341269841269</v>
      </c>
      <c r="T18" s="710">
        <v>30</v>
      </c>
      <c r="V18" s="1132" t="s">
        <v>10</v>
      </c>
      <c r="W18" s="1133"/>
      <c r="X18" s="592">
        <f>X16/100*30</f>
        <v>2.8040277777777782</v>
      </c>
      <c r="Y18" s="710">
        <v>30</v>
      </c>
      <c r="AA18" s="1137" t="s">
        <v>225</v>
      </c>
      <c r="AB18" s="1138"/>
      <c r="AD18" s="1137" t="s">
        <v>225</v>
      </c>
      <c r="AE18" s="1138"/>
      <c r="AJ18">
        <v>166</v>
      </c>
    </row>
    <row r="19" spans="14:36" x14ac:dyDescent="0.25">
      <c r="Q19" s="1132" t="s">
        <v>11</v>
      </c>
      <c r="R19" s="1133"/>
      <c r="S19" s="592">
        <f>S16/100*5</f>
        <v>0.44678902116402119</v>
      </c>
      <c r="T19" s="710">
        <v>5</v>
      </c>
      <c r="V19" s="1132" t="s">
        <v>11</v>
      </c>
      <c r="W19" s="1133"/>
      <c r="X19" s="592">
        <f>X16/100*5</f>
        <v>0.46733796296296304</v>
      </c>
      <c r="Y19" s="710">
        <v>5</v>
      </c>
      <c r="AA19" s="249"/>
      <c r="AB19" s="634">
        <f>120*S14/250</f>
        <v>14965.92</v>
      </c>
      <c r="AD19" s="249"/>
      <c r="AE19" s="634">
        <f>120*X14/250</f>
        <v>15654.24</v>
      </c>
      <c r="AJ19">
        <f>AJ17-AJ18</f>
        <v>57</v>
      </c>
    </row>
    <row r="20" spans="14:36" x14ac:dyDescent="0.25">
      <c r="Q20" s="1132" t="s">
        <v>12</v>
      </c>
      <c r="R20" s="1133"/>
      <c r="S20" s="592">
        <f>S16/100*10</f>
        <v>0.89357804232804239</v>
      </c>
      <c r="T20" s="710">
        <v>10</v>
      </c>
      <c r="V20" s="1132" t="s">
        <v>12</v>
      </c>
      <c r="W20" s="1133"/>
      <c r="X20" s="592">
        <f>X16/100*10</f>
        <v>0.93467592592592608</v>
      </c>
      <c r="Y20" s="710">
        <v>10</v>
      </c>
      <c r="AA20" s="249"/>
      <c r="AB20" s="634">
        <f>AB19/1000</f>
        <v>14.965920000000001</v>
      </c>
      <c r="AD20" s="249"/>
      <c r="AE20" s="634">
        <f>AE19/1000</f>
        <v>15.65424</v>
      </c>
      <c r="AJ20">
        <v>20</v>
      </c>
    </row>
    <row r="21" spans="14:36" x14ac:dyDescent="0.25">
      <c r="Q21" s="1132" t="s">
        <v>99</v>
      </c>
      <c r="R21" s="1133"/>
      <c r="S21" s="592">
        <f>S16/100*10</f>
        <v>0.89357804232804239</v>
      </c>
      <c r="T21" s="710">
        <v>10</v>
      </c>
      <c r="V21" s="1132" t="s">
        <v>99</v>
      </c>
      <c r="W21" s="1133"/>
      <c r="X21" s="592">
        <f>X16/100*10</f>
        <v>0.93467592592592608</v>
      </c>
      <c r="Y21" s="710">
        <v>10</v>
      </c>
      <c r="AA21" s="249"/>
      <c r="AB21" s="634">
        <f>AB20*31</f>
        <v>463.94352000000003</v>
      </c>
      <c r="AD21" s="249"/>
      <c r="AE21" s="634">
        <f>AE20*31</f>
        <v>485.28143999999998</v>
      </c>
      <c r="AJ21">
        <f>AJ19-AJ20</f>
        <v>37</v>
      </c>
    </row>
    <row r="22" spans="14:36" x14ac:dyDescent="0.25">
      <c r="Q22" s="1132" t="s">
        <v>100</v>
      </c>
      <c r="R22" s="1133"/>
      <c r="S22" s="592">
        <f>S16/100*2</f>
        <v>0.17871560846560847</v>
      </c>
      <c r="T22" s="710">
        <v>2</v>
      </c>
      <c r="V22" s="1132" t="s">
        <v>100</v>
      </c>
      <c r="W22" s="1133"/>
      <c r="X22" s="592">
        <f>X16/100*2</f>
        <v>0.1869351851851852</v>
      </c>
      <c r="Y22" s="710">
        <v>2</v>
      </c>
      <c r="AA22" s="249"/>
      <c r="AB22" s="634">
        <f>AB21/100*3</f>
        <v>13.9183056</v>
      </c>
      <c r="AD22" s="249"/>
      <c r="AE22" s="634">
        <f>AE21/100*2</f>
        <v>9.7056287999999995</v>
      </c>
    </row>
    <row r="23" spans="14:36" x14ac:dyDescent="0.25">
      <c r="Q23" s="1132" t="s">
        <v>101</v>
      </c>
      <c r="R23" s="1133"/>
      <c r="S23" s="592">
        <f>S16/100*3</f>
        <v>0.26807341269841267</v>
      </c>
      <c r="T23" s="710">
        <v>3</v>
      </c>
      <c r="V23" s="1132" t="s">
        <v>101</v>
      </c>
      <c r="W23" s="1133"/>
      <c r="X23" s="592">
        <f>X16/100*3</f>
        <v>0.28040277777777778</v>
      </c>
      <c r="Y23" s="710">
        <v>3</v>
      </c>
      <c r="AF23">
        <f>S19/30</f>
        <v>1.4892967372134041E-2</v>
      </c>
    </row>
    <row r="24" spans="14:36" x14ac:dyDescent="0.25">
      <c r="Q24" s="1140" t="s">
        <v>89</v>
      </c>
      <c r="R24" s="1141"/>
      <c r="S24" s="596">
        <f>SUM(S17:S23)</f>
        <v>8.9357804232804252</v>
      </c>
      <c r="T24" s="710">
        <f>SUM(T17:T23)</f>
        <v>100</v>
      </c>
      <c r="V24" s="1140" t="s">
        <v>89</v>
      </c>
      <c r="W24" s="1141"/>
      <c r="X24" s="596">
        <f>SUM(X17:X23)</f>
        <v>9.3467592592592617</v>
      </c>
      <c r="Y24" s="710">
        <f>SUM(Y17:Y23)</f>
        <v>100</v>
      </c>
    </row>
    <row r="28" spans="14:36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1149"/>
      <c r="AF28" s="1149"/>
    </row>
    <row r="29" spans="14:36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</row>
    <row r="30" spans="14:36" x14ac:dyDescent="0.25">
      <c r="R30" s="1147" t="s">
        <v>90</v>
      </c>
      <c r="S30" s="1147"/>
      <c r="T30" s="1152">
        <v>48</v>
      </c>
      <c r="U30" s="1152"/>
      <c r="V30" s="1152">
        <v>5</v>
      </c>
      <c r="W30" s="1152"/>
      <c r="AA30" s="1147" t="s">
        <v>90</v>
      </c>
      <c r="AB30" s="1147"/>
      <c r="AC30" s="1152">
        <v>52</v>
      </c>
      <c r="AD30" s="1152"/>
      <c r="AE30" s="1152">
        <v>8</v>
      </c>
      <c r="AF30" s="1152"/>
    </row>
    <row r="31" spans="14:36" x14ac:dyDescent="0.25">
      <c r="R31" s="1147" t="s">
        <v>86</v>
      </c>
      <c r="S31" s="1147"/>
      <c r="T31" s="1148">
        <f>U7</f>
        <v>77.562574074074064</v>
      </c>
      <c r="U31" s="1148"/>
      <c r="V31" s="1148">
        <f>V7</f>
        <v>19.390643518518516</v>
      </c>
      <c r="W31" s="1148"/>
      <c r="X31" s="393"/>
      <c r="AA31" s="1147" t="s">
        <v>86</v>
      </c>
      <c r="AB31" s="1147"/>
      <c r="AC31" s="1148">
        <f>U8</f>
        <v>81.129870370370384</v>
      </c>
      <c r="AD31" s="1148"/>
      <c r="AE31" s="1148">
        <f>V8</f>
        <v>20.282467592592596</v>
      </c>
      <c r="AF31" s="1148"/>
    </row>
    <row r="32" spans="14:36" x14ac:dyDescent="0.25">
      <c r="R32" s="1147" t="s">
        <v>87</v>
      </c>
      <c r="S32" s="1147"/>
      <c r="T32" s="1148">
        <f>Y7</f>
        <v>58.171930555555555</v>
      </c>
      <c r="U32" s="1148"/>
      <c r="V32" s="1148">
        <f>Z7</f>
        <v>14.542982638888887</v>
      </c>
      <c r="W32" s="1148"/>
      <c r="X32" s="393"/>
      <c r="AA32" s="1147" t="s">
        <v>87</v>
      </c>
      <c r="AB32" s="1147"/>
      <c r="AC32" s="1148">
        <f>Y8</f>
        <v>60.847402777777788</v>
      </c>
      <c r="AD32" s="1148"/>
      <c r="AE32" s="1148">
        <f>Z8</f>
        <v>15.211850694444449</v>
      </c>
      <c r="AF32" s="1148"/>
    </row>
    <row r="33" spans="18:32" x14ac:dyDescent="0.25">
      <c r="R33" s="1147" t="s">
        <v>201</v>
      </c>
      <c r="S33" s="1147"/>
      <c r="T33" s="1152">
        <v>9</v>
      </c>
      <c r="U33" s="1152"/>
      <c r="V33" s="1152">
        <v>8</v>
      </c>
      <c r="W33" s="1152"/>
      <c r="AA33" s="1147" t="s">
        <v>201</v>
      </c>
      <c r="AB33" s="1147"/>
      <c r="AC33" s="1152">
        <v>9</v>
      </c>
      <c r="AD33" s="1152"/>
      <c r="AE33" s="1152">
        <v>6</v>
      </c>
      <c r="AF33" s="1152"/>
    </row>
    <row r="34" spans="18:32" x14ac:dyDescent="0.25">
      <c r="R34" s="1147" t="s">
        <v>202</v>
      </c>
      <c r="S34" s="1147"/>
      <c r="T34" s="1152">
        <v>5</v>
      </c>
      <c r="U34" s="1152"/>
      <c r="V34" s="1152">
        <v>0</v>
      </c>
      <c r="W34" s="1152"/>
      <c r="AA34" s="1147" t="s">
        <v>202</v>
      </c>
      <c r="AB34" s="1147"/>
      <c r="AC34" s="1152">
        <v>4</v>
      </c>
      <c r="AD34" s="1152"/>
      <c r="AE34" s="1152">
        <v>0</v>
      </c>
      <c r="AF34" s="1152"/>
    </row>
    <row r="35" spans="18:32" x14ac:dyDescent="0.25">
      <c r="R35" s="1159"/>
      <c r="S35" s="1159"/>
      <c r="T35" s="1160">
        <f t="shared" ref="T35" si="4">SUM(T30:T34)</f>
        <v>197.73450462962961</v>
      </c>
      <c r="U35" s="1160"/>
      <c r="V35" s="1160">
        <f>SUM(V30:W34)</f>
        <v>46.933626157407403</v>
      </c>
      <c r="W35" s="1160"/>
      <c r="X35" s="393"/>
      <c r="AA35" s="1159"/>
      <c r="AB35" s="1159"/>
      <c r="AC35" s="1160">
        <f t="shared" ref="AC35" si="5">SUM(AC30:AC34)</f>
        <v>206.97727314814819</v>
      </c>
      <c r="AD35" s="1160"/>
      <c r="AE35" s="1160">
        <f>SUM(AE30:AF34)</f>
        <v>49.494318287037046</v>
      </c>
      <c r="AF35" s="1160"/>
    </row>
    <row r="36" spans="18:32" x14ac:dyDescent="0.25">
      <c r="X36" s="393"/>
    </row>
    <row r="37" spans="18:32" x14ac:dyDescent="0.25">
      <c r="X37" s="393"/>
    </row>
    <row r="38" spans="18:32" x14ac:dyDescent="0.25">
      <c r="R38" s="1159"/>
      <c r="S38" s="1159"/>
      <c r="T38" s="1160">
        <f>I8</f>
        <v>1</v>
      </c>
      <c r="U38" s="1160"/>
      <c r="V38" s="1160">
        <f>J8</f>
        <v>0</v>
      </c>
      <c r="W38" s="1160"/>
      <c r="AA38" s="1159"/>
      <c r="AB38" s="1159"/>
      <c r="AC38" s="1160">
        <f>R8</f>
        <v>207.46066851851856</v>
      </c>
      <c r="AD38" s="1160"/>
      <c r="AE38" s="1160">
        <f>S8</f>
        <v>48.895234375000015</v>
      </c>
      <c r="AF38" s="1160"/>
    </row>
    <row r="39" spans="18:32" x14ac:dyDescent="0.25">
      <c r="R39" s="1159"/>
      <c r="S39" s="1159"/>
      <c r="T39" s="1160">
        <f>T38-T35</f>
        <v>-196.73450462962961</v>
      </c>
      <c r="U39" s="1160"/>
      <c r="V39" s="1160">
        <f>V38-V35</f>
        <v>-46.933626157407403</v>
      </c>
      <c r="W39" s="1160"/>
      <c r="AA39" s="1159"/>
      <c r="AB39" s="1159"/>
      <c r="AC39" s="1160">
        <f>AC38-AC35</f>
        <v>0.48339537037037417</v>
      </c>
      <c r="AD39" s="1160"/>
      <c r="AE39" s="1160">
        <f>AE38-AE35</f>
        <v>-0.59908391203703104</v>
      </c>
      <c r="AF39" s="1160"/>
    </row>
  </sheetData>
  <mergeCells count="110">
    <mergeCell ref="R39:S39"/>
    <mergeCell ref="T39:U39"/>
    <mergeCell ref="V39:W39"/>
    <mergeCell ref="AA39:AB39"/>
    <mergeCell ref="AC39:AD39"/>
    <mergeCell ref="AE39:AF39"/>
    <mergeCell ref="R38:S38"/>
    <mergeCell ref="T38:U38"/>
    <mergeCell ref="V38:W38"/>
    <mergeCell ref="AA38:AB38"/>
    <mergeCell ref="AC38:AD38"/>
    <mergeCell ref="AE38:AF38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R30:S30"/>
    <mergeCell ref="T30:U30"/>
    <mergeCell ref="V30:W30"/>
    <mergeCell ref="AA30:AB30"/>
    <mergeCell ref="AC30:AD30"/>
    <mergeCell ref="AE30:AF30"/>
    <mergeCell ref="R29:S29"/>
    <mergeCell ref="T29:U29"/>
    <mergeCell ref="V29:W29"/>
    <mergeCell ref="AA29:AB29"/>
    <mergeCell ref="AC29:AD29"/>
    <mergeCell ref="AE29:AF29"/>
    <mergeCell ref="Q23:R23"/>
    <mergeCell ref="V23:W23"/>
    <mergeCell ref="Q24:R24"/>
    <mergeCell ref="V24:W24"/>
    <mergeCell ref="R28:W28"/>
    <mergeCell ref="AA28:AF28"/>
    <mergeCell ref="Q20:R20"/>
    <mergeCell ref="V20:W20"/>
    <mergeCell ref="Q21:R21"/>
    <mergeCell ref="V21:W21"/>
    <mergeCell ref="Q22:R22"/>
    <mergeCell ref="V22:W22"/>
    <mergeCell ref="Q18:R18"/>
    <mergeCell ref="V18:W18"/>
    <mergeCell ref="AA18:AB18"/>
    <mergeCell ref="AD18:AE18"/>
    <mergeCell ref="Q19:R19"/>
    <mergeCell ref="V19:W19"/>
    <mergeCell ref="Q15:R15"/>
    <mergeCell ref="V15:W15"/>
    <mergeCell ref="Q16:R16"/>
    <mergeCell ref="V16:W16"/>
    <mergeCell ref="Q17:R17"/>
    <mergeCell ref="V17:W17"/>
    <mergeCell ref="Q13:T13"/>
    <mergeCell ref="V13:Y13"/>
    <mergeCell ref="AA13:AB13"/>
    <mergeCell ref="AD13:AE13"/>
    <mergeCell ref="Q14:R14"/>
    <mergeCell ref="V14:W14"/>
    <mergeCell ref="AA14:AB14"/>
    <mergeCell ref="AD14:AE14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0"/>
  <sheetViews>
    <sheetView topLeftCell="N4" workbookViewId="0">
      <selection activeCell="R9" sqref="R9:S9"/>
    </sheetView>
  </sheetViews>
  <sheetFormatPr defaultRowHeight="15" x14ac:dyDescent="0.25"/>
  <cols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1" width="11.5703125" bestFit="1" customWidth="1"/>
    <col min="64" max="64" width="12" customWidth="1"/>
  </cols>
  <sheetData>
    <row r="1" spans="1:79" ht="30.75" customHeight="1" thickBot="1" x14ac:dyDescent="0.3">
      <c r="A1" s="1396" t="s">
        <v>0</v>
      </c>
      <c r="B1" s="1398" t="s">
        <v>1</v>
      </c>
      <c r="C1" s="1401" t="s">
        <v>2</v>
      </c>
      <c r="D1" s="1402"/>
      <c r="E1" s="1403"/>
      <c r="F1" s="1401" t="s">
        <v>3</v>
      </c>
      <c r="G1" s="1402"/>
      <c r="H1" s="1403"/>
      <c r="I1" s="1401" t="s">
        <v>4</v>
      </c>
      <c r="J1" s="1402"/>
      <c r="K1" s="1403"/>
      <c r="L1" s="1407" t="s">
        <v>5</v>
      </c>
      <c r="M1" s="1407" t="s">
        <v>6</v>
      </c>
      <c r="N1" s="635"/>
      <c r="O1" s="635"/>
      <c r="P1" s="1407" t="s">
        <v>7</v>
      </c>
      <c r="Q1" s="1409" t="s">
        <v>8</v>
      </c>
      <c r="R1" s="1410"/>
      <c r="S1" s="1411"/>
      <c r="T1" s="1412" t="s">
        <v>9</v>
      </c>
      <c r="U1" s="1413"/>
      <c r="V1" s="1413"/>
      <c r="W1" s="1414"/>
      <c r="X1" s="1415" t="s">
        <v>10</v>
      </c>
      <c r="Y1" s="1416"/>
      <c r="Z1" s="1416"/>
      <c r="AA1" s="1417"/>
      <c r="AB1" s="1393" t="s">
        <v>11</v>
      </c>
      <c r="AC1" s="1394"/>
      <c r="AD1" s="1395"/>
      <c r="AE1" s="1381" t="s">
        <v>208</v>
      </c>
      <c r="AF1" s="1382"/>
      <c r="AG1" s="1382"/>
      <c r="AH1" s="1383"/>
      <c r="AI1" s="1384" t="s">
        <v>12</v>
      </c>
      <c r="AJ1" s="1385"/>
      <c r="AK1" s="1363" t="s">
        <v>179</v>
      </c>
      <c r="AL1" s="1364"/>
      <c r="AM1" s="1364"/>
      <c r="AN1" s="1364"/>
      <c r="AO1" s="1364"/>
      <c r="AP1" s="1364"/>
      <c r="AQ1" s="1364"/>
      <c r="AR1" s="1365"/>
      <c r="AS1" s="1228" t="s">
        <v>99</v>
      </c>
      <c r="AT1" s="1229"/>
      <c r="AU1" s="1229"/>
      <c r="AV1" s="1229"/>
      <c r="AW1" s="1230"/>
      <c r="AX1" s="1231" t="s">
        <v>100</v>
      </c>
      <c r="AY1" s="1232"/>
      <c r="AZ1" s="1233"/>
      <c r="BA1" s="1231" t="s">
        <v>101</v>
      </c>
      <c r="BB1" s="1232"/>
      <c r="BC1" s="1232"/>
      <c r="BD1" s="1232"/>
      <c r="BE1" s="1232"/>
      <c r="BF1" s="1232"/>
      <c r="BG1" s="1232"/>
      <c r="BH1" s="1232"/>
      <c r="BI1" s="1233"/>
      <c r="BJ1" s="1386" t="s">
        <v>14</v>
      </c>
      <c r="BK1" s="1387"/>
      <c r="BL1" s="1387"/>
      <c r="BM1" s="1387"/>
      <c r="BN1" s="1387"/>
      <c r="BO1" s="1387"/>
      <c r="BP1" s="1387"/>
      <c r="BQ1" s="1388"/>
      <c r="BR1" s="1389" t="s">
        <v>15</v>
      </c>
      <c r="BS1" s="1390"/>
      <c r="BT1" s="1228" t="s">
        <v>16</v>
      </c>
      <c r="BU1" s="1230"/>
      <c r="BV1" s="1389" t="s">
        <v>130</v>
      </c>
      <c r="BW1" s="1390"/>
      <c r="BX1" s="1391" t="s">
        <v>171</v>
      </c>
      <c r="BY1" s="1392"/>
      <c r="BZ1" s="1379" t="s">
        <v>209</v>
      </c>
      <c r="CA1" s="1380"/>
    </row>
    <row r="2" spans="1:79" ht="225.75" thickBot="1" x14ac:dyDescent="0.3">
      <c r="A2" s="1397"/>
      <c r="B2" s="1399"/>
      <c r="C2" s="1404"/>
      <c r="D2" s="1405"/>
      <c r="E2" s="1406"/>
      <c r="F2" s="1404"/>
      <c r="G2" s="1405"/>
      <c r="H2" s="1406"/>
      <c r="I2" s="1404"/>
      <c r="J2" s="1405"/>
      <c r="K2" s="1406"/>
      <c r="L2" s="1408"/>
      <c r="M2" s="1408"/>
      <c r="N2" s="636" t="s">
        <v>210</v>
      </c>
      <c r="O2" s="636" t="s">
        <v>211</v>
      </c>
      <c r="P2" s="1408"/>
      <c r="Q2" s="637" t="s">
        <v>17</v>
      </c>
      <c r="R2" s="637" t="s">
        <v>18</v>
      </c>
      <c r="S2" s="637" t="s">
        <v>19</v>
      </c>
      <c r="T2" s="638" t="s">
        <v>20</v>
      </c>
      <c r="U2" s="638" t="s">
        <v>21</v>
      </c>
      <c r="V2" s="638" t="s">
        <v>22</v>
      </c>
      <c r="W2" s="638" t="s">
        <v>23</v>
      </c>
      <c r="X2" s="639" t="s">
        <v>24</v>
      </c>
      <c r="Y2" s="639" t="s">
        <v>25</v>
      </c>
      <c r="Z2" s="639" t="s">
        <v>26</v>
      </c>
      <c r="AA2" s="639" t="s">
        <v>27</v>
      </c>
      <c r="AB2" s="640" t="s">
        <v>28</v>
      </c>
      <c r="AC2" s="640" t="s">
        <v>29</v>
      </c>
      <c r="AD2" s="640" t="s">
        <v>30</v>
      </c>
      <c r="AE2" s="641" t="s">
        <v>212</v>
      </c>
      <c r="AF2" s="641" t="s">
        <v>213</v>
      </c>
      <c r="AG2" s="641" t="s">
        <v>214</v>
      </c>
      <c r="AH2" s="641" t="s">
        <v>215</v>
      </c>
      <c r="AI2" s="642" t="s">
        <v>31</v>
      </c>
      <c r="AJ2" s="642" t="s">
        <v>32</v>
      </c>
      <c r="AK2" s="552" t="s">
        <v>180</v>
      </c>
      <c r="AL2" s="552" t="s">
        <v>36</v>
      </c>
      <c r="AM2" s="552" t="s">
        <v>181</v>
      </c>
      <c r="AN2" s="552" t="s">
        <v>36</v>
      </c>
      <c r="AO2" s="552" t="s">
        <v>182</v>
      </c>
      <c r="AP2" s="643" t="s">
        <v>36</v>
      </c>
      <c r="AQ2" s="552" t="s">
        <v>183</v>
      </c>
      <c r="AR2" s="643" t="s">
        <v>36</v>
      </c>
      <c r="AS2" s="644" t="s">
        <v>102</v>
      </c>
      <c r="AT2" s="644" t="s">
        <v>103</v>
      </c>
      <c r="AU2" s="644" t="s">
        <v>104</v>
      </c>
      <c r="AV2" s="644" t="s">
        <v>105</v>
      </c>
      <c r="AW2" s="644" t="s">
        <v>106</v>
      </c>
      <c r="AX2" s="645" t="s">
        <v>107</v>
      </c>
      <c r="AY2" s="645" t="s">
        <v>108</v>
      </c>
      <c r="AZ2" s="645" t="s">
        <v>109</v>
      </c>
      <c r="BA2" s="645" t="s">
        <v>110</v>
      </c>
      <c r="BB2" s="645" t="s">
        <v>111</v>
      </c>
      <c r="BC2" s="645" t="s">
        <v>112</v>
      </c>
      <c r="BD2" s="645" t="s">
        <v>113</v>
      </c>
      <c r="BE2" s="645" t="s">
        <v>114</v>
      </c>
      <c r="BF2" s="645" t="s">
        <v>115</v>
      </c>
      <c r="BG2" s="646" t="s">
        <v>116</v>
      </c>
      <c r="BH2" s="647" t="s">
        <v>117</v>
      </c>
      <c r="BI2" s="645" t="s">
        <v>118</v>
      </c>
      <c r="BJ2" s="648" t="s">
        <v>14</v>
      </c>
      <c r="BK2" s="648" t="s">
        <v>167</v>
      </c>
      <c r="BL2" s="648" t="s">
        <v>39</v>
      </c>
      <c r="BM2" s="648" t="s">
        <v>40</v>
      </c>
      <c r="BN2" s="648" t="s">
        <v>41</v>
      </c>
      <c r="BO2" s="648" t="s">
        <v>43</v>
      </c>
      <c r="BP2" s="648" t="s">
        <v>44</v>
      </c>
      <c r="BQ2" s="648" t="s">
        <v>46</v>
      </c>
      <c r="BR2" s="649" t="s">
        <v>47</v>
      </c>
      <c r="BS2" s="649" t="s">
        <v>48</v>
      </c>
      <c r="BT2" s="644" t="s">
        <v>49</v>
      </c>
      <c r="BU2" s="644" t="s">
        <v>50</v>
      </c>
      <c r="BV2" s="649" t="s">
        <v>131</v>
      </c>
      <c r="BW2" s="649" t="s">
        <v>132</v>
      </c>
      <c r="BX2" s="565" t="s">
        <v>172</v>
      </c>
      <c r="BY2" s="565" t="s">
        <v>173</v>
      </c>
      <c r="BZ2" s="650" t="s">
        <v>216</v>
      </c>
      <c r="CA2" s="650" t="s">
        <v>217</v>
      </c>
    </row>
    <row r="3" spans="1:79" ht="90.75" thickBot="1" x14ac:dyDescent="0.3">
      <c r="A3" s="651"/>
      <c r="B3" s="1400"/>
      <c r="C3" s="652" t="s">
        <v>185</v>
      </c>
      <c r="D3" s="652" t="s">
        <v>186</v>
      </c>
      <c r="E3" s="652" t="s">
        <v>187</v>
      </c>
      <c r="F3" s="652" t="s">
        <v>185</v>
      </c>
      <c r="G3" s="652" t="s">
        <v>186</v>
      </c>
      <c r="H3" s="652" t="s">
        <v>187</v>
      </c>
      <c r="I3" s="652" t="s">
        <v>185</v>
      </c>
      <c r="J3" s="652" t="s">
        <v>186</v>
      </c>
      <c r="K3" s="652" t="s">
        <v>187</v>
      </c>
      <c r="L3" s="652" t="s">
        <v>58</v>
      </c>
      <c r="M3" s="652" t="s">
        <v>188</v>
      </c>
      <c r="N3" s="652" t="s">
        <v>218</v>
      </c>
      <c r="O3" s="671" t="s">
        <v>120</v>
      </c>
      <c r="P3" s="671" t="s">
        <v>189</v>
      </c>
      <c r="Q3" s="652" t="s">
        <v>190</v>
      </c>
      <c r="R3" s="652" t="s">
        <v>190</v>
      </c>
      <c r="S3" s="652" t="s">
        <v>190</v>
      </c>
      <c r="T3" s="652" t="s">
        <v>190</v>
      </c>
      <c r="U3" s="652" t="s">
        <v>190</v>
      </c>
      <c r="V3" s="652" t="s">
        <v>57</v>
      </c>
      <c r="W3" s="652" t="s">
        <v>57</v>
      </c>
      <c r="X3" s="652" t="s">
        <v>57</v>
      </c>
      <c r="Y3" s="652" t="s">
        <v>57</v>
      </c>
      <c r="Z3" s="652" t="s">
        <v>57</v>
      </c>
      <c r="AA3" s="652" t="s">
        <v>57</v>
      </c>
      <c r="AB3" s="652" t="s">
        <v>57</v>
      </c>
      <c r="AC3" s="652" t="s">
        <v>57</v>
      </c>
      <c r="AD3" s="671" t="s">
        <v>57</v>
      </c>
      <c r="AE3" s="671" t="s">
        <v>219</v>
      </c>
      <c r="AF3" s="671" t="s">
        <v>220</v>
      </c>
      <c r="AG3" s="671" t="s">
        <v>219</v>
      </c>
      <c r="AH3" s="672" t="s">
        <v>221</v>
      </c>
      <c r="AI3" s="671" t="s">
        <v>57</v>
      </c>
      <c r="AJ3" s="671" t="s">
        <v>57</v>
      </c>
      <c r="AK3" s="671" t="s">
        <v>58</v>
      </c>
      <c r="AL3" s="652" t="s">
        <v>57</v>
      </c>
      <c r="AM3" s="652" t="s">
        <v>54</v>
      </c>
      <c r="AN3" s="652" t="s">
        <v>57</v>
      </c>
      <c r="AO3" s="652" t="s">
        <v>54</v>
      </c>
      <c r="AP3" s="652" t="s">
        <v>57</v>
      </c>
      <c r="AQ3" s="652" t="s">
        <v>54</v>
      </c>
      <c r="AR3" s="652" t="s">
        <v>57</v>
      </c>
      <c r="AS3" s="652" t="s">
        <v>62</v>
      </c>
      <c r="AT3" s="652" t="s">
        <v>62</v>
      </c>
      <c r="AU3" s="652" t="s">
        <v>62</v>
      </c>
      <c r="AV3" s="652" t="s">
        <v>54</v>
      </c>
      <c r="AW3" s="652" t="s">
        <v>57</v>
      </c>
      <c r="AX3" s="652" t="s">
        <v>62</v>
      </c>
      <c r="AY3" s="652" t="s">
        <v>54</v>
      </c>
      <c r="AZ3" s="652" t="s">
        <v>119</v>
      </c>
      <c r="BA3" s="652" t="s">
        <v>62</v>
      </c>
      <c r="BB3" s="652" t="s">
        <v>62</v>
      </c>
      <c r="BC3" s="652" t="s">
        <v>120</v>
      </c>
      <c r="BD3" s="652" t="s">
        <v>54</v>
      </c>
      <c r="BE3" s="652" t="s">
        <v>120</v>
      </c>
      <c r="BF3" s="652" t="s">
        <v>54</v>
      </c>
      <c r="BG3" s="652" t="s">
        <v>120</v>
      </c>
      <c r="BH3" s="652" t="s">
        <v>120</v>
      </c>
      <c r="BI3" s="652" t="s">
        <v>120</v>
      </c>
      <c r="BJ3" s="652" t="s">
        <v>54</v>
      </c>
      <c r="BK3" s="653" t="s">
        <v>168</v>
      </c>
      <c r="BL3" s="652" t="s">
        <v>59</v>
      </c>
      <c r="BM3" s="652" t="s">
        <v>60</v>
      </c>
      <c r="BN3" s="652" t="s">
        <v>61</v>
      </c>
      <c r="BO3" s="652" t="s">
        <v>57</v>
      </c>
      <c r="BP3" s="652" t="s">
        <v>127</v>
      </c>
      <c r="BQ3" s="652" t="s">
        <v>127</v>
      </c>
      <c r="BR3" s="652" t="s">
        <v>120</v>
      </c>
      <c r="BS3" s="652" t="s">
        <v>120</v>
      </c>
      <c r="BT3" s="652" t="s">
        <v>120</v>
      </c>
      <c r="BU3" s="652" t="s">
        <v>120</v>
      </c>
      <c r="BV3" s="652" t="s">
        <v>54</v>
      </c>
      <c r="BW3" s="652" t="s">
        <v>54</v>
      </c>
      <c r="BX3" s="565" t="s">
        <v>120</v>
      </c>
      <c r="BY3" s="565" t="s">
        <v>174</v>
      </c>
      <c r="BZ3" s="650" t="s">
        <v>120</v>
      </c>
      <c r="CA3" s="650" t="s">
        <v>222</v>
      </c>
    </row>
    <row r="4" spans="1:79" ht="31.5" x14ac:dyDescent="0.25">
      <c r="A4" s="45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675">
        <v>0</v>
      </c>
      <c r="O4" s="713" t="s">
        <v>67</v>
      </c>
      <c r="P4" s="713">
        <v>0</v>
      </c>
      <c r="Q4" s="677">
        <f>SUM(T4,X4,AB4,AS4,AX4,BA4)</f>
        <v>9.0010803571428557</v>
      </c>
      <c r="R4" s="438">
        <f>SUM(U4,Y4,AC4,AI4,AT4,BB4)</f>
        <v>9.0010563492063493</v>
      </c>
      <c r="S4" s="438">
        <f>SUM(V4,Z4,AD4,AJ4,AJ4,AU4)</f>
        <v>3.9954699553571427</v>
      </c>
      <c r="T4" s="453">
        <f>S17</f>
        <v>4.0004801587301584</v>
      </c>
      <c r="U4" s="453">
        <f>T4</f>
        <v>4.0004801587301584</v>
      </c>
      <c r="V4" s="453">
        <f>U4/100*50</f>
        <v>2.0002400793650792</v>
      </c>
      <c r="W4" s="453">
        <v>0</v>
      </c>
      <c r="X4" s="454">
        <f>S18</f>
        <v>3.000360119047619</v>
      </c>
      <c r="Y4" s="454">
        <f>X4</f>
        <v>3.000360119047619</v>
      </c>
      <c r="Z4" s="454">
        <f>Y4/100*50</f>
        <v>1.5001800595238095</v>
      </c>
      <c r="AA4" s="454">
        <v>0</v>
      </c>
      <c r="AB4" s="455">
        <f>S19</f>
        <v>0.5000600198412698</v>
      </c>
      <c r="AC4" s="668">
        <f>AB4</f>
        <v>0.5000600198412698</v>
      </c>
      <c r="AD4" s="455">
        <f>AC4/100*33</f>
        <v>0.16501980654761902</v>
      </c>
      <c r="AE4" s="697">
        <v>0</v>
      </c>
      <c r="AF4" s="698">
        <v>0</v>
      </c>
      <c r="AG4" s="698">
        <v>0</v>
      </c>
      <c r="AH4" s="698">
        <v>0</v>
      </c>
      <c r="AI4" s="456">
        <v>0.2</v>
      </c>
      <c r="AJ4" s="456">
        <f>AI4/100*20</f>
        <v>0.04</v>
      </c>
      <c r="AK4" s="395">
        <v>0</v>
      </c>
      <c r="AL4" s="669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1.0001200396825396</v>
      </c>
      <c r="AT4" s="457">
        <f>AS4</f>
        <v>1.0001200396825396</v>
      </c>
      <c r="AU4" s="457">
        <f>AT4/100*25</f>
        <v>0.2500300099206349</v>
      </c>
      <c r="AV4" s="457">
        <v>0</v>
      </c>
      <c r="AW4" s="457">
        <v>0</v>
      </c>
      <c r="AX4" s="458">
        <f>S22</f>
        <v>0.20002400793650793</v>
      </c>
      <c r="AY4" s="469">
        <v>4</v>
      </c>
      <c r="AZ4" s="459"/>
      <c r="BA4" s="460">
        <f>S23</f>
        <v>0.30003601190476192</v>
      </c>
      <c r="BB4" s="458">
        <f>BA4</f>
        <v>0.30003601190476192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v>1450</v>
      </c>
      <c r="BP4" s="461">
        <v>0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t="s">
        <v>67</v>
      </c>
      <c r="CA4" t="s">
        <v>223</v>
      </c>
    </row>
    <row r="5" spans="1:79" ht="31.5" x14ac:dyDescent="0.25">
      <c r="A5" s="50">
        <v>50</v>
      </c>
      <c r="B5" s="712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676">
        <v>0</v>
      </c>
      <c r="O5" s="713" t="s">
        <v>67</v>
      </c>
      <c r="P5" s="679"/>
      <c r="Q5" s="677">
        <f>SUM(T5,X5,AB5,AS5,AX5,BA5)</f>
        <v>9.9974375000000002</v>
      </c>
      <c r="R5" s="438">
        <f>SUM(U5,Y5,AC5,AI5,AT5,BB5)</f>
        <v>9.9998590277777772</v>
      </c>
      <c r="S5" s="438">
        <f>SUM(V5,Z5,AD5,AJ5,AU5)</f>
        <v>5.9954163888888887</v>
      </c>
      <c r="T5" s="453">
        <f>X17</f>
        <v>4.4433055555555558</v>
      </c>
      <c r="U5" s="453">
        <f>T5</f>
        <v>4.4433055555555558</v>
      </c>
      <c r="V5" s="453">
        <v>3.1</v>
      </c>
      <c r="W5" s="345">
        <v>0</v>
      </c>
      <c r="X5" s="454">
        <f>X18</f>
        <v>3.3324791666666669</v>
      </c>
      <c r="Y5" s="454">
        <f>X5</f>
        <v>3.3324791666666669</v>
      </c>
      <c r="Z5" s="454">
        <f>Y5/100*73</f>
        <v>2.4327097916666665</v>
      </c>
      <c r="AA5" s="346">
        <v>0</v>
      </c>
      <c r="AB5" s="455">
        <f>X19</f>
        <v>0.55541319444444448</v>
      </c>
      <c r="AC5" s="668">
        <v>0.57999999999999996</v>
      </c>
      <c r="AD5" s="455">
        <f>AC5/100*25</f>
        <v>0.14499999999999999</v>
      </c>
      <c r="AE5" s="698">
        <v>0</v>
      </c>
      <c r="AF5" s="698">
        <v>0</v>
      </c>
      <c r="AG5" s="698">
        <v>0</v>
      </c>
      <c r="AH5" s="698">
        <v>0</v>
      </c>
      <c r="AI5" s="456">
        <v>0.2</v>
      </c>
      <c r="AJ5" s="456">
        <f>AI5/100*20</f>
        <v>0.04</v>
      </c>
      <c r="AK5" s="342">
        <v>0</v>
      </c>
      <c r="AL5" s="670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1.110826388888889</v>
      </c>
      <c r="AT5" s="457">
        <f>AS5</f>
        <v>1.110826388888889</v>
      </c>
      <c r="AU5" s="457">
        <f>AT5/100*25</f>
        <v>0.27770659722222224</v>
      </c>
      <c r="AV5" s="349">
        <v>0</v>
      </c>
      <c r="AW5" s="349">
        <v>0</v>
      </c>
      <c r="AX5" s="458">
        <f>X22</f>
        <v>0.22216527777777778</v>
      </c>
      <c r="AY5" s="350">
        <v>1</v>
      </c>
      <c r="AZ5" s="361"/>
      <c r="BA5" s="458">
        <f>X23</f>
        <v>0.33324791666666664</v>
      </c>
      <c r="BB5" s="458">
        <f>BA5</f>
        <v>0.33324791666666664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362">
        <v>820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t="s">
        <v>67</v>
      </c>
      <c r="CA5" t="s">
        <v>224</v>
      </c>
    </row>
    <row r="6" spans="1:79" x14ac:dyDescent="0.25">
      <c r="A6" s="526"/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674"/>
      <c r="P6" s="674"/>
      <c r="Q6" s="685"/>
      <c r="R6" s="526"/>
      <c r="S6" s="526"/>
      <c r="T6" s="526"/>
      <c r="U6" s="526"/>
      <c r="V6" s="526"/>
      <c r="W6" s="526"/>
      <c r="X6" s="526"/>
      <c r="Y6" s="526"/>
      <c r="Z6" s="526"/>
      <c r="AA6" s="526"/>
      <c r="AB6" s="526"/>
      <c r="AC6" s="526"/>
      <c r="AD6" s="673"/>
      <c r="AE6" s="686"/>
      <c r="AF6" s="686"/>
      <c r="AG6" s="686"/>
      <c r="AH6" s="686"/>
      <c r="AI6" s="673"/>
      <c r="AJ6" s="673"/>
      <c r="AK6" s="673"/>
      <c r="AL6" s="526"/>
      <c r="AM6" s="526"/>
      <c r="AN6" s="526"/>
      <c r="AO6" s="526"/>
      <c r="AP6" s="526"/>
      <c r="AQ6" s="526"/>
      <c r="AR6" s="526"/>
      <c r="AS6" s="526"/>
      <c r="AT6" s="526"/>
      <c r="AU6" s="526"/>
      <c r="AV6" s="526"/>
      <c r="AW6" s="526"/>
      <c r="AX6" s="526"/>
      <c r="AY6" s="526"/>
      <c r="AZ6" s="526"/>
      <c r="BA6" s="526"/>
      <c r="BB6" s="526"/>
      <c r="BC6" s="526"/>
      <c r="BD6" s="526"/>
      <c r="BE6" s="526"/>
      <c r="BF6" s="526"/>
      <c r="BG6" s="526"/>
      <c r="BH6" s="526"/>
      <c r="BI6" s="526"/>
      <c r="BJ6" s="526"/>
      <c r="BK6" s="526"/>
      <c r="BL6" s="526"/>
      <c r="BM6" s="526"/>
      <c r="BN6" s="526"/>
      <c r="BO6" s="526"/>
      <c r="BP6" s="526"/>
      <c r="BQ6" s="526"/>
      <c r="BR6" s="526"/>
      <c r="BS6" s="526"/>
      <c r="BT6" s="526"/>
      <c r="BU6" s="526"/>
      <c r="BV6" s="526"/>
      <c r="BW6" s="526"/>
      <c r="BX6" s="526"/>
      <c r="BY6" s="526"/>
    </row>
    <row r="7" spans="1:79" ht="31.5" x14ac:dyDescent="0.25">
      <c r="A7" s="50">
        <v>60</v>
      </c>
      <c r="B7" s="712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676">
        <v>0</v>
      </c>
      <c r="O7" s="713" t="s">
        <v>65</v>
      </c>
      <c r="P7" s="713">
        <v>0</v>
      </c>
      <c r="Q7" s="678">
        <f>SUM(T7,X7,AB7,AS7,AX7,BA7)</f>
        <v>270.03241071428573</v>
      </c>
      <c r="R7" s="394">
        <f>SUM(U7,Y7,AC7,AI7,AT7,BB7)</f>
        <v>270.03169047619053</v>
      </c>
      <c r="S7" s="394">
        <f>SUM(V7,Z7,AD7,AJ7,AU7)</f>
        <v>118.66409866071427</v>
      </c>
      <c r="T7" s="527">
        <f>T4*30</f>
        <v>120.01440476190476</v>
      </c>
      <c r="U7" s="527">
        <f t="shared" ref="U7:AJ8" si="0">U4*30</f>
        <v>120.01440476190476</v>
      </c>
      <c r="V7" s="527">
        <f t="shared" si="0"/>
        <v>60.007202380952378</v>
      </c>
      <c r="W7" s="527">
        <f t="shared" si="0"/>
        <v>0</v>
      </c>
      <c r="X7" s="528">
        <f>X4*30</f>
        <v>90.010803571428568</v>
      </c>
      <c r="Y7" s="528">
        <f t="shared" ref="Y7:AD7" si="1">Y4*30</f>
        <v>90.010803571428568</v>
      </c>
      <c r="Z7" s="528">
        <f t="shared" si="1"/>
        <v>45.005401785714284</v>
      </c>
      <c r="AA7" s="528">
        <f t="shared" si="1"/>
        <v>0</v>
      </c>
      <c r="AB7" s="528">
        <f t="shared" si="1"/>
        <v>15.001800595238095</v>
      </c>
      <c r="AC7" s="528">
        <f t="shared" si="1"/>
        <v>15.001800595238095</v>
      </c>
      <c r="AD7" s="528">
        <f t="shared" si="1"/>
        <v>4.9505941964285709</v>
      </c>
      <c r="AE7" s="680">
        <v>0</v>
      </c>
      <c r="AF7" s="680">
        <v>0</v>
      </c>
      <c r="AG7" s="680">
        <v>0</v>
      </c>
      <c r="AH7" s="680">
        <v>0</v>
      </c>
      <c r="AI7" s="681">
        <f>AI4*30</f>
        <v>6</v>
      </c>
      <c r="AJ7" s="681">
        <f>AJ4*30</f>
        <v>1.2</v>
      </c>
      <c r="AK7" s="395">
        <v>0</v>
      </c>
      <c r="AL7" s="669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30.003601190476189</v>
      </c>
      <c r="AT7" s="682">
        <f t="shared" ref="AT7:BB7" si="2">AT4*30</f>
        <v>30.003601190476189</v>
      </c>
      <c r="AU7" s="682">
        <f t="shared" si="2"/>
        <v>7.5009002976190473</v>
      </c>
      <c r="AV7" s="682">
        <f t="shared" si="2"/>
        <v>0</v>
      </c>
      <c r="AW7" s="682">
        <f t="shared" si="2"/>
        <v>0</v>
      </c>
      <c r="AX7" s="682">
        <f>AX4*30</f>
        <v>6.000720238095238</v>
      </c>
      <c r="AY7" s="682">
        <f t="shared" si="2"/>
        <v>120</v>
      </c>
      <c r="AZ7" s="682">
        <f t="shared" si="2"/>
        <v>0</v>
      </c>
      <c r="BA7" s="682">
        <f t="shared" si="2"/>
        <v>9.0010803571428575</v>
      </c>
      <c r="BB7" s="682">
        <f t="shared" si="2"/>
        <v>9.0010803571428575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t="s">
        <v>67</v>
      </c>
      <c r="CA7" t="s">
        <v>223</v>
      </c>
    </row>
    <row r="8" spans="1:79" ht="31.5" x14ac:dyDescent="0.25">
      <c r="A8" s="50">
        <v>50</v>
      </c>
      <c r="B8" s="712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676">
        <v>0</v>
      </c>
      <c r="O8" s="713" t="s">
        <v>67</v>
      </c>
      <c r="P8" s="679">
        <v>17620</v>
      </c>
      <c r="Q8" s="678">
        <f>SUM(T8,X8,AB8,AS8,AX8,BA8)</f>
        <v>299.92312500000003</v>
      </c>
      <c r="R8" s="394">
        <f>SUM(U8,Y8,AC8,AI8,AT8,BB8)</f>
        <v>299.99577083333332</v>
      </c>
      <c r="S8" s="394">
        <f>SUM(V8,Z8,AD8,AJ8,AU8)</f>
        <v>179.86249166666664</v>
      </c>
      <c r="T8" s="527">
        <f>T5*30</f>
        <v>133.29916666666668</v>
      </c>
      <c r="U8" s="527">
        <f t="shared" si="0"/>
        <v>133.29916666666668</v>
      </c>
      <c r="V8" s="527">
        <f t="shared" si="0"/>
        <v>93</v>
      </c>
      <c r="W8" s="527">
        <f t="shared" si="0"/>
        <v>0</v>
      </c>
      <c r="X8" s="527">
        <f t="shared" si="0"/>
        <v>99.974375000000009</v>
      </c>
      <c r="Y8" s="527">
        <f t="shared" si="0"/>
        <v>99.974375000000009</v>
      </c>
      <c r="Z8" s="527">
        <f t="shared" si="0"/>
        <v>72.981293749999992</v>
      </c>
      <c r="AA8" s="527">
        <f t="shared" si="0"/>
        <v>0</v>
      </c>
      <c r="AB8" s="527">
        <f t="shared" si="0"/>
        <v>16.662395833333335</v>
      </c>
      <c r="AC8" s="527">
        <f t="shared" si="0"/>
        <v>17.399999999999999</v>
      </c>
      <c r="AD8" s="527">
        <f t="shared" si="0"/>
        <v>4.3499999999999996</v>
      </c>
      <c r="AE8" s="527">
        <f t="shared" si="0"/>
        <v>0</v>
      </c>
      <c r="AF8" s="527">
        <f t="shared" si="0"/>
        <v>0</v>
      </c>
      <c r="AG8" s="527">
        <f t="shared" si="0"/>
        <v>0</v>
      </c>
      <c r="AH8" s="527">
        <f t="shared" si="0"/>
        <v>0</v>
      </c>
      <c r="AI8" s="527">
        <f t="shared" si="0"/>
        <v>6</v>
      </c>
      <c r="AJ8" s="527">
        <f t="shared" si="0"/>
        <v>1.2</v>
      </c>
      <c r="AK8" s="527">
        <f t="shared" ref="AK8:BB8" si="3">AK5*30</f>
        <v>0</v>
      </c>
      <c r="AL8" s="527">
        <f t="shared" si="3"/>
        <v>0</v>
      </c>
      <c r="AM8" s="527">
        <f t="shared" si="3"/>
        <v>30</v>
      </c>
      <c r="AN8" s="527">
        <f t="shared" si="3"/>
        <v>48</v>
      </c>
      <c r="AO8" s="527">
        <f t="shared" si="3"/>
        <v>0</v>
      </c>
      <c r="AP8" s="527">
        <f t="shared" si="3"/>
        <v>0</v>
      </c>
      <c r="AQ8" s="527">
        <f t="shared" si="3"/>
        <v>0</v>
      </c>
      <c r="AR8" s="527">
        <f t="shared" si="3"/>
        <v>0</v>
      </c>
      <c r="AS8" s="527">
        <f t="shared" si="3"/>
        <v>33.32479166666667</v>
      </c>
      <c r="AT8" s="527">
        <f t="shared" si="3"/>
        <v>33.32479166666667</v>
      </c>
      <c r="AU8" s="527">
        <f t="shared" si="3"/>
        <v>8.3311979166666674</v>
      </c>
      <c r="AV8" s="527">
        <f t="shared" si="3"/>
        <v>0</v>
      </c>
      <c r="AW8" s="527">
        <f t="shared" si="3"/>
        <v>0</v>
      </c>
      <c r="AX8" s="527">
        <f t="shared" si="3"/>
        <v>6.6649583333333338</v>
      </c>
      <c r="AY8" s="527">
        <f t="shared" si="3"/>
        <v>30</v>
      </c>
      <c r="AZ8" s="527">
        <f t="shared" si="3"/>
        <v>0</v>
      </c>
      <c r="BA8" s="527">
        <f t="shared" si="3"/>
        <v>9.9974375000000002</v>
      </c>
      <c r="BB8" s="527">
        <f t="shared" si="3"/>
        <v>9.9974375000000002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t="s">
        <v>67</v>
      </c>
      <c r="CA8" t="s">
        <v>224</v>
      </c>
    </row>
    <row r="9" spans="1:79" x14ac:dyDescent="0.25">
      <c r="R9" s="393">
        <f>R7+R8</f>
        <v>570.02746130952391</v>
      </c>
      <c r="S9" s="393">
        <f>S7+S8</f>
        <v>298.52659032738092</v>
      </c>
      <c r="AE9" s="393"/>
      <c r="AF9" s="393"/>
      <c r="AG9" s="393"/>
      <c r="AH9" s="393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</row>
    <row r="14" spans="1:79" x14ac:dyDescent="0.25">
      <c r="Q14" s="1127" t="s">
        <v>192</v>
      </c>
      <c r="R14" s="1128"/>
      <c r="S14" s="714">
        <v>31179</v>
      </c>
      <c r="T14" s="714"/>
      <c r="V14" s="1127" t="s">
        <v>192</v>
      </c>
      <c r="W14" s="1128"/>
      <c r="X14" s="714">
        <v>32613</v>
      </c>
      <c r="Y14" s="714"/>
      <c r="AA14" s="1134" t="s">
        <v>199</v>
      </c>
      <c r="AB14" s="1135"/>
      <c r="AD14" s="1134" t="s">
        <v>199</v>
      </c>
      <c r="AE14" s="1135"/>
    </row>
    <row r="15" spans="1:79" x14ac:dyDescent="0.25">
      <c r="Q15" s="1127" t="s">
        <v>193</v>
      </c>
      <c r="R15" s="1128"/>
      <c r="S15" s="714">
        <v>291</v>
      </c>
      <c r="T15" s="714" t="s">
        <v>194</v>
      </c>
      <c r="V15" s="1127" t="s">
        <v>193</v>
      </c>
      <c r="W15" s="1128"/>
      <c r="X15" s="714">
        <v>309</v>
      </c>
      <c r="Y15" s="714" t="s">
        <v>194</v>
      </c>
      <c r="AA15" s="249"/>
      <c r="AB15" s="634">
        <f>108*S14/1000000</f>
        <v>3.3673320000000002</v>
      </c>
      <c r="AD15" s="249"/>
      <c r="AE15" s="634">
        <f>108*X14/1000000</f>
        <v>3.5222039999999999</v>
      </c>
    </row>
    <row r="16" spans="1:79" x14ac:dyDescent="0.25">
      <c r="N16">
        <v>270</v>
      </c>
      <c r="Q16" s="1127" t="s">
        <v>195</v>
      </c>
      <c r="R16" s="1128"/>
      <c r="S16" s="596">
        <f>S14*S15/907200</f>
        <v>10.001200396825396</v>
      </c>
      <c r="T16" s="714"/>
      <c r="V16" s="1127" t="s">
        <v>195</v>
      </c>
      <c r="W16" s="1128"/>
      <c r="X16" s="596">
        <f>X14*X15/907200</f>
        <v>11.108263888888889</v>
      </c>
      <c r="Y16" s="714"/>
      <c r="AA16" s="249"/>
      <c r="AB16" s="634">
        <f>AB15*31</f>
        <v>104.387292</v>
      </c>
      <c r="AD16" s="249"/>
      <c r="AE16" s="634">
        <f>AE15*31</f>
        <v>109.18832399999999</v>
      </c>
    </row>
    <row r="17" spans="11:36" x14ac:dyDescent="0.25">
      <c r="N17">
        <v>227</v>
      </c>
      <c r="Q17" s="1132" t="s">
        <v>9</v>
      </c>
      <c r="R17" s="1133"/>
      <c r="S17" s="592">
        <f>S16/100*40</f>
        <v>4.0004801587301584</v>
      </c>
      <c r="T17" s="714">
        <v>40</v>
      </c>
      <c r="V17" s="1132" t="s">
        <v>9</v>
      </c>
      <c r="W17" s="1133"/>
      <c r="X17" s="592">
        <f>X16/100*40</f>
        <v>4.4433055555555558</v>
      </c>
      <c r="Y17" s="714">
        <v>40</v>
      </c>
      <c r="AA17" s="249"/>
      <c r="AB17" s="249"/>
      <c r="AD17" s="249"/>
      <c r="AE17" s="249"/>
      <c r="AJ17">
        <v>223</v>
      </c>
    </row>
    <row r="18" spans="11:36" x14ac:dyDescent="0.25">
      <c r="K18">
        <f>S14*291</f>
        <v>9073089</v>
      </c>
      <c r="N18">
        <f>N16-N17</f>
        <v>43</v>
      </c>
      <c r="Q18" s="1132" t="s">
        <v>10</v>
      </c>
      <c r="R18" s="1133"/>
      <c r="S18" s="592">
        <f>S16/100*30</f>
        <v>3.000360119047619</v>
      </c>
      <c r="T18" s="714">
        <v>30</v>
      </c>
      <c r="V18" s="1132" t="s">
        <v>10</v>
      </c>
      <c r="W18" s="1133"/>
      <c r="X18" s="592">
        <f>X16/100*30</f>
        <v>3.3324791666666669</v>
      </c>
      <c r="Y18" s="714">
        <v>30</v>
      </c>
      <c r="AA18" s="1137" t="s">
        <v>225</v>
      </c>
      <c r="AB18" s="1138"/>
      <c r="AD18" s="1137" t="s">
        <v>225</v>
      </c>
      <c r="AE18" s="1138"/>
      <c r="AJ18">
        <v>166</v>
      </c>
    </row>
    <row r="19" spans="11:36" x14ac:dyDescent="0.25">
      <c r="Q19" s="1132" t="s">
        <v>11</v>
      </c>
      <c r="R19" s="1133"/>
      <c r="S19" s="592">
        <f>S16/100*5</f>
        <v>0.5000600198412698</v>
      </c>
      <c r="T19" s="714">
        <v>5</v>
      </c>
      <c r="V19" s="1132" t="s">
        <v>11</v>
      </c>
      <c r="W19" s="1133"/>
      <c r="X19" s="592">
        <f>X16/100*5</f>
        <v>0.55541319444444448</v>
      </c>
      <c r="Y19" s="714">
        <v>5</v>
      </c>
      <c r="AA19" s="249"/>
      <c r="AB19" s="634">
        <f>120*S14/250</f>
        <v>14965.92</v>
      </c>
      <c r="AD19" s="249"/>
      <c r="AE19" s="634">
        <f>120*X14/250</f>
        <v>15654.24</v>
      </c>
      <c r="AJ19">
        <f>AJ17-AJ18</f>
        <v>57</v>
      </c>
    </row>
    <row r="20" spans="11:36" x14ac:dyDescent="0.25">
      <c r="Q20" s="1132" t="s">
        <v>12</v>
      </c>
      <c r="R20" s="1133"/>
      <c r="S20" s="592">
        <f>S16/100*10</f>
        <v>1.0001200396825396</v>
      </c>
      <c r="T20" s="714">
        <v>10</v>
      </c>
      <c r="V20" s="1132" t="s">
        <v>12</v>
      </c>
      <c r="W20" s="1133"/>
      <c r="X20" s="592">
        <f>X16/100*10</f>
        <v>1.110826388888889</v>
      </c>
      <c r="Y20" s="714">
        <v>10</v>
      </c>
      <c r="AA20" s="249"/>
      <c r="AB20" s="634">
        <f>AB19/1000</f>
        <v>14.965920000000001</v>
      </c>
      <c r="AD20" s="249"/>
      <c r="AE20" s="634">
        <f>AE19/1000</f>
        <v>15.65424</v>
      </c>
      <c r="AJ20">
        <v>20</v>
      </c>
    </row>
    <row r="21" spans="11:36" x14ac:dyDescent="0.25">
      <c r="Q21" s="1132" t="s">
        <v>99</v>
      </c>
      <c r="R21" s="1133"/>
      <c r="S21" s="592">
        <f>S16/100*10</f>
        <v>1.0001200396825396</v>
      </c>
      <c r="T21" s="714">
        <v>10</v>
      </c>
      <c r="V21" s="1132" t="s">
        <v>99</v>
      </c>
      <c r="W21" s="1133"/>
      <c r="X21" s="592">
        <f>X16/100*10</f>
        <v>1.110826388888889</v>
      </c>
      <c r="Y21" s="714">
        <v>10</v>
      </c>
      <c r="AA21" s="249"/>
      <c r="AB21" s="634">
        <f>AB20*31</f>
        <v>463.94352000000003</v>
      </c>
      <c r="AD21" s="249"/>
      <c r="AE21" s="634">
        <f>AE20*31</f>
        <v>485.28143999999998</v>
      </c>
      <c r="AJ21">
        <f>AJ19-AJ20</f>
        <v>37</v>
      </c>
    </row>
    <row r="22" spans="11:36" x14ac:dyDescent="0.25">
      <c r="Q22" s="1132" t="s">
        <v>100</v>
      </c>
      <c r="R22" s="1133"/>
      <c r="S22" s="592">
        <f>S16/100*2</f>
        <v>0.20002400793650793</v>
      </c>
      <c r="T22" s="714">
        <v>2</v>
      </c>
      <c r="V22" s="1132" t="s">
        <v>100</v>
      </c>
      <c r="W22" s="1133"/>
      <c r="X22" s="592">
        <f>X16/100*2</f>
        <v>0.22216527777777778</v>
      </c>
      <c r="Y22" s="714">
        <v>2</v>
      </c>
      <c r="AA22" s="249"/>
      <c r="AB22" s="634">
        <f>AB21/100*3</f>
        <v>13.9183056</v>
      </c>
      <c r="AD22" s="249"/>
      <c r="AE22" s="634">
        <f>AE21/100*2</f>
        <v>9.7056287999999995</v>
      </c>
    </row>
    <row r="23" spans="11:36" x14ac:dyDescent="0.25">
      <c r="Q23" s="1132" t="s">
        <v>101</v>
      </c>
      <c r="R23" s="1133"/>
      <c r="S23" s="592">
        <f>S16/100*3</f>
        <v>0.30003601190476192</v>
      </c>
      <c r="T23" s="714">
        <v>3</v>
      </c>
      <c r="V23" s="1132" t="s">
        <v>101</v>
      </c>
      <c r="W23" s="1133"/>
      <c r="X23" s="592">
        <f>X16/100*3</f>
        <v>0.33324791666666664</v>
      </c>
      <c r="Y23" s="714">
        <v>3</v>
      </c>
      <c r="AF23">
        <f>S19/30</f>
        <v>1.6668667328042328E-2</v>
      </c>
    </row>
    <row r="24" spans="11:36" x14ac:dyDescent="0.25">
      <c r="Q24" s="1140" t="s">
        <v>89</v>
      </c>
      <c r="R24" s="1141"/>
      <c r="S24" s="596">
        <f>SUM(S17:S23)</f>
        <v>10.001200396825395</v>
      </c>
      <c r="T24" s="714">
        <f>SUM(T17:T23)</f>
        <v>100</v>
      </c>
      <c r="V24" s="1140" t="s">
        <v>89</v>
      </c>
      <c r="W24" s="1141"/>
      <c r="X24" s="596">
        <f>SUM(X17:X23)</f>
        <v>11.108263888888889</v>
      </c>
      <c r="Y24" s="714">
        <f>SUM(Y17:Y23)</f>
        <v>100</v>
      </c>
    </row>
    <row r="28" spans="11:36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1149"/>
      <c r="AF28" s="1149"/>
    </row>
    <row r="29" spans="11:36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</row>
    <row r="30" spans="11:36" x14ac:dyDescent="0.25">
      <c r="R30" s="1147" t="s">
        <v>90</v>
      </c>
      <c r="S30" s="1147"/>
      <c r="T30" s="1152">
        <v>48</v>
      </c>
      <c r="U30" s="1152"/>
      <c r="V30" s="1152"/>
      <c r="W30" s="1152"/>
      <c r="AA30" s="1147" t="s">
        <v>90</v>
      </c>
      <c r="AB30" s="1147"/>
      <c r="AC30" s="1152">
        <v>52</v>
      </c>
      <c r="AD30" s="1152"/>
      <c r="AE30" s="1152">
        <v>8</v>
      </c>
      <c r="AF30" s="1152"/>
    </row>
    <row r="31" spans="11:36" x14ac:dyDescent="0.25">
      <c r="R31" s="1147" t="s">
        <v>86</v>
      </c>
      <c r="S31" s="1147"/>
      <c r="T31" s="1148">
        <f>U7</f>
        <v>120.01440476190476</v>
      </c>
      <c r="U31" s="1148"/>
      <c r="V31" s="1148">
        <f>V7</f>
        <v>60.007202380952378</v>
      </c>
      <c r="W31" s="1148"/>
      <c r="X31" s="393"/>
      <c r="AA31" s="1147" t="s">
        <v>86</v>
      </c>
      <c r="AB31" s="1147"/>
      <c r="AC31" s="1148">
        <f>U8</f>
        <v>133.29916666666668</v>
      </c>
      <c r="AD31" s="1148"/>
      <c r="AE31" s="1148">
        <f>V8</f>
        <v>93</v>
      </c>
      <c r="AF31" s="1148"/>
    </row>
    <row r="32" spans="11:36" x14ac:dyDescent="0.25">
      <c r="R32" s="1147" t="s">
        <v>87</v>
      </c>
      <c r="S32" s="1147"/>
      <c r="T32" s="1148">
        <f>Y7</f>
        <v>90.010803571428568</v>
      </c>
      <c r="U32" s="1148"/>
      <c r="V32" s="1148">
        <f>Z7</f>
        <v>45.005401785714284</v>
      </c>
      <c r="W32" s="1148"/>
      <c r="X32" s="393"/>
      <c r="AA32" s="1147" t="s">
        <v>87</v>
      </c>
      <c r="AB32" s="1147"/>
      <c r="AC32" s="1148">
        <f>Y8</f>
        <v>99.974375000000009</v>
      </c>
      <c r="AD32" s="1148"/>
      <c r="AE32" s="1148">
        <f>Z8</f>
        <v>72.981293749999992</v>
      </c>
      <c r="AF32" s="1148"/>
    </row>
    <row r="33" spans="18:32" x14ac:dyDescent="0.25">
      <c r="R33" s="1147" t="s">
        <v>201</v>
      </c>
      <c r="S33" s="1147"/>
      <c r="T33" s="1152">
        <v>9</v>
      </c>
      <c r="U33" s="1152"/>
      <c r="V33" s="1152">
        <v>7</v>
      </c>
      <c r="W33" s="1152"/>
      <c r="AA33" s="1147" t="s">
        <v>201</v>
      </c>
      <c r="AB33" s="1147"/>
      <c r="AC33" s="1152">
        <v>9</v>
      </c>
      <c r="AD33" s="1152"/>
      <c r="AE33" s="1152">
        <v>6</v>
      </c>
      <c r="AF33" s="1152"/>
    </row>
    <row r="34" spans="18:32" x14ac:dyDescent="0.25">
      <c r="R34" s="1147" t="s">
        <v>202</v>
      </c>
      <c r="S34" s="1147"/>
      <c r="T34" s="1152">
        <v>5</v>
      </c>
      <c r="U34" s="1152"/>
      <c r="V34" s="1152">
        <v>0</v>
      </c>
      <c r="W34" s="1152"/>
      <c r="AA34" s="1147" t="s">
        <v>202</v>
      </c>
      <c r="AB34" s="1147"/>
      <c r="AC34" s="1152">
        <v>4</v>
      </c>
      <c r="AD34" s="1152"/>
      <c r="AE34" s="1152">
        <v>0</v>
      </c>
      <c r="AF34" s="1152"/>
    </row>
    <row r="35" spans="18:32" x14ac:dyDescent="0.25">
      <c r="R35" s="1159"/>
      <c r="S35" s="1159"/>
      <c r="T35" s="1160">
        <f t="shared" ref="T35" si="4">SUM(T30:T34)</f>
        <v>272.02520833333335</v>
      </c>
      <c r="U35" s="1160"/>
      <c r="V35" s="1160">
        <f>SUM(V30:W34)</f>
        <v>112.01260416666666</v>
      </c>
      <c r="W35" s="1160"/>
      <c r="X35" s="393"/>
      <c r="AA35" s="1159"/>
      <c r="AB35" s="1159"/>
      <c r="AC35" s="1160">
        <f t="shared" ref="AC35" si="5">SUM(AC30:AC34)</f>
        <v>298.27354166666669</v>
      </c>
      <c r="AD35" s="1160"/>
      <c r="AE35" s="1160">
        <f>SUM(AE30:AF34)</f>
        <v>179.98129374999999</v>
      </c>
      <c r="AF35" s="1160"/>
    </row>
    <row r="36" spans="18:32" x14ac:dyDescent="0.25">
      <c r="X36" s="393"/>
    </row>
    <row r="37" spans="18:32" x14ac:dyDescent="0.25">
      <c r="X37" s="393"/>
    </row>
    <row r="38" spans="18:32" x14ac:dyDescent="0.25">
      <c r="R38" s="1159"/>
      <c r="S38" s="1159"/>
      <c r="T38" s="1160">
        <f>I8</f>
        <v>1</v>
      </c>
      <c r="U38" s="1160"/>
      <c r="V38" s="1160">
        <f>J8</f>
        <v>0</v>
      </c>
      <c r="W38" s="1160"/>
      <c r="AA38" s="1159"/>
      <c r="AB38" s="1159"/>
      <c r="AC38" s="1160">
        <f>R8</f>
        <v>299.99577083333332</v>
      </c>
      <c r="AD38" s="1160"/>
      <c r="AE38" s="1160">
        <f>S8</f>
        <v>179.86249166666664</v>
      </c>
      <c r="AF38" s="1160"/>
    </row>
    <row r="39" spans="18:32" x14ac:dyDescent="0.25">
      <c r="R39" s="1159"/>
      <c r="S39" s="1159"/>
      <c r="T39" s="1160">
        <f>T38-T35</f>
        <v>-271.02520833333335</v>
      </c>
      <c r="U39" s="1160"/>
      <c r="V39" s="1160">
        <f>V38-V35</f>
        <v>-112.01260416666666</v>
      </c>
      <c r="W39" s="1160"/>
      <c r="AA39" s="1159"/>
      <c r="AB39" s="1159"/>
      <c r="AC39" s="1160">
        <f>AC38-AC35</f>
        <v>1.7222291666666365</v>
      </c>
      <c r="AD39" s="1160"/>
      <c r="AE39" s="1160">
        <f>AE38-AE35</f>
        <v>-0.11880208333334963</v>
      </c>
      <c r="AF39" s="1160"/>
    </row>
    <row r="45" spans="18:32" x14ac:dyDescent="0.25">
      <c r="U45" s="619" t="s">
        <v>90</v>
      </c>
      <c r="V45" s="620">
        <v>0</v>
      </c>
      <c r="W45" s="620">
        <v>49</v>
      </c>
      <c r="X45" s="620">
        <v>6</v>
      </c>
      <c r="Y45" s="619">
        <v>720.28599999999994</v>
      </c>
    </row>
    <row r="46" spans="18:32" x14ac:dyDescent="0.25">
      <c r="U46" s="619" t="s">
        <v>86</v>
      </c>
      <c r="V46" s="620">
        <v>0</v>
      </c>
      <c r="W46" s="620">
        <v>133</v>
      </c>
      <c r="X46" s="620">
        <v>93</v>
      </c>
      <c r="Y46" s="619">
        <v>2.7</v>
      </c>
    </row>
    <row r="47" spans="18:32" x14ac:dyDescent="0.25">
      <c r="U47" s="619" t="s">
        <v>87</v>
      </c>
      <c r="V47" s="620">
        <v>0</v>
      </c>
      <c r="W47" s="620">
        <v>100</v>
      </c>
      <c r="X47" s="620">
        <v>73</v>
      </c>
      <c r="Y47" s="619">
        <v>1.7</v>
      </c>
    </row>
    <row r="48" spans="18:32" x14ac:dyDescent="0.25">
      <c r="U48" s="619" t="s">
        <v>201</v>
      </c>
      <c r="V48" s="620">
        <v>0</v>
      </c>
      <c r="W48" s="620">
        <v>10</v>
      </c>
      <c r="X48" s="620">
        <v>8</v>
      </c>
      <c r="Y48" s="619">
        <v>0.08</v>
      </c>
    </row>
    <row r="49" spans="21:25" x14ac:dyDescent="0.25">
      <c r="U49" s="619" t="s">
        <v>202</v>
      </c>
      <c r="V49" s="620">
        <v>0</v>
      </c>
      <c r="W49" s="620">
        <v>8</v>
      </c>
      <c r="X49" s="620">
        <v>0</v>
      </c>
      <c r="Y49" s="619">
        <v>0.05</v>
      </c>
    </row>
    <row r="50" spans="21:25" x14ac:dyDescent="0.25">
      <c r="W50">
        <f>SUM(W45:W49)</f>
        <v>300</v>
      </c>
      <c r="X50">
        <f t="shared" ref="X50:Y50" si="6">SUM(X45:X49)</f>
        <v>180</v>
      </c>
      <c r="Y50">
        <f t="shared" si="6"/>
        <v>724.81600000000003</v>
      </c>
    </row>
  </sheetData>
  <mergeCells count="110"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Q13:T13"/>
    <mergeCell ref="V13:Y13"/>
    <mergeCell ref="AA13:AB13"/>
    <mergeCell ref="AD13:AE13"/>
    <mergeCell ref="Q14:R14"/>
    <mergeCell ref="V14:W14"/>
    <mergeCell ref="AA14:AB14"/>
    <mergeCell ref="AD14:AE14"/>
    <mergeCell ref="BJ1:BQ1"/>
    <mergeCell ref="AD18:AE18"/>
    <mergeCell ref="Q19:R19"/>
    <mergeCell ref="V19:W19"/>
    <mergeCell ref="Q15:R15"/>
    <mergeCell ref="V15:W15"/>
    <mergeCell ref="Q16:R16"/>
    <mergeCell ref="V16:W16"/>
    <mergeCell ref="Q17:R17"/>
    <mergeCell ref="V17:W17"/>
    <mergeCell ref="Q20:R20"/>
    <mergeCell ref="V20:W20"/>
    <mergeCell ref="Q21:R21"/>
    <mergeCell ref="V21:W21"/>
    <mergeCell ref="Q22:R22"/>
    <mergeCell ref="V22:W22"/>
    <mergeCell ref="Q18:R18"/>
    <mergeCell ref="V18:W18"/>
    <mergeCell ref="AA18:AB18"/>
    <mergeCell ref="R29:S29"/>
    <mergeCell ref="T29:U29"/>
    <mergeCell ref="V29:W29"/>
    <mergeCell ref="AA29:AB29"/>
    <mergeCell ref="AC29:AD29"/>
    <mergeCell ref="AE29:AF29"/>
    <mergeCell ref="Q23:R23"/>
    <mergeCell ref="V23:W23"/>
    <mergeCell ref="Q24:R24"/>
    <mergeCell ref="V24:W24"/>
    <mergeCell ref="R28:W28"/>
    <mergeCell ref="AA28:AF28"/>
    <mergeCell ref="R31:S31"/>
    <mergeCell ref="T31:U31"/>
    <mergeCell ref="V31:W31"/>
    <mergeCell ref="AA31:AB31"/>
    <mergeCell ref="AC31:AD31"/>
    <mergeCell ref="AE31:AF31"/>
    <mergeCell ref="R30:S30"/>
    <mergeCell ref="T30:U30"/>
    <mergeCell ref="V30:W30"/>
    <mergeCell ref="AA30:AB30"/>
    <mergeCell ref="AC30:AD30"/>
    <mergeCell ref="AE30:AF30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9:S39"/>
    <mergeCell ref="T39:U39"/>
    <mergeCell ref="V39:W39"/>
    <mergeCell ref="AA39:AB39"/>
    <mergeCell ref="AC39:AD39"/>
    <mergeCell ref="AE39:AF39"/>
    <mergeCell ref="R38:S38"/>
    <mergeCell ref="T38:U38"/>
    <mergeCell ref="V38:W38"/>
    <mergeCell ref="AA38:AB38"/>
    <mergeCell ref="AC38:AD38"/>
    <mergeCell ref="AE38:AF38"/>
  </mergeCells>
  <pageMargins left="0.7" right="0.7" top="0.75" bottom="0.75" header="0.3" footer="0.3"/>
  <pageSetup paperSize="9" orientation="portrait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V57"/>
  <sheetViews>
    <sheetView topLeftCell="M4" workbookViewId="0">
      <selection activeCell="M10" sqref="A1:XFD1048576"/>
    </sheetView>
  </sheetViews>
  <sheetFormatPr defaultRowHeight="15" x14ac:dyDescent="0.25"/>
  <cols>
    <col min="23" max="23" width="9.140625" customWidth="1"/>
    <col min="26" max="26" width="9.28515625" bestFit="1" customWidth="1"/>
    <col min="27" max="27" width="9.5703125" bestFit="1" customWidth="1"/>
    <col min="28" max="28" width="9.28515625" bestFit="1" customWidth="1"/>
    <col min="58" max="58" width="12" customWidth="1"/>
    <col min="61" max="61" width="9.5703125" bestFit="1" customWidth="1"/>
  </cols>
  <sheetData>
    <row r="1" spans="1:74" ht="30.75" customHeight="1" x14ac:dyDescent="0.25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1104" t="s">
        <v>7</v>
      </c>
      <c r="O1" s="1105" t="s">
        <v>8</v>
      </c>
      <c r="P1" s="1105"/>
      <c r="Q1" s="1105"/>
      <c r="R1" s="1106" t="s">
        <v>9</v>
      </c>
      <c r="S1" s="1106"/>
      <c r="T1" s="1106"/>
      <c r="U1" s="1106"/>
      <c r="V1" s="1107" t="s">
        <v>10</v>
      </c>
      <c r="W1" s="1107"/>
      <c r="X1" s="1107"/>
      <c r="Y1" s="1107"/>
      <c r="Z1" s="1108" t="s">
        <v>11</v>
      </c>
      <c r="AA1" s="1108"/>
      <c r="AB1" s="1108"/>
      <c r="AC1" s="1117" t="s">
        <v>12</v>
      </c>
      <c r="AD1" s="1117"/>
      <c r="AE1" s="1118" t="s">
        <v>179</v>
      </c>
      <c r="AF1" s="1118"/>
      <c r="AG1" s="1118"/>
      <c r="AH1" s="1118"/>
      <c r="AI1" s="1118"/>
      <c r="AJ1" s="1118"/>
      <c r="AK1" s="1118"/>
      <c r="AL1" s="1118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126" t="s">
        <v>14</v>
      </c>
      <c r="BE1" s="1126"/>
      <c r="BF1" s="1126"/>
      <c r="BG1" s="1126"/>
      <c r="BH1" s="1126"/>
      <c r="BI1" s="1126"/>
      <c r="BJ1" s="1126"/>
      <c r="BK1" s="1126"/>
      <c r="BL1" s="1126"/>
      <c r="BM1" s="1111" t="s">
        <v>15</v>
      </c>
      <c r="BN1" s="1111"/>
      <c r="BO1" s="1119" t="s">
        <v>16</v>
      </c>
      <c r="BP1" s="1119"/>
      <c r="BQ1" s="1111" t="s">
        <v>130</v>
      </c>
      <c r="BR1" s="1111"/>
      <c r="BS1" s="1112" t="s">
        <v>171</v>
      </c>
      <c r="BT1" s="1112"/>
      <c r="BU1" s="1113" t="s">
        <v>209</v>
      </c>
      <c r="BV1" s="1113"/>
    </row>
    <row r="2" spans="1:74" ht="225" x14ac:dyDescent="0.25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1104"/>
      <c r="O2" s="722" t="s">
        <v>17</v>
      </c>
      <c r="P2" s="722" t="s">
        <v>18</v>
      </c>
      <c r="Q2" s="722" t="s">
        <v>19</v>
      </c>
      <c r="R2" s="723" t="s">
        <v>20</v>
      </c>
      <c r="S2" s="723" t="s">
        <v>21</v>
      </c>
      <c r="T2" s="723" t="s">
        <v>22</v>
      </c>
      <c r="U2" s="723" t="s">
        <v>23</v>
      </c>
      <c r="V2" s="724" t="s">
        <v>24</v>
      </c>
      <c r="W2" s="724" t="s">
        <v>25</v>
      </c>
      <c r="X2" s="724" t="s">
        <v>26</v>
      </c>
      <c r="Y2" s="724" t="s">
        <v>27</v>
      </c>
      <c r="Z2" s="725" t="s">
        <v>28</v>
      </c>
      <c r="AA2" s="725" t="s">
        <v>29</v>
      </c>
      <c r="AB2" s="725" t="s">
        <v>30</v>
      </c>
      <c r="AC2" s="726" t="s">
        <v>31</v>
      </c>
      <c r="AD2" s="726" t="s">
        <v>32</v>
      </c>
      <c r="AE2" s="727" t="s">
        <v>180</v>
      </c>
      <c r="AF2" s="727" t="s">
        <v>36</v>
      </c>
      <c r="AG2" s="727" t="s">
        <v>181</v>
      </c>
      <c r="AH2" s="727" t="s">
        <v>36</v>
      </c>
      <c r="AI2" s="727" t="s">
        <v>182</v>
      </c>
      <c r="AJ2" s="728" t="s">
        <v>36</v>
      </c>
      <c r="AK2" s="727" t="s">
        <v>183</v>
      </c>
      <c r="AL2" s="728" t="s">
        <v>36</v>
      </c>
      <c r="AM2" s="716" t="s">
        <v>102</v>
      </c>
      <c r="AN2" s="716" t="s">
        <v>103</v>
      </c>
      <c r="AO2" s="716" t="s">
        <v>104</v>
      </c>
      <c r="AP2" s="716" t="s">
        <v>105</v>
      </c>
      <c r="AQ2" s="716" t="s">
        <v>106</v>
      </c>
      <c r="AR2" s="717" t="s">
        <v>107</v>
      </c>
      <c r="AS2" s="717" t="s">
        <v>108</v>
      </c>
      <c r="AT2" s="717" t="s">
        <v>109</v>
      </c>
      <c r="AU2" s="717" t="s">
        <v>110</v>
      </c>
      <c r="AV2" s="717" t="s">
        <v>111</v>
      </c>
      <c r="AW2" s="717" t="s">
        <v>112</v>
      </c>
      <c r="AX2" s="717" t="s">
        <v>113</v>
      </c>
      <c r="AY2" s="717" t="s">
        <v>114</v>
      </c>
      <c r="AZ2" s="717" t="s">
        <v>115</v>
      </c>
      <c r="BA2" s="729" t="s">
        <v>116</v>
      </c>
      <c r="BB2" s="730" t="s">
        <v>117</v>
      </c>
      <c r="BC2" s="717" t="s">
        <v>118</v>
      </c>
      <c r="BD2" s="731" t="s">
        <v>14</v>
      </c>
      <c r="BE2" s="731" t="s">
        <v>167</v>
      </c>
      <c r="BF2" s="731" t="s">
        <v>39</v>
      </c>
      <c r="BG2" s="731" t="s">
        <v>40</v>
      </c>
      <c r="BH2" s="731" t="s">
        <v>41</v>
      </c>
      <c r="BI2" s="731" t="s">
        <v>184</v>
      </c>
      <c r="BJ2" s="731" t="s">
        <v>43</v>
      </c>
      <c r="BK2" s="731" t="s">
        <v>44</v>
      </c>
      <c r="BL2" s="731" t="s">
        <v>46</v>
      </c>
      <c r="BM2" s="732" t="s">
        <v>47</v>
      </c>
      <c r="BN2" s="732" t="s">
        <v>48</v>
      </c>
      <c r="BO2" s="716" t="s">
        <v>49</v>
      </c>
      <c r="BP2" s="716" t="s">
        <v>50</v>
      </c>
      <c r="BQ2" s="732" t="s">
        <v>131</v>
      </c>
      <c r="BR2" s="732" t="s">
        <v>132</v>
      </c>
      <c r="BS2" s="360" t="s">
        <v>172</v>
      </c>
      <c r="BT2" s="360" t="s">
        <v>173</v>
      </c>
      <c r="BU2" s="733" t="s">
        <v>216</v>
      </c>
      <c r="BV2" s="733" t="s">
        <v>217</v>
      </c>
    </row>
    <row r="3" spans="1:74" ht="90" x14ac:dyDescent="0.25">
      <c r="A3" s="734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735" t="s">
        <v>58</v>
      </c>
      <c r="M3" s="735" t="s">
        <v>188</v>
      </c>
      <c r="N3" s="735" t="s">
        <v>189</v>
      </c>
      <c r="O3" s="735" t="s">
        <v>190</v>
      </c>
      <c r="P3" s="735" t="s">
        <v>190</v>
      </c>
      <c r="Q3" s="735" t="s">
        <v>190</v>
      </c>
      <c r="R3" s="735" t="s">
        <v>190</v>
      </c>
      <c r="S3" s="735" t="s">
        <v>190</v>
      </c>
      <c r="T3" s="735" t="s">
        <v>57</v>
      </c>
      <c r="U3" s="735" t="s">
        <v>57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735" t="s">
        <v>58</v>
      </c>
      <c r="AF3" s="735" t="s">
        <v>57</v>
      </c>
      <c r="AG3" s="735" t="s">
        <v>54</v>
      </c>
      <c r="AH3" s="735" t="s">
        <v>57</v>
      </c>
      <c r="AI3" s="735" t="s">
        <v>54</v>
      </c>
      <c r="AJ3" s="735" t="s">
        <v>57</v>
      </c>
      <c r="AK3" s="735" t="s">
        <v>54</v>
      </c>
      <c r="AL3" s="735" t="s">
        <v>57</v>
      </c>
      <c r="AM3" s="735" t="s">
        <v>62</v>
      </c>
      <c r="AN3" s="735" t="s">
        <v>62</v>
      </c>
      <c r="AO3" s="735" t="s">
        <v>62</v>
      </c>
      <c r="AP3" s="735" t="s">
        <v>54</v>
      </c>
      <c r="AQ3" s="735" t="s">
        <v>57</v>
      </c>
      <c r="AR3" s="735" t="s">
        <v>62</v>
      </c>
      <c r="AS3" s="735" t="s">
        <v>54</v>
      </c>
      <c r="AT3" s="735" t="s">
        <v>119</v>
      </c>
      <c r="AU3" s="735" t="s">
        <v>62</v>
      </c>
      <c r="AV3" s="735" t="s">
        <v>62</v>
      </c>
      <c r="AW3" s="735" t="s">
        <v>120</v>
      </c>
      <c r="AX3" s="735" t="s">
        <v>54</v>
      </c>
      <c r="AY3" s="735" t="s">
        <v>120</v>
      </c>
      <c r="AZ3" s="735" t="s">
        <v>54</v>
      </c>
      <c r="BA3" s="735" t="s">
        <v>120</v>
      </c>
      <c r="BB3" s="735" t="s">
        <v>120</v>
      </c>
      <c r="BC3" s="735" t="s">
        <v>120</v>
      </c>
      <c r="BD3" s="735" t="s">
        <v>54</v>
      </c>
      <c r="BE3" s="736" t="s">
        <v>168</v>
      </c>
      <c r="BF3" s="735" t="s">
        <v>59</v>
      </c>
      <c r="BG3" s="735" t="s">
        <v>60</v>
      </c>
      <c r="BH3" s="735" t="s">
        <v>61</v>
      </c>
      <c r="BI3" s="735"/>
      <c r="BJ3" s="735" t="s">
        <v>57</v>
      </c>
      <c r="BK3" s="735" t="s">
        <v>127</v>
      </c>
      <c r="BL3" s="735" t="s">
        <v>127</v>
      </c>
      <c r="BM3" s="735" t="s">
        <v>120</v>
      </c>
      <c r="BN3" s="735" t="s">
        <v>120</v>
      </c>
      <c r="BO3" s="735" t="s">
        <v>120</v>
      </c>
      <c r="BP3" s="735" t="s">
        <v>120</v>
      </c>
      <c r="BQ3" s="735" t="s">
        <v>54</v>
      </c>
      <c r="BR3" s="735" t="s">
        <v>54</v>
      </c>
      <c r="BS3" s="360" t="s">
        <v>120</v>
      </c>
      <c r="BT3" s="360" t="s">
        <v>174</v>
      </c>
      <c r="BU3" s="733" t="s">
        <v>120</v>
      </c>
      <c r="BV3" s="733" t="s">
        <v>222</v>
      </c>
    </row>
    <row r="4" spans="1:74" ht="31.5" x14ac:dyDescent="0.25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114">
        <v>0</v>
      </c>
      <c r="O4" s="438">
        <f>SUM(R4,V4,Z4,AM4,AR4,AU4)</f>
        <v>9.5011403769841269</v>
      </c>
      <c r="P4" s="438">
        <f>SUM(S4,W4,AA4,AC4,AN4,AV4)</f>
        <v>7.0558228720238079</v>
      </c>
      <c r="Q4" s="438">
        <f>SUM(T4,X4,AB4,AD4,AO4)</f>
        <v>3.537907834821429</v>
      </c>
      <c r="R4" s="453">
        <f>Q17</f>
        <v>4.0004801587301584</v>
      </c>
      <c r="S4" s="453">
        <f>R4/100*70</f>
        <v>2.8003361111111107</v>
      </c>
      <c r="T4" s="453">
        <f>R4/100*30</f>
        <v>1.2001440476190475</v>
      </c>
      <c r="U4" s="453">
        <v>0</v>
      </c>
      <c r="V4" s="454">
        <f>Q18</f>
        <v>3.000360119047619</v>
      </c>
      <c r="W4" s="454">
        <f>V4/100*70</f>
        <v>2.1002520833333334</v>
      </c>
      <c r="X4" s="454">
        <f>V4/100*30</f>
        <v>0.90010803571428577</v>
      </c>
      <c r="Y4" s="454">
        <v>0</v>
      </c>
      <c r="Z4" s="455">
        <f>Q19</f>
        <v>0.5000600198412698</v>
      </c>
      <c r="AA4" s="455">
        <f>Z4/100*70</f>
        <v>0.35004201388888884</v>
      </c>
      <c r="AB4" s="455">
        <f>Z4/100*30</f>
        <v>0.15001800595238093</v>
      </c>
      <c r="AC4" s="456">
        <v>0.2</v>
      </c>
      <c r="AD4" s="456">
        <f>AC4/100*70</f>
        <v>0.14000000000000001</v>
      </c>
      <c r="AE4" s="395">
        <v>0</v>
      </c>
      <c r="AF4" s="395">
        <v>0</v>
      </c>
      <c r="AG4" s="395">
        <v>2</v>
      </c>
      <c r="AH4" s="395">
        <v>6</v>
      </c>
      <c r="AI4" s="395">
        <v>0</v>
      </c>
      <c r="AJ4" s="395">
        <v>0</v>
      </c>
      <c r="AK4" s="395">
        <v>0</v>
      </c>
      <c r="AL4" s="395">
        <v>0</v>
      </c>
      <c r="AM4" s="457">
        <f>Q21</f>
        <v>1.5001800595238095</v>
      </c>
      <c r="AN4" s="457">
        <f>AM4/100*90</f>
        <v>1.3501620535714287</v>
      </c>
      <c r="AO4" s="457">
        <f>AN4/100*85</f>
        <v>1.1476377455357145</v>
      </c>
      <c r="AP4" s="457">
        <v>0</v>
      </c>
      <c r="AQ4" s="457">
        <v>0</v>
      </c>
      <c r="AR4" s="458">
        <f>Q22</f>
        <v>0.20002400793650793</v>
      </c>
      <c r="AS4" s="469">
        <v>4</v>
      </c>
      <c r="AT4" s="459" t="s">
        <v>65</v>
      </c>
      <c r="AU4" s="460">
        <f>Q23</f>
        <v>0.30003601190476192</v>
      </c>
      <c r="AV4" s="458">
        <f>AU4/100*85</f>
        <v>0.2550306101190476</v>
      </c>
      <c r="AW4" s="458" t="s">
        <v>65</v>
      </c>
      <c r="AX4" s="458">
        <v>0</v>
      </c>
      <c r="AY4" s="458" t="s">
        <v>65</v>
      </c>
      <c r="AZ4" s="458">
        <v>0</v>
      </c>
      <c r="BA4" s="458" t="s">
        <v>65</v>
      </c>
      <c r="BB4" s="458" t="s">
        <v>65</v>
      </c>
      <c r="BC4" s="458" t="s">
        <v>65</v>
      </c>
      <c r="BD4" s="461">
        <v>1</v>
      </c>
      <c r="BE4" s="372" t="s">
        <v>170</v>
      </c>
      <c r="BF4" s="461">
        <v>26756.07</v>
      </c>
      <c r="BG4" s="461">
        <v>1.6</v>
      </c>
      <c r="BH4" s="463" t="s">
        <v>72</v>
      </c>
      <c r="BI4" s="463">
        <v>1200</v>
      </c>
      <c r="BJ4" s="461">
        <v>1450</v>
      </c>
      <c r="BK4" s="461">
        <v>0</v>
      </c>
      <c r="BL4" s="461" t="s">
        <v>65</v>
      </c>
      <c r="BM4" s="464" t="s">
        <v>67</v>
      </c>
      <c r="BN4" s="464" t="s">
        <v>67</v>
      </c>
      <c r="BO4" s="465" t="s">
        <v>67</v>
      </c>
      <c r="BP4" s="465" t="s">
        <v>67</v>
      </c>
      <c r="BQ4" s="466">
        <v>0</v>
      </c>
      <c r="BR4" s="466">
        <v>0</v>
      </c>
      <c r="BS4" s="467" t="s">
        <v>67</v>
      </c>
      <c r="BT4" s="467" t="s">
        <v>175</v>
      </c>
      <c r="BU4" s="718" t="s">
        <v>67</v>
      </c>
      <c r="BV4" s="718" t="s">
        <v>223</v>
      </c>
    </row>
    <row r="5" spans="1:74" ht="31.5" x14ac:dyDescent="0.25">
      <c r="A5" s="50">
        <v>50</v>
      </c>
      <c r="B5" s="715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190"/>
      <c r="O5" s="438">
        <f>SUM(R5,V5,Z5,AM5,AR5,AU5)</f>
        <v>9.9381215277777777</v>
      </c>
      <c r="P5" s="438">
        <f>SUM(S5,W5,AA5,AC5,AN5,AV5)</f>
        <v>7.371139270833333</v>
      </c>
      <c r="Q5" s="438">
        <f>SUM(T5,X5,AB5,AD5,AO5)</f>
        <v>3.69418609375</v>
      </c>
      <c r="R5" s="453">
        <f>V17</f>
        <v>4.1844722222222224</v>
      </c>
      <c r="S5" s="453">
        <f>R5/100*70</f>
        <v>2.9291305555555556</v>
      </c>
      <c r="T5" s="453">
        <f>R5/100*30</f>
        <v>1.2553416666666666</v>
      </c>
      <c r="U5" s="345">
        <v>0</v>
      </c>
      <c r="V5" s="454">
        <f>V18</f>
        <v>3.1383541666666668</v>
      </c>
      <c r="W5" s="454">
        <f>V5/100*70</f>
        <v>2.1968479166666666</v>
      </c>
      <c r="X5" s="454">
        <f>V5/100*30</f>
        <v>0.94150624999999999</v>
      </c>
      <c r="Y5" s="346">
        <v>0</v>
      </c>
      <c r="Z5" s="455">
        <f>V19</f>
        <v>0.5230590277777778</v>
      </c>
      <c r="AA5" s="455">
        <f>Z5/100*70</f>
        <v>0.36614131944444445</v>
      </c>
      <c r="AB5" s="455">
        <f>Z5/100*30</f>
        <v>0.15691770833333332</v>
      </c>
      <c r="AC5" s="456">
        <v>0.2</v>
      </c>
      <c r="AD5" s="456">
        <f>AC5/100*70</f>
        <v>0.14000000000000001</v>
      </c>
      <c r="AE5" s="342">
        <v>0</v>
      </c>
      <c r="AF5" s="342">
        <v>0</v>
      </c>
      <c r="AG5" s="342">
        <v>1</v>
      </c>
      <c r="AH5" s="342">
        <v>1.6</v>
      </c>
      <c r="AI5" s="342">
        <v>0</v>
      </c>
      <c r="AJ5" s="342">
        <v>0</v>
      </c>
      <c r="AK5" s="342">
        <v>0</v>
      </c>
      <c r="AL5" s="342">
        <v>0</v>
      </c>
      <c r="AM5" s="457">
        <f>V21</f>
        <v>1.5691770833333334</v>
      </c>
      <c r="AN5" s="457">
        <f>AM5/100*90</f>
        <v>1.4122593750000001</v>
      </c>
      <c r="AO5" s="457">
        <f>AN5/100*85</f>
        <v>1.20042046875</v>
      </c>
      <c r="AP5" s="349">
        <v>0</v>
      </c>
      <c r="AQ5" s="349">
        <v>0</v>
      </c>
      <c r="AR5" s="458">
        <f>V22</f>
        <v>0.20922361111111112</v>
      </c>
      <c r="AS5" s="350">
        <v>1</v>
      </c>
      <c r="AT5" s="459" t="s">
        <v>65</v>
      </c>
      <c r="AU5" s="458">
        <f>V23</f>
        <v>0.3138354166666667</v>
      </c>
      <c r="AV5" s="720">
        <f>AU5/100*85</f>
        <v>0.26676010416666668</v>
      </c>
      <c r="AW5" s="350" t="s">
        <v>65</v>
      </c>
      <c r="AX5" s="350">
        <v>0</v>
      </c>
      <c r="AY5" s="350" t="s">
        <v>65</v>
      </c>
      <c r="AZ5" s="350">
        <v>0</v>
      </c>
      <c r="BA5" s="350" t="s">
        <v>65</v>
      </c>
      <c r="BB5" s="350" t="s">
        <v>65</v>
      </c>
      <c r="BC5" s="350" t="s">
        <v>67</v>
      </c>
      <c r="BD5" s="362">
        <v>1</v>
      </c>
      <c r="BE5" s="372" t="s">
        <v>170</v>
      </c>
      <c r="BF5" s="362">
        <v>15617.8</v>
      </c>
      <c r="BG5" s="368">
        <v>1.6</v>
      </c>
      <c r="BH5" s="362" t="s">
        <v>72</v>
      </c>
      <c r="BI5" s="362">
        <v>750</v>
      </c>
      <c r="BJ5" s="362">
        <v>820</v>
      </c>
      <c r="BK5" s="362">
        <v>0</v>
      </c>
      <c r="BL5" s="362" t="s">
        <v>65</v>
      </c>
      <c r="BM5" s="363" t="s">
        <v>67</v>
      </c>
      <c r="BN5" s="363" t="s">
        <v>67</v>
      </c>
      <c r="BO5" s="364" t="s">
        <v>65</v>
      </c>
      <c r="BP5" s="364" t="s">
        <v>65</v>
      </c>
      <c r="BQ5" s="66">
        <v>0</v>
      </c>
      <c r="BR5" s="66">
        <v>0</v>
      </c>
      <c r="BS5" s="467" t="s">
        <v>67</v>
      </c>
      <c r="BT5" s="467" t="s">
        <v>197</v>
      </c>
      <c r="BU5" s="718" t="s">
        <v>67</v>
      </c>
      <c r="BV5" s="718" t="s">
        <v>224</v>
      </c>
    </row>
    <row r="6" spans="1:74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992"/>
      <c r="O6" s="737"/>
      <c r="P6" s="673"/>
      <c r="Q6" s="673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738"/>
      <c r="BU6" s="739"/>
      <c r="BV6" s="739"/>
    </row>
    <row r="7" spans="1:74" ht="31.5" x14ac:dyDescent="0.25">
      <c r="A7" s="50">
        <v>60</v>
      </c>
      <c r="B7" s="715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114">
        <v>0</v>
      </c>
      <c r="O7" s="394">
        <f>SUM(R7,V7,Z7,AM7,AR7,AU7)</f>
        <v>285.03421130952387</v>
      </c>
      <c r="P7" s="394">
        <f>SUM(S7,W7,AA7,AC7,AN7,AV7)</f>
        <v>211.67468616071426</v>
      </c>
      <c r="Q7" s="394">
        <f>SUM(T7,X7,AB7,AD7,AO7)</f>
        <v>106.13723504464286</v>
      </c>
      <c r="R7" s="527">
        <f>R4*30</f>
        <v>120.01440476190476</v>
      </c>
      <c r="S7" s="527">
        <f t="shared" ref="S7:AB8" si="0">S4*30</f>
        <v>84.010083333333327</v>
      </c>
      <c r="T7" s="527">
        <f t="shared" si="0"/>
        <v>36.004321428571423</v>
      </c>
      <c r="U7" s="527">
        <f t="shared" si="0"/>
        <v>0</v>
      </c>
      <c r="V7" s="527">
        <f t="shared" si="0"/>
        <v>90.010803571428568</v>
      </c>
      <c r="W7" s="527">
        <f t="shared" si="0"/>
        <v>63.007562499999999</v>
      </c>
      <c r="X7" s="527">
        <f t="shared" si="0"/>
        <v>27.003241071428572</v>
      </c>
      <c r="Y7" s="527">
        <f t="shared" si="0"/>
        <v>0</v>
      </c>
      <c r="Z7" s="527">
        <f t="shared" si="0"/>
        <v>15.001800595238095</v>
      </c>
      <c r="AA7" s="527">
        <f t="shared" si="0"/>
        <v>10.501260416666666</v>
      </c>
      <c r="AB7" s="527">
        <f t="shared" si="0"/>
        <v>4.5005401785714279</v>
      </c>
      <c r="AC7" s="681">
        <f>AC4*30</f>
        <v>6</v>
      </c>
      <c r="AD7" s="681">
        <f>AD4*30</f>
        <v>4.2</v>
      </c>
      <c r="AE7" s="395">
        <v>0</v>
      </c>
      <c r="AF7" s="395">
        <v>0</v>
      </c>
      <c r="AG7" s="395">
        <v>2</v>
      </c>
      <c r="AH7" s="395">
        <v>6</v>
      </c>
      <c r="AI7" s="395">
        <v>0</v>
      </c>
      <c r="AJ7" s="395">
        <v>0</v>
      </c>
      <c r="AK7" s="395">
        <v>0</v>
      </c>
      <c r="AL7" s="395">
        <v>0</v>
      </c>
      <c r="AM7" s="682">
        <f>AM4*30</f>
        <v>45.005401785714284</v>
      </c>
      <c r="AN7" s="682">
        <f t="shared" ref="AN7:AV8" si="1">AN4*30</f>
        <v>40.504861607142864</v>
      </c>
      <c r="AO7" s="682">
        <f t="shared" si="1"/>
        <v>34.429132366071435</v>
      </c>
      <c r="AP7" s="682">
        <f t="shared" si="1"/>
        <v>0</v>
      </c>
      <c r="AQ7" s="682">
        <f t="shared" si="1"/>
        <v>0</v>
      </c>
      <c r="AR7" s="682">
        <f t="shared" si="1"/>
        <v>6.000720238095238</v>
      </c>
      <c r="AS7" s="682">
        <f t="shared" si="1"/>
        <v>120</v>
      </c>
      <c r="AT7" s="682" t="e">
        <f t="shared" si="1"/>
        <v>#VALUE!</v>
      </c>
      <c r="AU7" s="682">
        <f t="shared" si="1"/>
        <v>9.0010803571428575</v>
      </c>
      <c r="AV7" s="682">
        <f t="shared" si="1"/>
        <v>7.6509183035714283</v>
      </c>
      <c r="AW7" s="342" t="s">
        <v>65</v>
      </c>
      <c r="AX7" s="342">
        <v>0</v>
      </c>
      <c r="AY7" s="342" t="s">
        <v>65</v>
      </c>
      <c r="AZ7" s="342">
        <v>0</v>
      </c>
      <c r="BA7" s="342" t="s">
        <v>65</v>
      </c>
      <c r="BB7" s="342" t="s">
        <v>65</v>
      </c>
      <c r="BC7" s="342" t="s">
        <v>65</v>
      </c>
      <c r="BD7" s="514">
        <v>1</v>
      </c>
      <c r="BE7" s="515" t="s">
        <v>170</v>
      </c>
      <c r="BF7" s="514">
        <v>1350</v>
      </c>
      <c r="BG7" s="514">
        <v>1.5</v>
      </c>
      <c r="BH7" s="516" t="s">
        <v>66</v>
      </c>
      <c r="BI7" s="721">
        <f>BI4</f>
        <v>1200</v>
      </c>
      <c r="BJ7" s="514">
        <v>1260</v>
      </c>
      <c r="BK7" s="514">
        <v>0</v>
      </c>
      <c r="BL7" s="514" t="s">
        <v>65</v>
      </c>
      <c r="BM7" s="514" t="s">
        <v>67</v>
      </c>
      <c r="BN7" s="514" t="s">
        <v>67</v>
      </c>
      <c r="BO7" s="514" t="s">
        <v>67</v>
      </c>
      <c r="BP7" s="514" t="s">
        <v>67</v>
      </c>
      <c r="BQ7" s="513">
        <v>0</v>
      </c>
      <c r="BR7" s="513">
        <v>0</v>
      </c>
      <c r="BS7" s="517" t="s">
        <v>67</v>
      </c>
      <c r="BT7" s="517" t="s">
        <v>175</v>
      </c>
      <c r="BU7" s="718" t="s">
        <v>67</v>
      </c>
      <c r="BV7" s="718" t="s">
        <v>223</v>
      </c>
    </row>
    <row r="8" spans="1:74" ht="31.5" x14ac:dyDescent="0.25">
      <c r="A8" s="50">
        <v>50</v>
      </c>
      <c r="B8" s="715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53">
        <v>0</v>
      </c>
      <c r="O8" s="394">
        <f>SUM(R8,V8,Z8,AM8,AR8,AU8)</f>
        <v>298.14364583333332</v>
      </c>
      <c r="P8" s="394">
        <f>SUM(S8,W8,AA8,AC8,AN8,AV8)</f>
        <v>221.13417812500001</v>
      </c>
      <c r="Q8" s="394">
        <f>SUM(T8,X8,AB8,AD8,AO8)</f>
        <v>110.82558281250002</v>
      </c>
      <c r="R8" s="527">
        <f>R5*30</f>
        <v>125.53416666666666</v>
      </c>
      <c r="S8" s="527">
        <f t="shared" si="0"/>
        <v>87.873916666666673</v>
      </c>
      <c r="T8" s="527">
        <f t="shared" si="0"/>
        <v>37.660249999999998</v>
      </c>
      <c r="U8" s="527">
        <f t="shared" si="0"/>
        <v>0</v>
      </c>
      <c r="V8" s="527">
        <f t="shared" si="0"/>
        <v>94.150625000000005</v>
      </c>
      <c r="W8" s="527">
        <f t="shared" si="0"/>
        <v>65.905437499999991</v>
      </c>
      <c r="X8" s="527">
        <f t="shared" si="0"/>
        <v>28.2451875</v>
      </c>
      <c r="Y8" s="527">
        <f t="shared" si="0"/>
        <v>0</v>
      </c>
      <c r="Z8" s="527">
        <f t="shared" si="0"/>
        <v>15.691770833333333</v>
      </c>
      <c r="AA8" s="527">
        <f t="shared" si="0"/>
        <v>10.984239583333334</v>
      </c>
      <c r="AB8" s="527">
        <f t="shared" si="0"/>
        <v>4.7075312499999997</v>
      </c>
      <c r="AC8" s="681">
        <f>AC5*30</f>
        <v>6</v>
      </c>
      <c r="AD8" s="681">
        <f>AD5*30</f>
        <v>4.2</v>
      </c>
      <c r="AE8" s="395">
        <v>0</v>
      </c>
      <c r="AF8" s="395">
        <v>0</v>
      </c>
      <c r="AG8" s="395">
        <v>2</v>
      </c>
      <c r="AH8" s="395">
        <v>6</v>
      </c>
      <c r="AI8" s="395">
        <v>0</v>
      </c>
      <c r="AJ8" s="395">
        <v>0</v>
      </c>
      <c r="AK8" s="395">
        <v>0</v>
      </c>
      <c r="AL8" s="395">
        <v>0</v>
      </c>
      <c r="AM8" s="682">
        <f>AM5*30</f>
        <v>47.075312500000003</v>
      </c>
      <c r="AN8" s="682">
        <f t="shared" si="1"/>
        <v>42.36778125</v>
      </c>
      <c r="AO8" s="682">
        <f t="shared" si="1"/>
        <v>36.012614062499999</v>
      </c>
      <c r="AP8" s="682">
        <f t="shared" si="1"/>
        <v>0</v>
      </c>
      <c r="AQ8" s="682">
        <f t="shared" si="1"/>
        <v>0</v>
      </c>
      <c r="AR8" s="682">
        <f t="shared" si="1"/>
        <v>6.2767083333333336</v>
      </c>
      <c r="AS8" s="682">
        <f t="shared" si="1"/>
        <v>30</v>
      </c>
      <c r="AT8" s="682" t="e">
        <f t="shared" si="1"/>
        <v>#VALUE!</v>
      </c>
      <c r="AU8" s="682">
        <f t="shared" si="1"/>
        <v>9.4150625000000012</v>
      </c>
      <c r="AV8" s="682">
        <f t="shared" si="1"/>
        <v>8.0028031249999998</v>
      </c>
      <c r="AW8" s="342" t="s">
        <v>65</v>
      </c>
      <c r="AX8" s="342">
        <v>0</v>
      </c>
      <c r="AY8" s="342" t="s">
        <v>65</v>
      </c>
      <c r="AZ8" s="342">
        <v>0</v>
      </c>
      <c r="BA8" s="342" t="s">
        <v>65</v>
      </c>
      <c r="BB8" s="342" t="s">
        <v>65</v>
      </c>
      <c r="BC8" s="342" t="s">
        <v>67</v>
      </c>
      <c r="BD8" s="514">
        <v>1</v>
      </c>
      <c r="BE8" s="515" t="s">
        <v>170</v>
      </c>
      <c r="BF8" s="514">
        <v>15617.8</v>
      </c>
      <c r="BG8" s="514">
        <v>1.6</v>
      </c>
      <c r="BH8" s="514" t="s">
        <v>72</v>
      </c>
      <c r="BI8" s="514">
        <f>BI5</f>
        <v>750</v>
      </c>
      <c r="BJ8" s="514">
        <v>800</v>
      </c>
      <c r="BK8" s="514">
        <v>0</v>
      </c>
      <c r="BL8" s="514" t="s">
        <v>65</v>
      </c>
      <c r="BM8" s="514" t="s">
        <v>67</v>
      </c>
      <c r="BN8" s="514" t="s">
        <v>67</v>
      </c>
      <c r="BO8" s="514" t="s">
        <v>65</v>
      </c>
      <c r="BP8" s="514" t="s">
        <v>65</v>
      </c>
      <c r="BQ8" s="513">
        <v>0</v>
      </c>
      <c r="BR8" s="513">
        <v>0</v>
      </c>
      <c r="BS8" s="517" t="s">
        <v>67</v>
      </c>
      <c r="BT8" s="517" t="s">
        <v>198</v>
      </c>
      <c r="BU8" s="718" t="s">
        <v>67</v>
      </c>
      <c r="BV8" s="718" t="s">
        <v>224</v>
      </c>
    </row>
    <row r="9" spans="1:74" x14ac:dyDescent="0.25">
      <c r="P9" s="393">
        <f>P7+P8</f>
        <v>432.80886428571426</v>
      </c>
      <c r="Q9" s="393">
        <f>Q7+Q8</f>
        <v>216.96281785714288</v>
      </c>
    </row>
    <row r="10" spans="1:74" x14ac:dyDescent="0.25">
      <c r="M10" s="1059">
        <v>45352</v>
      </c>
    </row>
    <row r="12" spans="1:74" x14ac:dyDescent="0.25">
      <c r="O12" s="1121" t="s">
        <v>226</v>
      </c>
      <c r="P12" s="1121"/>
      <c r="Q12" s="1121"/>
      <c r="R12" s="1121"/>
      <c r="T12" s="1121" t="s">
        <v>226</v>
      </c>
      <c r="U12" s="1121"/>
      <c r="V12" s="1121"/>
      <c r="W12" s="1121"/>
    </row>
    <row r="13" spans="1:74" x14ac:dyDescent="0.25">
      <c r="O13" s="1122" t="s">
        <v>196</v>
      </c>
      <c r="P13" s="1123"/>
      <c r="Q13" s="1123"/>
      <c r="R13" s="1124"/>
      <c r="T13" s="1122" t="s">
        <v>121</v>
      </c>
      <c r="U13" s="1123"/>
      <c r="V13" s="1123"/>
      <c r="W13" s="1124"/>
      <c r="Y13" s="1125" t="s">
        <v>136</v>
      </c>
      <c r="Z13" s="1125"/>
      <c r="AB13" s="1125" t="s">
        <v>137</v>
      </c>
      <c r="AC13" s="1125"/>
    </row>
    <row r="14" spans="1:74" x14ac:dyDescent="0.25">
      <c r="O14" s="1127" t="s">
        <v>192</v>
      </c>
      <c r="P14" s="1128"/>
      <c r="Q14" s="711">
        <v>31179</v>
      </c>
      <c r="R14" s="711"/>
      <c r="T14" s="1127" t="s">
        <v>192</v>
      </c>
      <c r="U14" s="1128"/>
      <c r="V14" s="711">
        <v>32613</v>
      </c>
      <c r="W14" s="711"/>
      <c r="Y14" s="1419" t="s">
        <v>199</v>
      </c>
      <c r="Z14" s="1419"/>
      <c r="AB14" s="1419" t="s">
        <v>199</v>
      </c>
      <c r="AC14" s="1419"/>
    </row>
    <row r="15" spans="1:74" x14ac:dyDescent="0.25">
      <c r="O15" s="1127" t="s">
        <v>193</v>
      </c>
      <c r="P15" s="1128"/>
      <c r="Q15" s="711">
        <v>291</v>
      </c>
      <c r="R15" s="711" t="s">
        <v>227</v>
      </c>
      <c r="T15" s="1127" t="s">
        <v>193</v>
      </c>
      <c r="U15" s="1128"/>
      <c r="V15" s="711">
        <v>291</v>
      </c>
      <c r="W15" s="711" t="s">
        <v>194</v>
      </c>
      <c r="Y15" s="1129">
        <f>108*Q14/1000000</f>
        <v>3.3673320000000002</v>
      </c>
      <c r="Z15" s="1130"/>
      <c r="AB15" s="1136">
        <f>108*V14/1000000</f>
        <v>3.5222039999999999</v>
      </c>
      <c r="AC15" s="1136"/>
    </row>
    <row r="16" spans="1:74" x14ac:dyDescent="0.25">
      <c r="O16" s="1127" t="s">
        <v>195</v>
      </c>
      <c r="P16" s="1128"/>
      <c r="Q16" s="596">
        <f>Q14*Q15/907200</f>
        <v>10.001200396825396</v>
      </c>
      <c r="R16" s="711"/>
      <c r="T16" s="1127" t="s">
        <v>195</v>
      </c>
      <c r="U16" s="1128"/>
      <c r="V16" s="596">
        <f>V14*V15/907200</f>
        <v>10.461180555555556</v>
      </c>
      <c r="W16" s="711"/>
      <c r="Y16" s="1129">
        <f>Y15*31</f>
        <v>104.387292</v>
      </c>
      <c r="Z16" s="1130"/>
      <c r="AB16" s="1131">
        <f>AB15*31</f>
        <v>109.18832399999999</v>
      </c>
      <c r="AC16" s="1131"/>
    </row>
    <row r="17" spans="15:30" x14ac:dyDescent="0.25">
      <c r="O17" s="1132" t="s">
        <v>9</v>
      </c>
      <c r="P17" s="1133"/>
      <c r="Q17" s="592">
        <f>Q16/100*40</f>
        <v>4.0004801587301584</v>
      </c>
      <c r="R17" s="711">
        <v>40</v>
      </c>
      <c r="T17" s="1132" t="s">
        <v>9</v>
      </c>
      <c r="U17" s="1133"/>
      <c r="V17" s="592">
        <f>V16/100*40</f>
        <v>4.1844722222222224</v>
      </c>
      <c r="W17" s="714">
        <v>40</v>
      </c>
      <c r="Y17" s="1134"/>
      <c r="Z17" s="1135"/>
      <c r="AB17" s="1131"/>
      <c r="AC17" s="1131"/>
    </row>
    <row r="18" spans="15:30" ht="15" customHeight="1" x14ac:dyDescent="0.25">
      <c r="O18" s="1132" t="s">
        <v>10</v>
      </c>
      <c r="P18" s="1133"/>
      <c r="Q18" s="592">
        <f>Q16/100*30</f>
        <v>3.000360119047619</v>
      </c>
      <c r="R18" s="711">
        <v>30</v>
      </c>
      <c r="T18" s="1132" t="s">
        <v>10</v>
      </c>
      <c r="U18" s="1133"/>
      <c r="V18" s="592">
        <f>V16/100*30</f>
        <v>3.1383541666666668</v>
      </c>
      <c r="W18" s="714">
        <v>30</v>
      </c>
      <c r="Y18" s="1420" t="s">
        <v>225</v>
      </c>
      <c r="Z18" s="1420"/>
      <c r="AB18" s="1420" t="s">
        <v>225</v>
      </c>
      <c r="AC18" s="1420"/>
    </row>
    <row r="19" spans="15:30" x14ac:dyDescent="0.25">
      <c r="O19" s="1132" t="s">
        <v>11</v>
      </c>
      <c r="P19" s="1133"/>
      <c r="Q19" s="592">
        <f>Q16/100*5</f>
        <v>0.5000600198412698</v>
      </c>
      <c r="R19" s="711">
        <v>5</v>
      </c>
      <c r="T19" s="1132" t="s">
        <v>11</v>
      </c>
      <c r="U19" s="1133"/>
      <c r="V19" s="592">
        <f>V16/100*5</f>
        <v>0.5230590277777778</v>
      </c>
      <c r="W19" s="714">
        <v>5</v>
      </c>
      <c r="Y19" s="1129">
        <f>120*Q14/250</f>
        <v>14965.92</v>
      </c>
      <c r="Z19" s="1130"/>
      <c r="AB19" s="1131">
        <f>120*V14/250</f>
        <v>15654.24</v>
      </c>
      <c r="AC19" s="1131"/>
    </row>
    <row r="20" spans="15:30" x14ac:dyDescent="0.25">
      <c r="O20" s="1132" t="s">
        <v>12</v>
      </c>
      <c r="P20" s="1133"/>
      <c r="Q20" s="592">
        <f>Q16/100*5</f>
        <v>0.5000600198412698</v>
      </c>
      <c r="R20" s="711">
        <v>5</v>
      </c>
      <c r="T20" s="1132" t="s">
        <v>12</v>
      </c>
      <c r="U20" s="1133"/>
      <c r="V20" s="592">
        <f>V16/100*5</f>
        <v>0.5230590277777778</v>
      </c>
      <c r="W20" s="714">
        <v>5</v>
      </c>
      <c r="Y20" s="1129">
        <f>Y19/1000</f>
        <v>14.965920000000001</v>
      </c>
      <c r="Z20" s="1130"/>
      <c r="AB20" s="1136">
        <f>AB19/1000</f>
        <v>15.65424</v>
      </c>
      <c r="AC20" s="1136"/>
    </row>
    <row r="21" spans="15:30" x14ac:dyDescent="0.25">
      <c r="O21" s="1132" t="s">
        <v>99</v>
      </c>
      <c r="P21" s="1133"/>
      <c r="Q21" s="592">
        <f>Q16/100*15</f>
        <v>1.5001800595238095</v>
      </c>
      <c r="R21" s="711">
        <v>15</v>
      </c>
      <c r="T21" s="1132" t="s">
        <v>99</v>
      </c>
      <c r="U21" s="1133"/>
      <c r="V21" s="592">
        <f>V16/100*15</f>
        <v>1.5691770833333334</v>
      </c>
      <c r="W21" s="714">
        <v>15</v>
      </c>
      <c r="Y21" s="1129">
        <f>Y20*31</f>
        <v>463.94352000000003</v>
      </c>
      <c r="Z21" s="1130"/>
      <c r="AB21" s="1131">
        <f>AB20*31</f>
        <v>485.28143999999998</v>
      </c>
      <c r="AC21" s="1131"/>
    </row>
    <row r="22" spans="15:30" x14ac:dyDescent="0.25">
      <c r="O22" s="1132" t="s">
        <v>100</v>
      </c>
      <c r="P22" s="1133"/>
      <c r="Q22" s="592">
        <f>Q16/100*2</f>
        <v>0.20002400793650793</v>
      </c>
      <c r="R22" s="711">
        <v>2</v>
      </c>
      <c r="T22" s="1132" t="s">
        <v>100</v>
      </c>
      <c r="U22" s="1133"/>
      <c r="V22" s="592">
        <f>V16/100*2</f>
        <v>0.20922361111111112</v>
      </c>
      <c r="W22" s="714">
        <v>2</v>
      </c>
      <c r="Y22" s="1129">
        <f>Y21/100*3</f>
        <v>13.9183056</v>
      </c>
      <c r="Z22" s="1130"/>
      <c r="AB22" s="1131"/>
      <c r="AC22" s="1131"/>
    </row>
    <row r="23" spans="15:30" x14ac:dyDescent="0.25">
      <c r="O23" s="1132" t="s">
        <v>101</v>
      </c>
      <c r="P23" s="1133"/>
      <c r="Q23" s="592">
        <f>Q16/100*3</f>
        <v>0.30003601190476192</v>
      </c>
      <c r="R23" s="711">
        <v>3</v>
      </c>
      <c r="T23" s="1132" t="s">
        <v>101</v>
      </c>
      <c r="U23" s="1133"/>
      <c r="V23" s="592">
        <f>V16/100*3</f>
        <v>0.3138354166666667</v>
      </c>
      <c r="W23" s="714">
        <v>3</v>
      </c>
    </row>
    <row r="24" spans="15:30" x14ac:dyDescent="0.25">
      <c r="O24" s="1140" t="s">
        <v>89</v>
      </c>
      <c r="P24" s="1141"/>
      <c r="Q24" s="596">
        <f>SUM(Q17:Q23)</f>
        <v>10.001200396825396</v>
      </c>
      <c r="R24" s="711">
        <f>SUM(R17:R23)</f>
        <v>100</v>
      </c>
      <c r="T24" s="1140" t="s">
        <v>89</v>
      </c>
      <c r="U24" s="1141"/>
      <c r="V24" s="596">
        <f>SUM(V17:V23)</f>
        <v>10.461180555555556</v>
      </c>
      <c r="W24" s="711">
        <f>SUM(W17:W23)</f>
        <v>100</v>
      </c>
    </row>
    <row r="25" spans="15:30" x14ac:dyDescent="0.25">
      <c r="Q25" s="1142"/>
      <c r="R25" s="1142"/>
    </row>
    <row r="26" spans="15:30" x14ac:dyDescent="0.25">
      <c r="Q26" s="1143"/>
      <c r="R26" s="1143"/>
    </row>
    <row r="27" spans="15:30" x14ac:dyDescent="0.25">
      <c r="P27" s="1121" t="s">
        <v>205</v>
      </c>
      <c r="Q27" s="1121"/>
      <c r="R27" s="1121"/>
      <c r="S27" s="1121"/>
      <c r="T27" s="1121"/>
      <c r="U27" s="1121"/>
      <c r="Y27" s="1121" t="s">
        <v>205</v>
      </c>
      <c r="Z27" s="1121"/>
      <c r="AA27" s="1121"/>
      <c r="AB27" s="1121"/>
    </row>
    <row r="28" spans="15:30" x14ac:dyDescent="0.25">
      <c r="P28" s="1149" t="s">
        <v>136</v>
      </c>
      <c r="Q28" s="1149"/>
      <c r="R28" s="1149"/>
      <c r="S28" s="1149"/>
      <c r="T28" s="1149"/>
      <c r="U28" s="1149"/>
      <c r="Y28" s="1149" t="s">
        <v>137</v>
      </c>
      <c r="Z28" s="1149"/>
      <c r="AA28" s="1149"/>
      <c r="AB28" s="1149"/>
    </row>
    <row r="29" spans="15:30" x14ac:dyDescent="0.25">
      <c r="P29" s="1146" t="s">
        <v>203</v>
      </c>
      <c r="Q29" s="1146"/>
      <c r="R29" s="1146" t="s">
        <v>205</v>
      </c>
      <c r="S29" s="1146"/>
      <c r="T29" s="1146" t="s">
        <v>206</v>
      </c>
      <c r="U29" s="1146"/>
      <c r="Y29" s="1146" t="s">
        <v>203</v>
      </c>
      <c r="Z29" s="1146"/>
      <c r="AA29" s="1146" t="s">
        <v>205</v>
      </c>
      <c r="AB29" s="1146"/>
      <c r="AC29" s="1146" t="s">
        <v>206</v>
      </c>
      <c r="AD29" s="1146"/>
    </row>
    <row r="30" spans="15:30" x14ac:dyDescent="0.25">
      <c r="P30" s="1147" t="s">
        <v>86</v>
      </c>
      <c r="Q30" s="1147"/>
      <c r="R30" s="1148">
        <f>S7</f>
        <v>84.010083333333327</v>
      </c>
      <c r="S30" s="1148"/>
      <c r="T30" s="1148">
        <f>T7</f>
        <v>36.004321428571423</v>
      </c>
      <c r="U30" s="1148"/>
      <c r="V30" s="393"/>
      <c r="Y30" s="1147" t="s">
        <v>86</v>
      </c>
      <c r="Z30" s="1147"/>
      <c r="AA30" s="1148">
        <f>S8</f>
        <v>87.873916666666673</v>
      </c>
      <c r="AB30" s="1148"/>
      <c r="AC30" s="1148">
        <f>T8</f>
        <v>37.660249999999998</v>
      </c>
      <c r="AD30" s="1148"/>
    </row>
    <row r="31" spans="15:30" x14ac:dyDescent="0.25">
      <c r="P31" s="1147" t="s">
        <v>87</v>
      </c>
      <c r="Q31" s="1147"/>
      <c r="R31" s="1148">
        <f>W7</f>
        <v>63.007562499999999</v>
      </c>
      <c r="S31" s="1148"/>
      <c r="T31" s="1148">
        <f>X7</f>
        <v>27.003241071428572</v>
      </c>
      <c r="U31" s="1148"/>
      <c r="V31" s="393"/>
      <c r="Y31" s="1147" t="s">
        <v>87</v>
      </c>
      <c r="Z31" s="1147"/>
      <c r="AA31" s="1148">
        <f>W8</f>
        <v>65.905437499999991</v>
      </c>
      <c r="AB31" s="1148"/>
      <c r="AC31" s="1148">
        <f>X8</f>
        <v>28.2451875</v>
      </c>
      <c r="AD31" s="1148"/>
    </row>
    <row r="32" spans="15:30" ht="28.5" customHeight="1" x14ac:dyDescent="0.25">
      <c r="P32" s="1150" t="s">
        <v>201</v>
      </c>
      <c r="Q32" s="1150"/>
      <c r="R32" s="1151">
        <v>8</v>
      </c>
      <c r="S32" s="1152"/>
      <c r="T32" s="1152">
        <v>5</v>
      </c>
      <c r="U32" s="1152"/>
      <c r="Y32" s="1150" t="s">
        <v>201</v>
      </c>
      <c r="Z32" s="1150"/>
      <c r="AA32" s="1152">
        <v>7</v>
      </c>
      <c r="AB32" s="1152"/>
      <c r="AC32" s="1152">
        <v>5</v>
      </c>
      <c r="AD32" s="1152"/>
    </row>
    <row r="33" spans="16:30" x14ac:dyDescent="0.25">
      <c r="P33" s="1147" t="s">
        <v>202</v>
      </c>
      <c r="Q33" s="1147"/>
      <c r="R33" s="1151">
        <v>4</v>
      </c>
      <c r="S33" s="1152"/>
      <c r="T33" s="1152">
        <v>0</v>
      </c>
      <c r="U33" s="1152"/>
      <c r="Y33" s="1147" t="s">
        <v>202</v>
      </c>
      <c r="Z33" s="1147"/>
      <c r="AA33" s="1152">
        <v>3</v>
      </c>
      <c r="AB33" s="1152"/>
      <c r="AC33" s="1152">
        <v>0</v>
      </c>
      <c r="AD33" s="1152"/>
    </row>
    <row r="34" spans="16:30" x14ac:dyDescent="0.25">
      <c r="P34" s="1147" t="s">
        <v>90</v>
      </c>
      <c r="Q34" s="1147"/>
      <c r="R34" s="1421">
        <f>R35-R32-R33</f>
        <v>52.657040327380955</v>
      </c>
      <c r="S34" s="1422"/>
      <c r="T34" s="1421">
        <f>T35-T32-T33</f>
        <v>38.129672544642865</v>
      </c>
      <c r="U34" s="1422"/>
      <c r="Y34" s="1155" t="s">
        <v>90</v>
      </c>
      <c r="Z34" s="1156"/>
      <c r="AA34" s="1153">
        <f>AA35-AA32-AA33</f>
        <v>57.354823958333327</v>
      </c>
      <c r="AB34" s="1157"/>
      <c r="AC34" s="1153">
        <f>AC35-AC33-AC32</f>
        <v>39.920145312499997</v>
      </c>
      <c r="AD34" s="1154"/>
    </row>
    <row r="35" spans="16:30" ht="19.5" customHeight="1" x14ac:dyDescent="0.25">
      <c r="P35" s="1147" t="s">
        <v>90</v>
      </c>
      <c r="Q35" s="1147"/>
      <c r="R35" s="1161">
        <f>SUM(AA7,AC7,AN7,AV7)</f>
        <v>64.657040327380955</v>
      </c>
      <c r="S35" s="1162"/>
      <c r="T35" s="1161">
        <f>SUM(AB7,AD7,AO7)</f>
        <v>43.129672544642865</v>
      </c>
      <c r="U35" s="1162"/>
      <c r="Y35" s="1147" t="s">
        <v>90</v>
      </c>
      <c r="Z35" s="1147"/>
      <c r="AA35" s="1161">
        <f>SUM(AA8,AC8,AN8,AV8)</f>
        <v>67.354823958333327</v>
      </c>
      <c r="AB35" s="1162"/>
      <c r="AC35" s="1161">
        <f>SUM(AB8,AD8,AO8)</f>
        <v>44.920145312499997</v>
      </c>
      <c r="AD35" s="1162"/>
    </row>
    <row r="36" spans="16:30" x14ac:dyDescent="0.25">
      <c r="P36" s="1159"/>
      <c r="Q36" s="1159"/>
      <c r="R36" s="1160">
        <f>SUM(R30:S34)</f>
        <v>211.67468616071426</v>
      </c>
      <c r="S36" s="1160"/>
      <c r="T36" s="1160">
        <f>SUM(T30,T31,T32,T33,T34)</f>
        <v>106.13723504464286</v>
      </c>
      <c r="U36" s="1160"/>
      <c r="V36" s="393"/>
      <c r="Y36" s="1159"/>
      <c r="Z36" s="1159"/>
      <c r="AA36" s="1160">
        <f>SUM(AA30:AB34)</f>
        <v>221.13417812500001</v>
      </c>
      <c r="AB36" s="1160"/>
      <c r="AC36" s="1160">
        <f>SUM(AC30,AC31,AC32,AC33,AC34)</f>
        <v>110.8255828125</v>
      </c>
      <c r="AD36" s="1160"/>
    </row>
    <row r="37" spans="16:30" x14ac:dyDescent="0.25">
      <c r="R37" s="1158"/>
      <c r="S37" s="1158"/>
      <c r="V37" s="393"/>
    </row>
    <row r="38" spans="16:30" x14ac:dyDescent="0.25">
      <c r="V38" s="393"/>
    </row>
    <row r="44" spans="16:30" x14ac:dyDescent="0.25">
      <c r="S44" s="619" t="s">
        <v>90</v>
      </c>
      <c r="T44" s="620">
        <v>0</v>
      </c>
      <c r="U44" s="620">
        <v>49</v>
      </c>
      <c r="V44" s="620">
        <v>6</v>
      </c>
      <c r="W44" s="619">
        <v>720.28599999999994</v>
      </c>
    </row>
    <row r="45" spans="16:30" x14ac:dyDescent="0.25">
      <c r="S45" s="619" t="s">
        <v>86</v>
      </c>
      <c r="T45" s="620">
        <v>0</v>
      </c>
      <c r="U45" s="620">
        <v>133</v>
      </c>
      <c r="V45" s="620">
        <v>93</v>
      </c>
      <c r="W45" s="619">
        <v>2.7</v>
      </c>
    </row>
    <row r="46" spans="16:30" x14ac:dyDescent="0.25">
      <c r="S46" s="619" t="s">
        <v>87</v>
      </c>
      <c r="T46" s="620">
        <v>0</v>
      </c>
      <c r="U46" s="620">
        <v>100</v>
      </c>
      <c r="V46" s="620">
        <v>73</v>
      </c>
      <c r="W46" s="619">
        <v>1.7</v>
      </c>
    </row>
    <row r="47" spans="16:30" x14ac:dyDescent="0.25">
      <c r="S47" s="619" t="s">
        <v>201</v>
      </c>
      <c r="T47" s="620">
        <v>0</v>
      </c>
      <c r="U47" s="620">
        <v>10</v>
      </c>
      <c r="V47" s="620">
        <v>8</v>
      </c>
      <c r="W47" s="619">
        <v>0.08</v>
      </c>
    </row>
    <row r="48" spans="16:30" x14ac:dyDescent="0.25">
      <c r="S48" s="619" t="s">
        <v>202</v>
      </c>
      <c r="T48" s="620">
        <v>0</v>
      </c>
      <c r="U48" s="620">
        <v>8</v>
      </c>
      <c r="V48" s="620">
        <v>0</v>
      </c>
      <c r="W48" s="619">
        <v>0.05</v>
      </c>
    </row>
    <row r="49" spans="21:27" x14ac:dyDescent="0.25">
      <c r="U49">
        <f>SUM(U44:U48)</f>
        <v>300</v>
      </c>
      <c r="V49">
        <f t="shared" ref="V49:W49" si="2">SUM(V44:V48)</f>
        <v>180</v>
      </c>
      <c r="W49">
        <f t="shared" si="2"/>
        <v>724.81600000000003</v>
      </c>
    </row>
    <row r="52" spans="21:27" x14ac:dyDescent="0.25">
      <c r="W52" s="619" t="s">
        <v>90</v>
      </c>
      <c r="X52" s="620">
        <v>0</v>
      </c>
      <c r="Y52" s="620">
        <v>53</v>
      </c>
      <c r="Z52" s="620">
        <v>38</v>
      </c>
      <c r="AA52" s="619">
        <v>1200</v>
      </c>
    </row>
    <row r="53" spans="21:27" x14ac:dyDescent="0.25">
      <c r="W53" s="619" t="s">
        <v>86</v>
      </c>
      <c r="X53" s="620">
        <v>0</v>
      </c>
      <c r="Y53" s="620">
        <v>84</v>
      </c>
      <c r="Z53" s="620">
        <v>36</v>
      </c>
      <c r="AA53" s="619">
        <v>0</v>
      </c>
    </row>
    <row r="54" spans="21:27" x14ac:dyDescent="0.25">
      <c r="W54" s="619" t="s">
        <v>87</v>
      </c>
      <c r="X54" s="620">
        <v>0</v>
      </c>
      <c r="Y54" s="620">
        <v>63</v>
      </c>
      <c r="Z54" s="620">
        <v>27</v>
      </c>
      <c r="AA54" s="619">
        <v>0</v>
      </c>
    </row>
    <row r="55" spans="21:27" x14ac:dyDescent="0.25">
      <c r="W55" s="619" t="s">
        <v>201</v>
      </c>
      <c r="X55" s="620">
        <v>0</v>
      </c>
      <c r="Y55" s="620">
        <v>8</v>
      </c>
      <c r="Z55" s="620">
        <v>5</v>
      </c>
      <c r="AA55" s="619">
        <v>0</v>
      </c>
    </row>
    <row r="56" spans="21:27" x14ac:dyDescent="0.25">
      <c r="W56" s="619" t="s">
        <v>202</v>
      </c>
      <c r="X56" s="620">
        <v>0</v>
      </c>
      <c r="Y56" s="620">
        <v>4</v>
      </c>
      <c r="Z56" s="620">
        <v>0</v>
      </c>
      <c r="AA56" s="619">
        <v>0</v>
      </c>
    </row>
    <row r="57" spans="21:27" x14ac:dyDescent="0.25">
      <c r="Y57">
        <f>SUM(Y52:Y56)</f>
        <v>212</v>
      </c>
      <c r="Z57">
        <f t="shared" ref="Z57:AA57" si="3">SUM(Z52:Z56)</f>
        <v>106</v>
      </c>
      <c r="AA57">
        <f t="shared" si="3"/>
        <v>1200</v>
      </c>
    </row>
  </sheetData>
  <mergeCells count="124">
    <mergeCell ref="Y15:Z15"/>
    <mergeCell ref="Y16:Z16"/>
    <mergeCell ref="Y19:Z19"/>
    <mergeCell ref="Y20:Z20"/>
    <mergeCell ref="Y21:Z21"/>
    <mergeCell ref="Y22:Z22"/>
    <mergeCell ref="Y17:Z17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R37:S37"/>
    <mergeCell ref="P36:Q36"/>
    <mergeCell ref="R36:S36"/>
    <mergeCell ref="T36:U36"/>
    <mergeCell ref="Y36:Z36"/>
    <mergeCell ref="P31:Q31"/>
    <mergeCell ref="R31:S31"/>
    <mergeCell ref="T31:U31"/>
    <mergeCell ref="Y31:Z31"/>
    <mergeCell ref="AA36:AB36"/>
    <mergeCell ref="P33:Q33"/>
    <mergeCell ref="R33:S33"/>
    <mergeCell ref="T33:U33"/>
    <mergeCell ref="Y33:Z33"/>
    <mergeCell ref="AA33:AB33"/>
    <mergeCell ref="P35:Q35"/>
    <mergeCell ref="R35:S35"/>
    <mergeCell ref="T35:U35"/>
    <mergeCell ref="Y35:Z35"/>
    <mergeCell ref="AA35:AB35"/>
    <mergeCell ref="P34:Q34"/>
    <mergeCell ref="R34:S34"/>
    <mergeCell ref="T34:U34"/>
    <mergeCell ref="Y34:Z34"/>
    <mergeCell ref="AA34:AB34"/>
    <mergeCell ref="P29:Q29"/>
    <mergeCell ref="R29:S29"/>
    <mergeCell ref="T29:U29"/>
    <mergeCell ref="Y29:Z29"/>
    <mergeCell ref="AA29:AB29"/>
    <mergeCell ref="P32:Q32"/>
    <mergeCell ref="R32:S32"/>
    <mergeCell ref="T32:U32"/>
    <mergeCell ref="Y32:Z32"/>
    <mergeCell ref="AA32:AB32"/>
    <mergeCell ref="P30:Q30"/>
    <mergeCell ref="R30:S30"/>
    <mergeCell ref="T30:U30"/>
    <mergeCell ref="Y30:Z30"/>
    <mergeCell ref="AA30:AB30"/>
    <mergeCell ref="AA31:AB31"/>
    <mergeCell ref="O22:P22"/>
    <mergeCell ref="T22:U22"/>
    <mergeCell ref="Y28:AB28"/>
    <mergeCell ref="Q25:Q26"/>
    <mergeCell ref="R25:R26"/>
    <mergeCell ref="P27:U27"/>
    <mergeCell ref="Y27:AB27"/>
    <mergeCell ref="O23:P23"/>
    <mergeCell ref="T23:U23"/>
    <mergeCell ref="O24:P24"/>
    <mergeCell ref="T24:U24"/>
    <mergeCell ref="P28:U28"/>
    <mergeCell ref="AB22:AC22"/>
    <mergeCell ref="T17:U17"/>
    <mergeCell ref="O18:P18"/>
    <mergeCell ref="T18:U18"/>
    <mergeCell ref="Y18:Z18"/>
    <mergeCell ref="O19:P19"/>
    <mergeCell ref="T19:U19"/>
    <mergeCell ref="O20:P20"/>
    <mergeCell ref="T20:U20"/>
    <mergeCell ref="O21:P21"/>
    <mergeCell ref="T21:U21"/>
    <mergeCell ref="BQ1:BR1"/>
    <mergeCell ref="BS1:BT1"/>
    <mergeCell ref="BU1:BV1"/>
    <mergeCell ref="AC1:AD1"/>
    <mergeCell ref="AE1:AL1"/>
    <mergeCell ref="AM1:AQ1"/>
    <mergeCell ref="AR1:AT1"/>
    <mergeCell ref="AU1:BC1"/>
    <mergeCell ref="BD1:BL1"/>
    <mergeCell ref="BM1:BN1"/>
    <mergeCell ref="BO1:BP1"/>
    <mergeCell ref="A1:A2"/>
    <mergeCell ref="B1:B3"/>
    <mergeCell ref="C1:E2"/>
    <mergeCell ref="F1:H2"/>
    <mergeCell ref="I1:K2"/>
    <mergeCell ref="M1:M2"/>
    <mergeCell ref="N1:N2"/>
    <mergeCell ref="O1:Q1"/>
    <mergeCell ref="R1:U1"/>
    <mergeCell ref="AC33:AD33"/>
    <mergeCell ref="AC34:AD34"/>
    <mergeCell ref="AC35:AD35"/>
    <mergeCell ref="AC36:AD36"/>
    <mergeCell ref="L1:L2"/>
    <mergeCell ref="AC29:AD29"/>
    <mergeCell ref="AC30:AD30"/>
    <mergeCell ref="AC31:AD31"/>
    <mergeCell ref="AC32:AD32"/>
    <mergeCell ref="V1:Y1"/>
    <mergeCell ref="O12:R12"/>
    <mergeCell ref="T12:W12"/>
    <mergeCell ref="Z1:AB1"/>
    <mergeCell ref="O13:R13"/>
    <mergeCell ref="T13:W13"/>
    <mergeCell ref="Y13:Z13"/>
    <mergeCell ref="O14:P14"/>
    <mergeCell ref="T14:U14"/>
    <mergeCell ref="Y14:Z14"/>
    <mergeCell ref="O15:P15"/>
    <mergeCell ref="T15:U15"/>
    <mergeCell ref="O16:P16"/>
    <mergeCell ref="T16:U16"/>
    <mergeCell ref="O17:P17"/>
  </mergeCells>
  <pageMargins left="0.7" right="0.7" top="0.75" bottom="0.75" header="0.3" footer="0.3"/>
  <pageSetup paperSize="9" orientation="portrait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7"/>
  <sheetViews>
    <sheetView topLeftCell="D4" workbookViewId="0">
      <selection activeCell="I13" sqref="A1:XFD1048576"/>
    </sheetView>
  </sheetViews>
  <sheetFormatPr defaultRowHeight="15" x14ac:dyDescent="0.25"/>
  <cols>
    <col min="23" max="23" width="9.140625" customWidth="1"/>
    <col min="26" max="26" width="9.28515625" bestFit="1" customWidth="1"/>
    <col min="27" max="27" width="9.5703125" bestFit="1" customWidth="1"/>
    <col min="28" max="28" width="9.28515625" bestFit="1" customWidth="1"/>
    <col min="58" max="58" width="12" customWidth="1"/>
    <col min="61" max="61" width="9.5703125" bestFit="1" customWidth="1"/>
  </cols>
  <sheetData>
    <row r="1" spans="1:74" ht="30.75" customHeight="1" x14ac:dyDescent="0.25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1104" t="s">
        <v>7</v>
      </c>
      <c r="O1" s="1105" t="s">
        <v>8</v>
      </c>
      <c r="P1" s="1105"/>
      <c r="Q1" s="1105"/>
      <c r="R1" s="1106" t="s">
        <v>9</v>
      </c>
      <c r="S1" s="1106"/>
      <c r="T1" s="1106"/>
      <c r="U1" s="1106"/>
      <c r="V1" s="1107" t="s">
        <v>10</v>
      </c>
      <c r="W1" s="1107"/>
      <c r="X1" s="1107"/>
      <c r="Y1" s="1107"/>
      <c r="Z1" s="1108" t="s">
        <v>11</v>
      </c>
      <c r="AA1" s="1108"/>
      <c r="AB1" s="1108"/>
      <c r="AC1" s="1117" t="s">
        <v>12</v>
      </c>
      <c r="AD1" s="1117"/>
      <c r="AE1" s="1118" t="s">
        <v>179</v>
      </c>
      <c r="AF1" s="1118"/>
      <c r="AG1" s="1118"/>
      <c r="AH1" s="1118"/>
      <c r="AI1" s="1118"/>
      <c r="AJ1" s="1118"/>
      <c r="AK1" s="1118"/>
      <c r="AL1" s="1118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126" t="s">
        <v>14</v>
      </c>
      <c r="BE1" s="1126"/>
      <c r="BF1" s="1126"/>
      <c r="BG1" s="1126"/>
      <c r="BH1" s="1126"/>
      <c r="BI1" s="1126"/>
      <c r="BJ1" s="1126"/>
      <c r="BK1" s="1126"/>
      <c r="BL1" s="1126"/>
      <c r="BM1" s="1111" t="s">
        <v>15</v>
      </c>
      <c r="BN1" s="1111"/>
      <c r="BO1" s="1119" t="s">
        <v>16</v>
      </c>
      <c r="BP1" s="1119"/>
      <c r="BQ1" s="1111" t="s">
        <v>130</v>
      </c>
      <c r="BR1" s="1111"/>
      <c r="BS1" s="1112" t="s">
        <v>171</v>
      </c>
      <c r="BT1" s="1112"/>
      <c r="BU1" s="1113" t="s">
        <v>209</v>
      </c>
      <c r="BV1" s="1113"/>
    </row>
    <row r="2" spans="1:74" ht="225" x14ac:dyDescent="0.25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1104"/>
      <c r="O2" s="752" t="s">
        <v>17</v>
      </c>
      <c r="P2" s="752" t="s">
        <v>18</v>
      </c>
      <c r="Q2" s="752" t="s">
        <v>19</v>
      </c>
      <c r="R2" s="753" t="s">
        <v>20</v>
      </c>
      <c r="S2" s="753" t="s">
        <v>21</v>
      </c>
      <c r="T2" s="753" t="s">
        <v>22</v>
      </c>
      <c r="U2" s="753" t="s">
        <v>23</v>
      </c>
      <c r="V2" s="754" t="s">
        <v>24</v>
      </c>
      <c r="W2" s="754" t="s">
        <v>25</v>
      </c>
      <c r="X2" s="754" t="s">
        <v>26</v>
      </c>
      <c r="Y2" s="754" t="s">
        <v>27</v>
      </c>
      <c r="Z2" s="755" t="s">
        <v>28</v>
      </c>
      <c r="AA2" s="755" t="s">
        <v>29</v>
      </c>
      <c r="AB2" s="755" t="s">
        <v>30</v>
      </c>
      <c r="AC2" s="751" t="s">
        <v>31</v>
      </c>
      <c r="AD2" s="751" t="s">
        <v>32</v>
      </c>
      <c r="AE2" s="727" t="s">
        <v>180</v>
      </c>
      <c r="AF2" s="727" t="s">
        <v>36</v>
      </c>
      <c r="AG2" s="727" t="s">
        <v>181</v>
      </c>
      <c r="AH2" s="727" t="s">
        <v>36</v>
      </c>
      <c r="AI2" s="727" t="s">
        <v>182</v>
      </c>
      <c r="AJ2" s="728" t="s">
        <v>36</v>
      </c>
      <c r="AK2" s="727" t="s">
        <v>183</v>
      </c>
      <c r="AL2" s="728" t="s">
        <v>36</v>
      </c>
      <c r="AM2" s="742" t="s">
        <v>102</v>
      </c>
      <c r="AN2" s="742" t="s">
        <v>103</v>
      </c>
      <c r="AO2" s="742" t="s">
        <v>104</v>
      </c>
      <c r="AP2" s="742" t="s">
        <v>105</v>
      </c>
      <c r="AQ2" s="742" t="s">
        <v>106</v>
      </c>
      <c r="AR2" s="743" t="s">
        <v>107</v>
      </c>
      <c r="AS2" s="743" t="s">
        <v>108</v>
      </c>
      <c r="AT2" s="743" t="s">
        <v>109</v>
      </c>
      <c r="AU2" s="743" t="s">
        <v>110</v>
      </c>
      <c r="AV2" s="743" t="s">
        <v>111</v>
      </c>
      <c r="AW2" s="743" t="s">
        <v>112</v>
      </c>
      <c r="AX2" s="743" t="s">
        <v>113</v>
      </c>
      <c r="AY2" s="743" t="s">
        <v>114</v>
      </c>
      <c r="AZ2" s="743" t="s">
        <v>115</v>
      </c>
      <c r="BA2" s="729" t="s">
        <v>116</v>
      </c>
      <c r="BB2" s="730" t="s">
        <v>117</v>
      </c>
      <c r="BC2" s="743" t="s">
        <v>118</v>
      </c>
      <c r="BD2" s="747" t="s">
        <v>14</v>
      </c>
      <c r="BE2" s="747" t="s">
        <v>167</v>
      </c>
      <c r="BF2" s="747" t="s">
        <v>39</v>
      </c>
      <c r="BG2" s="747" t="s">
        <v>40</v>
      </c>
      <c r="BH2" s="747" t="s">
        <v>41</v>
      </c>
      <c r="BI2" s="747" t="s">
        <v>184</v>
      </c>
      <c r="BJ2" s="747" t="s">
        <v>43</v>
      </c>
      <c r="BK2" s="747" t="s">
        <v>44</v>
      </c>
      <c r="BL2" s="747" t="s">
        <v>46</v>
      </c>
      <c r="BM2" s="748" t="s">
        <v>47</v>
      </c>
      <c r="BN2" s="748" t="s">
        <v>48</v>
      </c>
      <c r="BO2" s="742" t="s">
        <v>49</v>
      </c>
      <c r="BP2" s="742" t="s">
        <v>50</v>
      </c>
      <c r="BQ2" s="748" t="s">
        <v>131</v>
      </c>
      <c r="BR2" s="748" t="s">
        <v>132</v>
      </c>
      <c r="BS2" s="749" t="s">
        <v>172</v>
      </c>
      <c r="BT2" s="749" t="s">
        <v>173</v>
      </c>
      <c r="BU2" s="750" t="s">
        <v>216</v>
      </c>
      <c r="BV2" s="750" t="s">
        <v>217</v>
      </c>
    </row>
    <row r="3" spans="1:74" ht="90" x14ac:dyDescent="0.25">
      <c r="A3" s="756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735" t="s">
        <v>58</v>
      </c>
      <c r="M3" s="735" t="s">
        <v>188</v>
      </c>
      <c r="N3" s="735" t="s">
        <v>189</v>
      </c>
      <c r="O3" s="735" t="s">
        <v>190</v>
      </c>
      <c r="P3" s="735" t="s">
        <v>190</v>
      </c>
      <c r="Q3" s="735" t="s">
        <v>190</v>
      </c>
      <c r="R3" s="735" t="s">
        <v>190</v>
      </c>
      <c r="S3" s="735" t="s">
        <v>190</v>
      </c>
      <c r="T3" s="735" t="s">
        <v>57</v>
      </c>
      <c r="U3" s="735" t="s">
        <v>57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735" t="s">
        <v>58</v>
      </c>
      <c r="AF3" s="735" t="s">
        <v>57</v>
      </c>
      <c r="AG3" s="735" t="s">
        <v>54</v>
      </c>
      <c r="AH3" s="735" t="s">
        <v>57</v>
      </c>
      <c r="AI3" s="735" t="s">
        <v>54</v>
      </c>
      <c r="AJ3" s="735" t="s">
        <v>57</v>
      </c>
      <c r="AK3" s="735" t="s">
        <v>54</v>
      </c>
      <c r="AL3" s="735" t="s">
        <v>57</v>
      </c>
      <c r="AM3" s="735" t="s">
        <v>62</v>
      </c>
      <c r="AN3" s="735" t="s">
        <v>62</v>
      </c>
      <c r="AO3" s="735" t="s">
        <v>62</v>
      </c>
      <c r="AP3" s="735" t="s">
        <v>54</v>
      </c>
      <c r="AQ3" s="735" t="s">
        <v>57</v>
      </c>
      <c r="AR3" s="735" t="s">
        <v>62</v>
      </c>
      <c r="AS3" s="735" t="s">
        <v>54</v>
      </c>
      <c r="AT3" s="735" t="s">
        <v>119</v>
      </c>
      <c r="AU3" s="735" t="s">
        <v>62</v>
      </c>
      <c r="AV3" s="735" t="s">
        <v>62</v>
      </c>
      <c r="AW3" s="735" t="s">
        <v>120</v>
      </c>
      <c r="AX3" s="735" t="s">
        <v>54</v>
      </c>
      <c r="AY3" s="735" t="s">
        <v>120</v>
      </c>
      <c r="AZ3" s="735" t="s">
        <v>54</v>
      </c>
      <c r="BA3" s="735" t="s">
        <v>120</v>
      </c>
      <c r="BB3" s="735" t="s">
        <v>120</v>
      </c>
      <c r="BC3" s="735" t="s">
        <v>120</v>
      </c>
      <c r="BD3" s="735" t="s">
        <v>54</v>
      </c>
      <c r="BE3" s="736" t="s">
        <v>168</v>
      </c>
      <c r="BF3" s="735" t="s">
        <v>59</v>
      </c>
      <c r="BG3" s="735" t="s">
        <v>60</v>
      </c>
      <c r="BH3" s="735" t="s">
        <v>61</v>
      </c>
      <c r="BI3" s="735"/>
      <c r="BJ3" s="735" t="s">
        <v>57</v>
      </c>
      <c r="BK3" s="735" t="s">
        <v>127</v>
      </c>
      <c r="BL3" s="735" t="s">
        <v>127</v>
      </c>
      <c r="BM3" s="735" t="s">
        <v>120</v>
      </c>
      <c r="BN3" s="735" t="s">
        <v>120</v>
      </c>
      <c r="BO3" s="735" t="s">
        <v>120</v>
      </c>
      <c r="BP3" s="735" t="s">
        <v>120</v>
      </c>
      <c r="BQ3" s="735" t="s">
        <v>54</v>
      </c>
      <c r="BR3" s="735" t="s">
        <v>54</v>
      </c>
      <c r="BS3" s="749" t="s">
        <v>120</v>
      </c>
      <c r="BT3" s="749" t="s">
        <v>174</v>
      </c>
      <c r="BU3" s="750" t="s">
        <v>120</v>
      </c>
      <c r="BV3" s="750" t="s">
        <v>222</v>
      </c>
    </row>
    <row r="4" spans="1:74" ht="31.5" x14ac:dyDescent="0.25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745">
        <v>0</v>
      </c>
      <c r="O4" s="438">
        <f>SUM(R4,V4,Z4,AM4,AR4,AU4)</f>
        <v>9.5337903439153422</v>
      </c>
      <c r="P4" s="438">
        <f>SUM(S4,W4,AA4,AC4,AN4,AV4)</f>
        <v>7.0793824007936497</v>
      </c>
      <c r="Q4" s="438">
        <f>SUM(T4,X4,AB4,AD4,AO4)</f>
        <v>3.5495844940476187</v>
      </c>
      <c r="R4" s="453">
        <f>Q17</f>
        <v>4.0142275132275129</v>
      </c>
      <c r="S4" s="453">
        <f>R4/100*70</f>
        <v>2.809959259259259</v>
      </c>
      <c r="T4" s="453">
        <f>R4/100*30</f>
        <v>1.2042682539682539</v>
      </c>
      <c r="U4" s="453">
        <v>0</v>
      </c>
      <c r="V4" s="454">
        <f>Q18</f>
        <v>3.0106706349206345</v>
      </c>
      <c r="W4" s="454">
        <f>V4/100*70</f>
        <v>2.107469444444444</v>
      </c>
      <c r="X4" s="454">
        <f>V4/100*30</f>
        <v>0.9032011904761903</v>
      </c>
      <c r="Y4" s="454">
        <v>0</v>
      </c>
      <c r="Z4" s="455">
        <f>Q19</f>
        <v>0.50177843915343912</v>
      </c>
      <c r="AA4" s="455">
        <f>Z4/100*70</f>
        <v>0.35124490740740738</v>
      </c>
      <c r="AB4" s="455">
        <f>Z4/100*30</f>
        <v>0.15053353174603173</v>
      </c>
      <c r="AC4" s="456">
        <v>0.2</v>
      </c>
      <c r="AD4" s="456">
        <f>AC4/100*70</f>
        <v>0.14000000000000001</v>
      </c>
      <c r="AE4" s="395">
        <v>0</v>
      </c>
      <c r="AF4" s="395">
        <v>0</v>
      </c>
      <c r="AG4" s="395">
        <v>2</v>
      </c>
      <c r="AH4" s="395">
        <v>6</v>
      </c>
      <c r="AI4" s="395">
        <v>0</v>
      </c>
      <c r="AJ4" s="395">
        <v>0</v>
      </c>
      <c r="AK4" s="395">
        <v>0</v>
      </c>
      <c r="AL4" s="395">
        <v>0</v>
      </c>
      <c r="AM4" s="457">
        <f>Q21</f>
        <v>1.5053353174603172</v>
      </c>
      <c r="AN4" s="457">
        <f>AM4/100*90</f>
        <v>1.3548017857142856</v>
      </c>
      <c r="AO4" s="457">
        <f>AN4/100*85</f>
        <v>1.1515815178571427</v>
      </c>
      <c r="AP4" s="457">
        <v>0</v>
      </c>
      <c r="AQ4" s="457">
        <v>0</v>
      </c>
      <c r="AR4" s="458">
        <f>Q22</f>
        <v>0.20071137566137565</v>
      </c>
      <c r="AS4" s="469">
        <v>4</v>
      </c>
      <c r="AT4" s="459" t="s">
        <v>65</v>
      </c>
      <c r="AU4" s="460">
        <f>Q23</f>
        <v>0.30106706349206347</v>
      </c>
      <c r="AV4" s="458">
        <f>AU4/100*85</f>
        <v>0.25590700396825394</v>
      </c>
      <c r="AW4" s="458" t="s">
        <v>65</v>
      </c>
      <c r="AX4" s="458">
        <v>0</v>
      </c>
      <c r="AY4" s="458" t="s">
        <v>65</v>
      </c>
      <c r="AZ4" s="458">
        <v>0</v>
      </c>
      <c r="BA4" s="458" t="s">
        <v>65</v>
      </c>
      <c r="BB4" s="458" t="s">
        <v>65</v>
      </c>
      <c r="BC4" s="458" t="s">
        <v>65</v>
      </c>
      <c r="BD4" s="461">
        <v>1</v>
      </c>
      <c r="BE4" s="372" t="s">
        <v>170</v>
      </c>
      <c r="BF4" s="461">
        <v>26756.07</v>
      </c>
      <c r="BG4" s="461">
        <v>1.6</v>
      </c>
      <c r="BH4" s="463" t="s">
        <v>72</v>
      </c>
      <c r="BI4" s="463">
        <v>1200</v>
      </c>
      <c r="BJ4" s="461">
        <v>1450</v>
      </c>
      <c r="BK4" s="461">
        <v>0</v>
      </c>
      <c r="BL4" s="461" t="s">
        <v>65</v>
      </c>
      <c r="BM4" s="464" t="s">
        <v>67</v>
      </c>
      <c r="BN4" s="464" t="s">
        <v>67</v>
      </c>
      <c r="BO4" s="465" t="s">
        <v>67</v>
      </c>
      <c r="BP4" s="465" t="s">
        <v>67</v>
      </c>
      <c r="BQ4" s="466">
        <v>0</v>
      </c>
      <c r="BR4" s="466">
        <v>0</v>
      </c>
      <c r="BS4" s="467" t="s">
        <v>67</v>
      </c>
      <c r="BT4" s="467" t="s">
        <v>175</v>
      </c>
      <c r="BU4" s="744" t="s">
        <v>67</v>
      </c>
      <c r="BV4" s="744" t="s">
        <v>223</v>
      </c>
    </row>
    <row r="5" spans="1:74" ht="31.5" x14ac:dyDescent="0.25">
      <c r="A5" s="50">
        <v>50</v>
      </c>
      <c r="B5" s="741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719"/>
      <c r="O5" s="438">
        <f>SUM(R5,V5,Z5,AM5,AR5,AU5)</f>
        <v>9.9722731481481475</v>
      </c>
      <c r="P5" s="438">
        <f>SUM(S5,W5,AA5,AC5,AN5,AV5)</f>
        <v>7.3957823611111104</v>
      </c>
      <c r="Q5" s="438">
        <f>SUM(T5,X5,AB5,AD5,AO5)</f>
        <v>3.7063997916666667</v>
      </c>
      <c r="R5" s="453">
        <f>V17</f>
        <v>4.1988518518518516</v>
      </c>
      <c r="S5" s="453">
        <f>R5/100*70</f>
        <v>2.9391962962962959</v>
      </c>
      <c r="T5" s="453">
        <f>R5/100*30</f>
        <v>1.2596555555555555</v>
      </c>
      <c r="U5" s="345">
        <v>0</v>
      </c>
      <c r="V5" s="454">
        <f>V18</f>
        <v>3.1491388888888889</v>
      </c>
      <c r="W5" s="454">
        <f>V5/100*70</f>
        <v>2.2043972222222221</v>
      </c>
      <c r="X5" s="454">
        <f>V5/100*30</f>
        <v>0.94474166666666659</v>
      </c>
      <c r="Y5" s="346">
        <v>0</v>
      </c>
      <c r="Z5" s="455">
        <f>V19</f>
        <v>0.52485648148148145</v>
      </c>
      <c r="AA5" s="455">
        <f>Z5/100*70</f>
        <v>0.36739953703703698</v>
      </c>
      <c r="AB5" s="455">
        <f>Z5/100*30</f>
        <v>0.15745694444444444</v>
      </c>
      <c r="AC5" s="456">
        <v>0.2</v>
      </c>
      <c r="AD5" s="456">
        <f>AC5/100*70</f>
        <v>0.14000000000000001</v>
      </c>
      <c r="AE5" s="342">
        <v>0</v>
      </c>
      <c r="AF5" s="342">
        <v>0</v>
      </c>
      <c r="AG5" s="342">
        <v>1</v>
      </c>
      <c r="AH5" s="342">
        <v>1.6</v>
      </c>
      <c r="AI5" s="342">
        <v>0</v>
      </c>
      <c r="AJ5" s="342">
        <v>0</v>
      </c>
      <c r="AK5" s="342">
        <v>0</v>
      </c>
      <c r="AL5" s="342">
        <v>0</v>
      </c>
      <c r="AM5" s="457">
        <f>V21</f>
        <v>1.5745694444444445</v>
      </c>
      <c r="AN5" s="457">
        <f>AM5/100*90</f>
        <v>1.4171125</v>
      </c>
      <c r="AO5" s="457">
        <f>AN5/100*85</f>
        <v>1.204545625</v>
      </c>
      <c r="AP5" s="349">
        <v>0</v>
      </c>
      <c r="AQ5" s="349">
        <v>0</v>
      </c>
      <c r="AR5" s="458">
        <f>V22</f>
        <v>0.2099425925925926</v>
      </c>
      <c r="AS5" s="350">
        <v>1</v>
      </c>
      <c r="AT5" s="459" t="s">
        <v>65</v>
      </c>
      <c r="AU5" s="458">
        <f>V23</f>
        <v>0.31491388888888888</v>
      </c>
      <c r="AV5" s="720">
        <f>AU5/100*85</f>
        <v>0.26767680555555556</v>
      </c>
      <c r="AW5" s="350" t="s">
        <v>65</v>
      </c>
      <c r="AX5" s="350">
        <v>0</v>
      </c>
      <c r="AY5" s="350" t="s">
        <v>65</v>
      </c>
      <c r="AZ5" s="350">
        <v>0</v>
      </c>
      <c r="BA5" s="350" t="s">
        <v>65</v>
      </c>
      <c r="BB5" s="350" t="s">
        <v>65</v>
      </c>
      <c r="BC5" s="350" t="s">
        <v>67</v>
      </c>
      <c r="BD5" s="362">
        <v>1</v>
      </c>
      <c r="BE5" s="372" t="s">
        <v>170</v>
      </c>
      <c r="BF5" s="362">
        <v>15617.8</v>
      </c>
      <c r="BG5" s="368">
        <v>1.6</v>
      </c>
      <c r="BH5" s="362" t="s">
        <v>72</v>
      </c>
      <c r="BI5" s="362">
        <v>750</v>
      </c>
      <c r="BJ5" s="362">
        <v>820</v>
      </c>
      <c r="BK5" s="362">
        <v>0</v>
      </c>
      <c r="BL5" s="362" t="s">
        <v>65</v>
      </c>
      <c r="BM5" s="363" t="s">
        <v>67</v>
      </c>
      <c r="BN5" s="363" t="s">
        <v>67</v>
      </c>
      <c r="BO5" s="364" t="s">
        <v>65</v>
      </c>
      <c r="BP5" s="364" t="s">
        <v>65</v>
      </c>
      <c r="BQ5" s="66">
        <v>0</v>
      </c>
      <c r="BR5" s="66">
        <v>0</v>
      </c>
      <c r="BS5" s="467" t="s">
        <v>67</v>
      </c>
      <c r="BT5" s="467" t="s">
        <v>197</v>
      </c>
      <c r="BU5" s="744" t="s">
        <v>67</v>
      </c>
      <c r="BV5" s="744" t="s">
        <v>224</v>
      </c>
    </row>
    <row r="6" spans="1:74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4"/>
      <c r="O6" s="737"/>
      <c r="P6" s="673"/>
      <c r="Q6" s="673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738"/>
      <c r="BU6" s="739"/>
      <c r="BV6" s="739"/>
    </row>
    <row r="7" spans="1:74" ht="31.5" x14ac:dyDescent="0.25">
      <c r="A7" s="50">
        <v>60</v>
      </c>
      <c r="B7" s="741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745">
        <v>0</v>
      </c>
      <c r="O7" s="394">
        <f>SUM(R7,V7,Z7,AM7,AR7,AU7)</f>
        <v>286.01371031746032</v>
      </c>
      <c r="P7" s="394">
        <f>SUM(S7,W7,AA7,AC7,AN7,AV7)</f>
        <v>212.38147202380952</v>
      </c>
      <c r="Q7" s="394">
        <f>SUM(T7,X7,AB7,AD7,AO7)</f>
        <v>106.48753482142857</v>
      </c>
      <c r="R7" s="527">
        <f>R4*30</f>
        <v>120.42682539682539</v>
      </c>
      <c r="S7" s="527">
        <f t="shared" ref="S7:AB8" si="0">S4*30</f>
        <v>84.298777777777772</v>
      </c>
      <c r="T7" s="527">
        <f t="shared" si="0"/>
        <v>36.128047619047614</v>
      </c>
      <c r="U7" s="527">
        <f t="shared" si="0"/>
        <v>0</v>
      </c>
      <c r="V7" s="527">
        <f t="shared" si="0"/>
        <v>90.320119047619031</v>
      </c>
      <c r="W7" s="527">
        <f t="shared" si="0"/>
        <v>63.224083333333319</v>
      </c>
      <c r="X7" s="527">
        <f t="shared" si="0"/>
        <v>27.096035714285708</v>
      </c>
      <c r="Y7" s="527">
        <f t="shared" si="0"/>
        <v>0</v>
      </c>
      <c r="Z7" s="527">
        <f t="shared" si="0"/>
        <v>15.053353174603174</v>
      </c>
      <c r="AA7" s="527">
        <f t="shared" si="0"/>
        <v>10.537347222222222</v>
      </c>
      <c r="AB7" s="527">
        <f t="shared" si="0"/>
        <v>4.5160059523809517</v>
      </c>
      <c r="AC7" s="681">
        <f>AC4*30</f>
        <v>6</v>
      </c>
      <c r="AD7" s="681">
        <f>AD4*30</f>
        <v>4.2</v>
      </c>
      <c r="AE7" s="395">
        <v>0</v>
      </c>
      <c r="AF7" s="395">
        <v>0</v>
      </c>
      <c r="AG7" s="395">
        <v>2</v>
      </c>
      <c r="AH7" s="395">
        <v>6</v>
      </c>
      <c r="AI7" s="395">
        <v>0</v>
      </c>
      <c r="AJ7" s="395">
        <v>0</v>
      </c>
      <c r="AK7" s="395">
        <v>0</v>
      </c>
      <c r="AL7" s="395">
        <v>0</v>
      </c>
      <c r="AM7" s="682">
        <f>AM4*30</f>
        <v>45.160059523809515</v>
      </c>
      <c r="AN7" s="682">
        <f t="shared" ref="AN7:AV8" si="1">AN4*30</f>
        <v>40.644053571428564</v>
      </c>
      <c r="AO7" s="682">
        <f t="shared" si="1"/>
        <v>34.547445535714282</v>
      </c>
      <c r="AP7" s="682">
        <f t="shared" si="1"/>
        <v>0</v>
      </c>
      <c r="AQ7" s="682">
        <f t="shared" si="1"/>
        <v>0</v>
      </c>
      <c r="AR7" s="682">
        <f t="shared" si="1"/>
        <v>6.0213412698412689</v>
      </c>
      <c r="AS7" s="682">
        <f t="shared" si="1"/>
        <v>120</v>
      </c>
      <c r="AT7" s="682" t="e">
        <f t="shared" si="1"/>
        <v>#VALUE!</v>
      </c>
      <c r="AU7" s="682">
        <f t="shared" si="1"/>
        <v>9.0320119047619034</v>
      </c>
      <c r="AV7" s="682">
        <f t="shared" si="1"/>
        <v>7.6772101190476185</v>
      </c>
      <c r="AW7" s="342" t="s">
        <v>65</v>
      </c>
      <c r="AX7" s="342">
        <v>0</v>
      </c>
      <c r="AY7" s="342" t="s">
        <v>65</v>
      </c>
      <c r="AZ7" s="342">
        <v>0</v>
      </c>
      <c r="BA7" s="342" t="s">
        <v>65</v>
      </c>
      <c r="BB7" s="342" t="s">
        <v>65</v>
      </c>
      <c r="BC7" s="342" t="s">
        <v>65</v>
      </c>
      <c r="BD7" s="514">
        <v>1</v>
      </c>
      <c r="BE7" s="515" t="s">
        <v>170</v>
      </c>
      <c r="BF7" s="514">
        <v>1350</v>
      </c>
      <c r="BG7" s="514">
        <v>1.5</v>
      </c>
      <c r="BH7" s="516" t="s">
        <v>66</v>
      </c>
      <c r="BI7" s="721">
        <f>BI4</f>
        <v>1200</v>
      </c>
      <c r="BJ7" s="514">
        <v>1260</v>
      </c>
      <c r="BK7" s="514">
        <v>0</v>
      </c>
      <c r="BL7" s="514" t="s">
        <v>65</v>
      </c>
      <c r="BM7" s="514" t="s">
        <v>67</v>
      </c>
      <c r="BN7" s="514" t="s">
        <v>67</v>
      </c>
      <c r="BO7" s="514" t="s">
        <v>67</v>
      </c>
      <c r="BP7" s="514" t="s">
        <v>67</v>
      </c>
      <c r="BQ7" s="513">
        <v>0</v>
      </c>
      <c r="BR7" s="513">
        <v>0</v>
      </c>
      <c r="BS7" s="517" t="s">
        <v>67</v>
      </c>
      <c r="BT7" s="517" t="s">
        <v>175</v>
      </c>
      <c r="BU7" s="744" t="s">
        <v>67</v>
      </c>
      <c r="BV7" s="744" t="s">
        <v>223</v>
      </c>
    </row>
    <row r="8" spans="1:74" ht="31.5" x14ac:dyDescent="0.25">
      <c r="A8" s="50">
        <v>50</v>
      </c>
      <c r="B8" s="741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679">
        <v>17620</v>
      </c>
      <c r="O8" s="394">
        <f>SUM(R8,V8,Z8,AM8,AR8,AU8)</f>
        <v>299.1681944444444</v>
      </c>
      <c r="P8" s="394">
        <f>SUM(S8,W8,AA8,AC8,AN8,AV8)</f>
        <v>221.87347083333333</v>
      </c>
      <c r="Q8" s="394">
        <f>SUM(T8,X8,AB8,AD8,AO8)</f>
        <v>111.19199374999999</v>
      </c>
      <c r="R8" s="527">
        <f>R5*30</f>
        <v>125.96555555555555</v>
      </c>
      <c r="S8" s="527">
        <f t="shared" si="0"/>
        <v>88.175888888888878</v>
      </c>
      <c r="T8" s="527">
        <f t="shared" si="0"/>
        <v>37.789666666666669</v>
      </c>
      <c r="U8" s="527">
        <f t="shared" si="0"/>
        <v>0</v>
      </c>
      <c r="V8" s="527">
        <f t="shared" si="0"/>
        <v>94.474166666666662</v>
      </c>
      <c r="W8" s="527">
        <f t="shared" si="0"/>
        <v>66.131916666666669</v>
      </c>
      <c r="X8" s="527">
        <f t="shared" si="0"/>
        <v>28.342249999999996</v>
      </c>
      <c r="Y8" s="527">
        <f t="shared" si="0"/>
        <v>0</v>
      </c>
      <c r="Z8" s="527">
        <f t="shared" si="0"/>
        <v>15.745694444444444</v>
      </c>
      <c r="AA8" s="527">
        <f t="shared" si="0"/>
        <v>11.02198611111111</v>
      </c>
      <c r="AB8" s="527">
        <f t="shared" si="0"/>
        <v>4.7237083333333336</v>
      </c>
      <c r="AC8" s="681">
        <f>AC5*30</f>
        <v>6</v>
      </c>
      <c r="AD8" s="681">
        <f>AD5*30</f>
        <v>4.2</v>
      </c>
      <c r="AE8" s="395">
        <v>0</v>
      </c>
      <c r="AF8" s="395">
        <v>0</v>
      </c>
      <c r="AG8" s="395">
        <v>2</v>
      </c>
      <c r="AH8" s="395">
        <v>6</v>
      </c>
      <c r="AI8" s="395">
        <v>0</v>
      </c>
      <c r="AJ8" s="395">
        <v>0</v>
      </c>
      <c r="AK8" s="395">
        <v>0</v>
      </c>
      <c r="AL8" s="395">
        <v>0</v>
      </c>
      <c r="AM8" s="682">
        <f>AM5*30</f>
        <v>47.237083333333331</v>
      </c>
      <c r="AN8" s="682">
        <f t="shared" si="1"/>
        <v>42.513374999999996</v>
      </c>
      <c r="AO8" s="682">
        <f t="shared" si="1"/>
        <v>36.136368749999995</v>
      </c>
      <c r="AP8" s="682">
        <f t="shared" si="1"/>
        <v>0</v>
      </c>
      <c r="AQ8" s="682">
        <f t="shared" si="1"/>
        <v>0</v>
      </c>
      <c r="AR8" s="682">
        <f t="shared" si="1"/>
        <v>6.2982777777777779</v>
      </c>
      <c r="AS8" s="682">
        <f t="shared" si="1"/>
        <v>30</v>
      </c>
      <c r="AT8" s="682" t="e">
        <f t="shared" si="1"/>
        <v>#VALUE!</v>
      </c>
      <c r="AU8" s="682">
        <f t="shared" si="1"/>
        <v>9.4474166666666672</v>
      </c>
      <c r="AV8" s="682">
        <f t="shared" si="1"/>
        <v>8.0303041666666672</v>
      </c>
      <c r="AW8" s="342" t="s">
        <v>65</v>
      </c>
      <c r="AX8" s="342">
        <v>0</v>
      </c>
      <c r="AY8" s="342" t="s">
        <v>65</v>
      </c>
      <c r="AZ8" s="342">
        <v>0</v>
      </c>
      <c r="BA8" s="342" t="s">
        <v>65</v>
      </c>
      <c r="BB8" s="342" t="s">
        <v>65</v>
      </c>
      <c r="BC8" s="342" t="s">
        <v>67</v>
      </c>
      <c r="BD8" s="514">
        <v>1</v>
      </c>
      <c r="BE8" s="515" t="s">
        <v>170</v>
      </c>
      <c r="BF8" s="514">
        <v>15617.8</v>
      </c>
      <c r="BG8" s="514">
        <v>1.6</v>
      </c>
      <c r="BH8" s="514" t="s">
        <v>72</v>
      </c>
      <c r="BI8" s="514">
        <f>BI5</f>
        <v>750</v>
      </c>
      <c r="BJ8" s="514">
        <v>800</v>
      </c>
      <c r="BK8" s="514">
        <v>0</v>
      </c>
      <c r="BL8" s="514" t="s">
        <v>65</v>
      </c>
      <c r="BM8" s="514" t="s">
        <v>67</v>
      </c>
      <c r="BN8" s="514" t="s">
        <v>67</v>
      </c>
      <c r="BO8" s="514" t="s">
        <v>65</v>
      </c>
      <c r="BP8" s="514" t="s">
        <v>65</v>
      </c>
      <c r="BQ8" s="513">
        <v>0</v>
      </c>
      <c r="BR8" s="513">
        <v>0</v>
      </c>
      <c r="BS8" s="517" t="s">
        <v>67</v>
      </c>
      <c r="BT8" s="517" t="s">
        <v>198</v>
      </c>
      <c r="BU8" s="744" t="s">
        <v>67</v>
      </c>
      <c r="BV8" s="744" t="s">
        <v>224</v>
      </c>
    </row>
    <row r="9" spans="1:74" x14ac:dyDescent="0.25">
      <c r="P9" s="393">
        <f>P7+P8</f>
        <v>434.25494285714285</v>
      </c>
      <c r="Q9" s="393">
        <f>Q7+Q8</f>
        <v>217.67952857142856</v>
      </c>
    </row>
    <row r="10" spans="1:74" x14ac:dyDescent="0.25">
      <c r="D10" s="1059">
        <v>45383</v>
      </c>
    </row>
    <row r="12" spans="1:74" x14ac:dyDescent="0.25">
      <c r="O12" s="1121" t="s">
        <v>226</v>
      </c>
      <c r="P12" s="1121"/>
      <c r="Q12" s="1121"/>
      <c r="R12" s="1121"/>
      <c r="T12" s="1121" t="s">
        <v>226</v>
      </c>
      <c r="U12" s="1121"/>
      <c r="V12" s="1121"/>
      <c r="W12" s="1121"/>
    </row>
    <row r="13" spans="1:74" x14ac:dyDescent="0.25">
      <c r="O13" s="1122" t="s">
        <v>196</v>
      </c>
      <c r="P13" s="1123"/>
      <c r="Q13" s="1123"/>
      <c r="R13" s="1124"/>
      <c r="T13" s="1122" t="s">
        <v>121</v>
      </c>
      <c r="U13" s="1123"/>
      <c r="V13" s="1123"/>
      <c r="W13" s="1124"/>
      <c r="Y13" s="1125" t="s">
        <v>136</v>
      </c>
      <c r="Z13" s="1125"/>
      <c r="AB13" s="1423" t="s">
        <v>137</v>
      </c>
      <c r="AC13" s="1424"/>
      <c r="AF13" s="449"/>
    </row>
    <row r="14" spans="1:74" x14ac:dyDescent="0.25">
      <c r="O14" s="1127" t="s">
        <v>192</v>
      </c>
      <c r="P14" s="1128"/>
      <c r="Q14" s="746">
        <v>31179</v>
      </c>
      <c r="R14" s="746"/>
      <c r="T14" s="1127" t="s">
        <v>192</v>
      </c>
      <c r="U14" s="1128"/>
      <c r="V14" s="746">
        <v>32613</v>
      </c>
      <c r="W14" s="746"/>
      <c r="Y14" s="1134" t="s">
        <v>199</v>
      </c>
      <c r="Z14" s="1135"/>
      <c r="AB14" s="1144" t="s">
        <v>199</v>
      </c>
      <c r="AC14" s="1145"/>
      <c r="AF14" s="449"/>
    </row>
    <row r="15" spans="1:74" x14ac:dyDescent="0.25">
      <c r="O15" s="1127" t="s">
        <v>193</v>
      </c>
      <c r="P15" s="1128"/>
      <c r="Q15" s="746">
        <v>292</v>
      </c>
      <c r="R15" s="746" t="s">
        <v>227</v>
      </c>
      <c r="T15" s="1127" t="s">
        <v>193</v>
      </c>
      <c r="U15" s="1128"/>
      <c r="V15" s="746">
        <v>292</v>
      </c>
      <c r="W15" s="746" t="s">
        <v>194</v>
      </c>
      <c r="Y15" s="1129">
        <f>108*Q14/1000000</f>
        <v>3.3673320000000002</v>
      </c>
      <c r="Z15" s="1130"/>
      <c r="AB15" s="1425">
        <f>108*V14/1000000</f>
        <v>3.5222039999999999</v>
      </c>
      <c r="AC15" s="1426"/>
    </row>
    <row r="16" spans="1:74" x14ac:dyDescent="0.25">
      <c r="O16" s="1127" t="s">
        <v>195</v>
      </c>
      <c r="P16" s="1128"/>
      <c r="Q16" s="596">
        <f>Q14*Q15/907200</f>
        <v>10.035568783068783</v>
      </c>
      <c r="R16" s="746"/>
      <c r="T16" s="1127" t="s">
        <v>195</v>
      </c>
      <c r="U16" s="1128"/>
      <c r="V16" s="596">
        <f>V14*V15/907200</f>
        <v>10.497129629629629</v>
      </c>
      <c r="W16" s="746"/>
      <c r="Y16" s="1129">
        <f>Y15*31</f>
        <v>104.387292</v>
      </c>
      <c r="Z16" s="1130"/>
      <c r="AB16" s="1144">
        <f>AB15*31</f>
        <v>109.18832399999999</v>
      </c>
      <c r="AC16" s="1145"/>
    </row>
    <row r="17" spans="15:30" x14ac:dyDescent="0.25">
      <c r="O17" s="1132" t="s">
        <v>9</v>
      </c>
      <c r="P17" s="1133"/>
      <c r="Q17" s="592">
        <f>Q16/100*40</f>
        <v>4.0142275132275129</v>
      </c>
      <c r="R17" s="746">
        <v>40</v>
      </c>
      <c r="T17" s="1132" t="s">
        <v>9</v>
      </c>
      <c r="U17" s="1133"/>
      <c r="V17" s="592">
        <f>V16/100*40</f>
        <v>4.1988518518518516</v>
      </c>
      <c r="W17" s="746">
        <v>40</v>
      </c>
      <c r="Y17" s="249"/>
      <c r="Z17" s="249"/>
      <c r="AB17" s="1144"/>
      <c r="AC17" s="1145"/>
    </row>
    <row r="18" spans="15:30" ht="15" customHeight="1" x14ac:dyDescent="0.25">
      <c r="O18" s="1132" t="s">
        <v>10</v>
      </c>
      <c r="P18" s="1133"/>
      <c r="Q18" s="592">
        <f>Q16/100*30</f>
        <v>3.0106706349206345</v>
      </c>
      <c r="R18" s="746">
        <v>30</v>
      </c>
      <c r="T18" s="1132" t="s">
        <v>10</v>
      </c>
      <c r="U18" s="1133"/>
      <c r="V18" s="592">
        <f>V16/100*30</f>
        <v>3.1491388888888889</v>
      </c>
      <c r="W18" s="746">
        <v>30</v>
      </c>
      <c r="Y18" s="1137" t="s">
        <v>225</v>
      </c>
      <c r="Z18" s="1138"/>
      <c r="AB18" s="1427" t="s">
        <v>225</v>
      </c>
      <c r="AC18" s="1428"/>
    </row>
    <row r="19" spans="15:30" x14ac:dyDescent="0.25">
      <c r="O19" s="1132" t="s">
        <v>11</v>
      </c>
      <c r="P19" s="1133"/>
      <c r="Q19" s="592">
        <f>Q16/100*5</f>
        <v>0.50177843915343912</v>
      </c>
      <c r="R19" s="746">
        <v>5</v>
      </c>
      <c r="T19" s="1132" t="s">
        <v>11</v>
      </c>
      <c r="U19" s="1133"/>
      <c r="V19" s="592">
        <f>V16/100*5</f>
        <v>0.52485648148148145</v>
      </c>
      <c r="W19" s="746">
        <v>5</v>
      </c>
      <c r="Y19" s="1129">
        <f>120*Q14/250</f>
        <v>14965.92</v>
      </c>
      <c r="Z19" s="1130"/>
      <c r="AB19" s="1144">
        <f>120*V14/250</f>
        <v>15654.24</v>
      </c>
      <c r="AC19" s="1145"/>
    </row>
    <row r="20" spans="15:30" x14ac:dyDescent="0.25">
      <c r="O20" s="1132" t="s">
        <v>12</v>
      </c>
      <c r="P20" s="1133"/>
      <c r="Q20" s="592">
        <f>Q16/100*5</f>
        <v>0.50177843915343912</v>
      </c>
      <c r="R20" s="746">
        <v>5</v>
      </c>
      <c r="T20" s="1132" t="s">
        <v>12</v>
      </c>
      <c r="U20" s="1133"/>
      <c r="V20" s="592">
        <f>V16/100*5</f>
        <v>0.52485648148148145</v>
      </c>
      <c r="W20" s="746">
        <v>5</v>
      </c>
      <c r="Y20" s="1129">
        <f>Y19/1000</f>
        <v>14.965920000000001</v>
      </c>
      <c r="Z20" s="1130"/>
      <c r="AB20" s="1425">
        <f>AB19/1000</f>
        <v>15.65424</v>
      </c>
      <c r="AC20" s="1426"/>
    </row>
    <row r="21" spans="15:30" x14ac:dyDescent="0.25">
      <c r="O21" s="1132" t="s">
        <v>99</v>
      </c>
      <c r="P21" s="1133"/>
      <c r="Q21" s="592">
        <f>Q16/100*15</f>
        <v>1.5053353174603172</v>
      </c>
      <c r="R21" s="746">
        <v>15</v>
      </c>
      <c r="T21" s="1132" t="s">
        <v>99</v>
      </c>
      <c r="U21" s="1133"/>
      <c r="V21" s="592">
        <f>V16/100*15</f>
        <v>1.5745694444444445</v>
      </c>
      <c r="W21" s="746">
        <v>15</v>
      </c>
      <c r="Y21" s="1129">
        <f>Y20*30</f>
        <v>448.9776</v>
      </c>
      <c r="Z21" s="1130"/>
      <c r="AB21" s="1144">
        <f>AB20*31</f>
        <v>485.28143999999998</v>
      </c>
      <c r="AC21" s="1145"/>
    </row>
    <row r="22" spans="15:30" x14ac:dyDescent="0.25">
      <c r="O22" s="1132" t="s">
        <v>100</v>
      </c>
      <c r="P22" s="1133"/>
      <c r="Q22" s="592">
        <f>Q16/100*2</f>
        <v>0.20071137566137565</v>
      </c>
      <c r="R22" s="746">
        <v>2</v>
      </c>
      <c r="T22" s="1132" t="s">
        <v>100</v>
      </c>
      <c r="U22" s="1133"/>
      <c r="V22" s="592">
        <f>V16/100*2</f>
        <v>0.2099425925925926</v>
      </c>
      <c r="W22" s="746">
        <v>2</v>
      </c>
      <c r="Y22" s="1129">
        <f>Y21/100*2</f>
        <v>8.979552</v>
      </c>
      <c r="Z22" s="1130"/>
      <c r="AB22" s="1144"/>
      <c r="AC22" s="1145"/>
    </row>
    <row r="23" spans="15:30" x14ac:dyDescent="0.25">
      <c r="O23" s="1132" t="s">
        <v>101</v>
      </c>
      <c r="P23" s="1133"/>
      <c r="Q23" s="592">
        <f>Q16/100*3</f>
        <v>0.30106706349206347</v>
      </c>
      <c r="R23" s="746">
        <v>3</v>
      </c>
      <c r="T23" s="1132" t="s">
        <v>101</v>
      </c>
      <c r="U23" s="1133"/>
      <c r="V23" s="592">
        <f>V16/100*3</f>
        <v>0.31491388888888888</v>
      </c>
      <c r="W23" s="746">
        <v>3</v>
      </c>
    </row>
    <row r="24" spans="15:30" x14ac:dyDescent="0.25">
      <c r="O24" s="1140" t="s">
        <v>89</v>
      </c>
      <c r="P24" s="1141"/>
      <c r="Q24" s="596">
        <f>SUM(Q17:Q23)</f>
        <v>10.035568783068781</v>
      </c>
      <c r="R24" s="746">
        <f>SUM(R17:R23)</f>
        <v>100</v>
      </c>
      <c r="T24" s="1140" t="s">
        <v>89</v>
      </c>
      <c r="U24" s="1141"/>
      <c r="V24" s="596">
        <f>SUM(V17:V23)</f>
        <v>10.497129629629628</v>
      </c>
      <c r="W24" s="746">
        <f>SUM(W17:W23)</f>
        <v>100</v>
      </c>
    </row>
    <row r="25" spans="15:30" x14ac:dyDescent="0.25">
      <c r="Q25" s="1142"/>
      <c r="R25" s="1142"/>
    </row>
    <row r="26" spans="15:30" x14ac:dyDescent="0.25">
      <c r="Q26" s="1143"/>
      <c r="R26" s="1143"/>
    </row>
    <row r="27" spans="15:30" x14ac:dyDescent="0.25">
      <c r="P27" s="1121" t="s">
        <v>205</v>
      </c>
      <c r="Q27" s="1121"/>
      <c r="R27" s="1121"/>
      <c r="S27" s="1121"/>
      <c r="T27" s="1121"/>
      <c r="U27" s="1121"/>
      <c r="Y27" s="1121" t="s">
        <v>205</v>
      </c>
      <c r="Z27" s="1121"/>
      <c r="AA27" s="1121"/>
      <c r="AB27" s="1121"/>
    </row>
    <row r="28" spans="15:30" x14ac:dyDescent="0.25">
      <c r="P28" s="1149" t="s">
        <v>136</v>
      </c>
      <c r="Q28" s="1149"/>
      <c r="R28" s="1149"/>
      <c r="S28" s="1149"/>
      <c r="T28" s="1149"/>
      <c r="U28" s="1149"/>
      <c r="Y28" s="1149" t="s">
        <v>137</v>
      </c>
      <c r="Z28" s="1149"/>
      <c r="AA28" s="1149"/>
      <c r="AB28" s="1149"/>
    </row>
    <row r="29" spans="15:30" x14ac:dyDescent="0.25">
      <c r="P29" s="1146" t="s">
        <v>203</v>
      </c>
      <c r="Q29" s="1146"/>
      <c r="R29" s="1146" t="s">
        <v>205</v>
      </c>
      <c r="S29" s="1146"/>
      <c r="T29" s="1146" t="s">
        <v>206</v>
      </c>
      <c r="U29" s="1146"/>
      <c r="Y29" s="1146" t="s">
        <v>203</v>
      </c>
      <c r="Z29" s="1146"/>
      <c r="AA29" s="1146" t="s">
        <v>205</v>
      </c>
      <c r="AB29" s="1146"/>
      <c r="AC29" s="1146" t="s">
        <v>206</v>
      </c>
      <c r="AD29" s="1146"/>
    </row>
    <row r="30" spans="15:30" x14ac:dyDescent="0.25">
      <c r="P30" s="1147" t="s">
        <v>86</v>
      </c>
      <c r="Q30" s="1147"/>
      <c r="R30" s="1148">
        <f>S7</f>
        <v>84.298777777777772</v>
      </c>
      <c r="S30" s="1148"/>
      <c r="T30" s="1148">
        <f>T7</f>
        <v>36.128047619047614</v>
      </c>
      <c r="U30" s="1148"/>
      <c r="V30" s="393"/>
      <c r="Y30" s="1147" t="s">
        <v>86</v>
      </c>
      <c r="Z30" s="1147"/>
      <c r="AA30" s="1148">
        <f>S8</f>
        <v>88.175888888888878</v>
      </c>
      <c r="AB30" s="1148"/>
      <c r="AC30" s="1148">
        <f>T8</f>
        <v>37.789666666666669</v>
      </c>
      <c r="AD30" s="1148"/>
    </row>
    <row r="31" spans="15:30" x14ac:dyDescent="0.25">
      <c r="P31" s="1147" t="s">
        <v>87</v>
      </c>
      <c r="Q31" s="1147"/>
      <c r="R31" s="1148">
        <f>W7</f>
        <v>63.224083333333319</v>
      </c>
      <c r="S31" s="1148"/>
      <c r="T31" s="1148">
        <f>X7</f>
        <v>27.096035714285708</v>
      </c>
      <c r="U31" s="1148"/>
      <c r="V31" s="393"/>
      <c r="Y31" s="1147" t="s">
        <v>87</v>
      </c>
      <c r="Z31" s="1147"/>
      <c r="AA31" s="1148">
        <f>W8</f>
        <v>66.131916666666669</v>
      </c>
      <c r="AB31" s="1148"/>
      <c r="AC31" s="1148">
        <f>X8</f>
        <v>28.342249999999996</v>
      </c>
      <c r="AD31" s="1148"/>
    </row>
    <row r="32" spans="15:30" ht="28.5" customHeight="1" x14ac:dyDescent="0.25">
      <c r="P32" s="1150" t="s">
        <v>201</v>
      </c>
      <c r="Q32" s="1150"/>
      <c r="R32" s="1151">
        <v>8</v>
      </c>
      <c r="S32" s="1152"/>
      <c r="T32" s="1152">
        <v>5</v>
      </c>
      <c r="U32" s="1152"/>
      <c r="Y32" s="1150" t="s">
        <v>201</v>
      </c>
      <c r="Z32" s="1150"/>
      <c r="AA32" s="1152">
        <v>7</v>
      </c>
      <c r="AB32" s="1152"/>
      <c r="AC32" s="1152">
        <v>5</v>
      </c>
      <c r="AD32" s="1152"/>
    </row>
    <row r="33" spans="16:30" x14ac:dyDescent="0.25">
      <c r="P33" s="1147" t="s">
        <v>202</v>
      </c>
      <c r="Q33" s="1147"/>
      <c r="R33" s="1151">
        <v>4</v>
      </c>
      <c r="S33" s="1152"/>
      <c r="T33" s="1152">
        <v>0</v>
      </c>
      <c r="U33" s="1152"/>
      <c r="Y33" s="1147" t="s">
        <v>202</v>
      </c>
      <c r="Z33" s="1147"/>
      <c r="AA33" s="1152">
        <v>3</v>
      </c>
      <c r="AB33" s="1152"/>
      <c r="AC33" s="1152">
        <v>0</v>
      </c>
      <c r="AD33" s="1152"/>
    </row>
    <row r="34" spans="16:30" x14ac:dyDescent="0.25">
      <c r="P34" s="1147" t="s">
        <v>90</v>
      </c>
      <c r="Q34" s="1147"/>
      <c r="R34" s="1153">
        <f>R35-R32-R33</f>
        <v>52.85861091269841</v>
      </c>
      <c r="S34" s="1154"/>
      <c r="T34" s="1153">
        <f>T35-T32-T33</f>
        <v>38.263451488095235</v>
      </c>
      <c r="U34" s="1154"/>
      <c r="Y34" s="1155" t="s">
        <v>90</v>
      </c>
      <c r="Z34" s="1156"/>
      <c r="AA34" s="1153">
        <f>AA35-AA32-AA33</f>
        <v>57.565665277777782</v>
      </c>
      <c r="AB34" s="1157"/>
      <c r="AC34" s="1153">
        <f>AC35-AC33-AC32</f>
        <v>40.060077083333326</v>
      </c>
      <c r="AD34" s="1154"/>
    </row>
    <row r="35" spans="16:30" ht="19.5" customHeight="1" x14ac:dyDescent="0.25">
      <c r="P35" s="1147" t="s">
        <v>90</v>
      </c>
      <c r="Q35" s="1147"/>
      <c r="R35" s="1161">
        <f>SUM(AA7,AC7,AN7,AV7)</f>
        <v>64.85861091269841</v>
      </c>
      <c r="S35" s="1162"/>
      <c r="T35" s="1161">
        <f>SUM(AB7,AD7,AO7)</f>
        <v>43.263451488095235</v>
      </c>
      <c r="U35" s="1162"/>
      <c r="Y35" s="1147" t="s">
        <v>90</v>
      </c>
      <c r="Z35" s="1147"/>
      <c r="AA35" s="1161">
        <f>SUM(AA8,AC8,AN8,AV8)</f>
        <v>67.565665277777782</v>
      </c>
      <c r="AB35" s="1162"/>
      <c r="AC35" s="1161">
        <f>SUM(AB8,AD8,AO8)</f>
        <v>45.060077083333326</v>
      </c>
      <c r="AD35" s="1162"/>
    </row>
    <row r="36" spans="16:30" x14ac:dyDescent="0.25">
      <c r="P36" s="1159"/>
      <c r="Q36" s="1159"/>
      <c r="R36" s="1160">
        <f>SUM(R30:S34)</f>
        <v>212.38147202380952</v>
      </c>
      <c r="S36" s="1160"/>
      <c r="T36" s="1160">
        <f>SUM(T30,T31,T32,T33,T34)</f>
        <v>106.48753482142857</v>
      </c>
      <c r="U36" s="1160"/>
      <c r="V36" s="393"/>
      <c r="Y36" s="1159"/>
      <c r="Z36" s="1159"/>
      <c r="AA36" s="1160">
        <f>SUM(AA30:AB34)</f>
        <v>221.87347083333333</v>
      </c>
      <c r="AB36" s="1160"/>
      <c r="AC36" s="1160">
        <f>SUM(AC30,AC31,AC32,AC33,AC34)</f>
        <v>111.19199374999999</v>
      </c>
      <c r="AD36" s="1160"/>
    </row>
    <row r="37" spans="16:30" x14ac:dyDescent="0.25">
      <c r="R37" s="1158"/>
      <c r="S37" s="1158"/>
      <c r="V37" s="393"/>
    </row>
    <row r="38" spans="16:30" x14ac:dyDescent="0.25">
      <c r="V38" s="393"/>
    </row>
    <row r="44" spans="16:30" x14ac:dyDescent="0.25">
      <c r="S44" s="619" t="s">
        <v>90</v>
      </c>
      <c r="T44" s="620">
        <v>0</v>
      </c>
      <c r="U44" s="620">
        <v>58</v>
      </c>
      <c r="V44" s="620">
        <v>40</v>
      </c>
      <c r="W44" s="619">
        <v>720.28599999999994</v>
      </c>
    </row>
    <row r="45" spans="16:30" x14ac:dyDescent="0.25">
      <c r="S45" s="619" t="s">
        <v>86</v>
      </c>
      <c r="T45" s="620">
        <v>0</v>
      </c>
      <c r="U45" s="620">
        <v>88</v>
      </c>
      <c r="V45" s="620">
        <v>38</v>
      </c>
      <c r="W45" s="619">
        <v>2.7</v>
      </c>
    </row>
    <row r="46" spans="16:30" x14ac:dyDescent="0.25">
      <c r="S46" s="619" t="s">
        <v>87</v>
      </c>
      <c r="T46" s="620">
        <v>0</v>
      </c>
      <c r="U46" s="620">
        <v>66</v>
      </c>
      <c r="V46" s="620">
        <v>28</v>
      </c>
      <c r="W46" s="619">
        <v>1.7</v>
      </c>
    </row>
    <row r="47" spans="16:30" x14ac:dyDescent="0.25">
      <c r="S47" s="619" t="s">
        <v>201</v>
      </c>
      <c r="T47" s="620">
        <v>0</v>
      </c>
      <c r="U47" s="620">
        <v>7</v>
      </c>
      <c r="V47" s="620">
        <v>5</v>
      </c>
      <c r="W47" s="619">
        <v>0.08</v>
      </c>
    </row>
    <row r="48" spans="16:30" x14ac:dyDescent="0.25">
      <c r="S48" s="619" t="s">
        <v>202</v>
      </c>
      <c r="T48" s="620">
        <v>0</v>
      </c>
      <c r="U48" s="620">
        <v>3</v>
      </c>
      <c r="V48" s="620">
        <v>0</v>
      </c>
      <c r="W48" s="619">
        <v>0.05</v>
      </c>
    </row>
    <row r="49" spans="21:27" x14ac:dyDescent="0.25">
      <c r="U49">
        <f>SUM(U44:U48)</f>
        <v>222</v>
      </c>
      <c r="V49">
        <f t="shared" ref="V49:W49" si="2">SUM(V44:V48)</f>
        <v>111</v>
      </c>
      <c r="W49">
        <f t="shared" si="2"/>
        <v>724.81600000000003</v>
      </c>
    </row>
    <row r="52" spans="21:27" x14ac:dyDescent="0.25">
      <c r="W52" s="619" t="s">
        <v>90</v>
      </c>
      <c r="X52" s="620">
        <v>0</v>
      </c>
      <c r="Y52" s="620">
        <v>53</v>
      </c>
      <c r="Z52" s="620">
        <v>38</v>
      </c>
      <c r="AA52" s="619">
        <v>1200</v>
      </c>
    </row>
    <row r="53" spans="21:27" x14ac:dyDescent="0.25">
      <c r="W53" s="619" t="s">
        <v>86</v>
      </c>
      <c r="X53" s="620">
        <v>0</v>
      </c>
      <c r="Y53" s="620">
        <v>84</v>
      </c>
      <c r="Z53" s="620">
        <v>36</v>
      </c>
      <c r="AA53" s="619">
        <v>0</v>
      </c>
    </row>
    <row r="54" spans="21:27" x14ac:dyDescent="0.25">
      <c r="W54" s="619" t="s">
        <v>87</v>
      </c>
      <c r="X54" s="620">
        <v>0</v>
      </c>
      <c r="Y54" s="620">
        <v>63</v>
      </c>
      <c r="Z54" s="620">
        <v>27</v>
      </c>
      <c r="AA54" s="619">
        <v>0</v>
      </c>
    </row>
    <row r="55" spans="21:27" x14ac:dyDescent="0.25">
      <c r="W55" s="619" t="s">
        <v>201</v>
      </c>
      <c r="X55" s="620">
        <v>0</v>
      </c>
      <c r="Y55" s="620">
        <v>8</v>
      </c>
      <c r="Z55" s="620">
        <v>5</v>
      </c>
      <c r="AA55" s="619">
        <v>0</v>
      </c>
    </row>
    <row r="56" spans="21:27" x14ac:dyDescent="0.25">
      <c r="W56" s="619" t="s">
        <v>202</v>
      </c>
      <c r="X56" s="620">
        <v>0</v>
      </c>
      <c r="Y56" s="620">
        <v>4</v>
      </c>
      <c r="Z56" s="620">
        <v>0</v>
      </c>
      <c r="AA56" s="619">
        <v>0</v>
      </c>
    </row>
    <row r="57" spans="21:27" x14ac:dyDescent="0.25">
      <c r="Y57">
        <f>SUM(Y52:Y56)</f>
        <v>212</v>
      </c>
      <c r="Z57">
        <f t="shared" ref="Z57:AA57" si="3">SUM(Z52:Z56)</f>
        <v>106</v>
      </c>
      <c r="AA57">
        <f t="shared" si="3"/>
        <v>1200</v>
      </c>
    </row>
  </sheetData>
  <mergeCells count="123">
    <mergeCell ref="AB17:AC17"/>
    <mergeCell ref="Y15:Z15"/>
    <mergeCell ref="Y16:Z16"/>
    <mergeCell ref="Y19:Z19"/>
    <mergeCell ref="Y20:Z20"/>
    <mergeCell ref="Y21:Z21"/>
    <mergeCell ref="R37:S37"/>
    <mergeCell ref="AB13:AC13"/>
    <mergeCell ref="AB14:AC14"/>
    <mergeCell ref="AB15:AC15"/>
    <mergeCell ref="AB18:AC18"/>
    <mergeCell ref="AB16:AC16"/>
    <mergeCell ref="AB19:AC19"/>
    <mergeCell ref="AB20:AC20"/>
    <mergeCell ref="AB21:AC21"/>
    <mergeCell ref="AB22:AC22"/>
    <mergeCell ref="AC29:AD29"/>
    <mergeCell ref="O13:R13"/>
    <mergeCell ref="T13:W13"/>
    <mergeCell ref="Y13:Z13"/>
    <mergeCell ref="O14:P14"/>
    <mergeCell ref="T14:U14"/>
    <mergeCell ref="Y14:Z14"/>
    <mergeCell ref="P36:Q36"/>
    <mergeCell ref="R36:S36"/>
    <mergeCell ref="T36:U36"/>
    <mergeCell ref="Y36:Z36"/>
    <mergeCell ref="AA36:AB36"/>
    <mergeCell ref="AC36:AD36"/>
    <mergeCell ref="P35:Q35"/>
    <mergeCell ref="R35:S35"/>
    <mergeCell ref="T35:U35"/>
    <mergeCell ref="Y35:Z35"/>
    <mergeCell ref="AA35:AB35"/>
    <mergeCell ref="AC35:AD35"/>
    <mergeCell ref="P34:Q34"/>
    <mergeCell ref="R34:S34"/>
    <mergeCell ref="T34:U34"/>
    <mergeCell ref="Y34:Z34"/>
    <mergeCell ref="AA34:AB34"/>
    <mergeCell ref="AC34:AD34"/>
    <mergeCell ref="P33:Q33"/>
    <mergeCell ref="R33:S33"/>
    <mergeCell ref="T33:U33"/>
    <mergeCell ref="Y33:Z33"/>
    <mergeCell ref="AA33:AB33"/>
    <mergeCell ref="AC33:AD33"/>
    <mergeCell ref="P32:Q32"/>
    <mergeCell ref="R32:S32"/>
    <mergeCell ref="T32:U32"/>
    <mergeCell ref="Y32:Z32"/>
    <mergeCell ref="AA32:AB32"/>
    <mergeCell ref="AC32:AD32"/>
    <mergeCell ref="P31:Q31"/>
    <mergeCell ref="R31:S31"/>
    <mergeCell ref="T31:U31"/>
    <mergeCell ref="Y31:Z31"/>
    <mergeCell ref="AA31:AB31"/>
    <mergeCell ref="AC31:AD31"/>
    <mergeCell ref="P30:Q30"/>
    <mergeCell ref="R30:S30"/>
    <mergeCell ref="T30:U30"/>
    <mergeCell ref="Y30:Z30"/>
    <mergeCell ref="AA30:AB30"/>
    <mergeCell ref="AC30:AD30"/>
    <mergeCell ref="P28:U28"/>
    <mergeCell ref="Y28:AB28"/>
    <mergeCell ref="P29:Q29"/>
    <mergeCell ref="R29:S29"/>
    <mergeCell ref="T29:U29"/>
    <mergeCell ref="Y29:Z29"/>
    <mergeCell ref="AA29:AB29"/>
    <mergeCell ref="O24:P24"/>
    <mergeCell ref="T24:U24"/>
    <mergeCell ref="Q25:Q26"/>
    <mergeCell ref="R25:R26"/>
    <mergeCell ref="P27:U27"/>
    <mergeCell ref="Y27:AB27"/>
    <mergeCell ref="O21:P21"/>
    <mergeCell ref="T21:U21"/>
    <mergeCell ref="O22:P22"/>
    <mergeCell ref="T22:U22"/>
    <mergeCell ref="O23:P23"/>
    <mergeCell ref="T23:U23"/>
    <mergeCell ref="Y22:Z22"/>
    <mergeCell ref="O18:P18"/>
    <mergeCell ref="T18:U18"/>
    <mergeCell ref="Y18:Z18"/>
    <mergeCell ref="O19:P19"/>
    <mergeCell ref="T19:U19"/>
    <mergeCell ref="O20:P20"/>
    <mergeCell ref="T20:U20"/>
    <mergeCell ref="O15:P15"/>
    <mergeCell ref="T15:U15"/>
    <mergeCell ref="O16:P16"/>
    <mergeCell ref="T16:U16"/>
    <mergeCell ref="O17:P17"/>
    <mergeCell ref="T17:U17"/>
    <mergeCell ref="BM1:BN1"/>
    <mergeCell ref="BO1:BP1"/>
    <mergeCell ref="BQ1:BR1"/>
    <mergeCell ref="BS1:BT1"/>
    <mergeCell ref="BU1:BV1"/>
    <mergeCell ref="O12:R12"/>
    <mergeCell ref="T12:W12"/>
    <mergeCell ref="AC1:AD1"/>
    <mergeCell ref="AE1:AL1"/>
    <mergeCell ref="AM1:AQ1"/>
    <mergeCell ref="AR1:AT1"/>
    <mergeCell ref="AU1:BC1"/>
    <mergeCell ref="BD1:BL1"/>
    <mergeCell ref="M1:M2"/>
    <mergeCell ref="N1:N2"/>
    <mergeCell ref="O1:Q1"/>
    <mergeCell ref="R1:U1"/>
    <mergeCell ref="V1:Y1"/>
    <mergeCell ref="Z1:AB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0"/>
  <sheetViews>
    <sheetView topLeftCell="L4" workbookViewId="0">
      <selection activeCell="L10" sqref="A1:XFD1048576"/>
    </sheetView>
  </sheetViews>
  <sheetFormatPr defaultRowHeight="15" x14ac:dyDescent="0.25"/>
  <cols>
    <col min="23" max="23" width="9.140625" customWidth="1"/>
    <col min="26" max="26" width="9.28515625" bestFit="1" customWidth="1"/>
    <col min="27" max="27" width="9.5703125" bestFit="1" customWidth="1"/>
    <col min="28" max="28" width="9.28515625" bestFit="1" customWidth="1"/>
    <col min="58" max="58" width="12" customWidth="1"/>
    <col min="61" max="61" width="9.5703125" bestFit="1" customWidth="1"/>
  </cols>
  <sheetData>
    <row r="1" spans="1:74" ht="30.75" customHeight="1" x14ac:dyDescent="0.25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1104" t="s">
        <v>7</v>
      </c>
      <c r="O1" s="1105" t="s">
        <v>8</v>
      </c>
      <c r="P1" s="1105"/>
      <c r="Q1" s="1105"/>
      <c r="R1" s="1106" t="s">
        <v>9</v>
      </c>
      <c r="S1" s="1106"/>
      <c r="T1" s="1106"/>
      <c r="U1" s="1106"/>
      <c r="V1" s="1107" t="s">
        <v>10</v>
      </c>
      <c r="W1" s="1107"/>
      <c r="X1" s="1107"/>
      <c r="Y1" s="1107"/>
      <c r="Z1" s="1108" t="s">
        <v>11</v>
      </c>
      <c r="AA1" s="1108"/>
      <c r="AB1" s="1108"/>
      <c r="AC1" s="1117" t="s">
        <v>12</v>
      </c>
      <c r="AD1" s="1117"/>
      <c r="AE1" s="1118" t="s">
        <v>179</v>
      </c>
      <c r="AF1" s="1118"/>
      <c r="AG1" s="1118"/>
      <c r="AH1" s="1118"/>
      <c r="AI1" s="1118"/>
      <c r="AJ1" s="1118"/>
      <c r="AK1" s="1118"/>
      <c r="AL1" s="1118"/>
      <c r="AM1" s="1119" t="s">
        <v>99</v>
      </c>
      <c r="AN1" s="1119"/>
      <c r="AO1" s="1119"/>
      <c r="AP1" s="1119"/>
      <c r="AQ1" s="1119"/>
      <c r="AR1" s="1120" t="s">
        <v>100</v>
      </c>
      <c r="AS1" s="1120"/>
      <c r="AT1" s="1120"/>
      <c r="AU1" s="1120" t="s">
        <v>101</v>
      </c>
      <c r="AV1" s="1120"/>
      <c r="AW1" s="1120"/>
      <c r="AX1" s="1120"/>
      <c r="AY1" s="1120"/>
      <c r="AZ1" s="1120"/>
      <c r="BA1" s="1120"/>
      <c r="BB1" s="1120"/>
      <c r="BC1" s="1120"/>
      <c r="BD1" s="1126" t="s">
        <v>14</v>
      </c>
      <c r="BE1" s="1126"/>
      <c r="BF1" s="1126"/>
      <c r="BG1" s="1126"/>
      <c r="BH1" s="1126"/>
      <c r="BI1" s="1126"/>
      <c r="BJ1" s="1126"/>
      <c r="BK1" s="1126"/>
      <c r="BL1" s="1126"/>
      <c r="BM1" s="1111" t="s">
        <v>15</v>
      </c>
      <c r="BN1" s="1111"/>
      <c r="BO1" s="1119" t="s">
        <v>16</v>
      </c>
      <c r="BP1" s="1119"/>
      <c r="BQ1" s="1111" t="s">
        <v>130</v>
      </c>
      <c r="BR1" s="1111"/>
      <c r="BS1" s="1112" t="s">
        <v>171</v>
      </c>
      <c r="BT1" s="1112"/>
      <c r="BU1" s="1113" t="s">
        <v>209</v>
      </c>
      <c r="BV1" s="1113"/>
    </row>
    <row r="2" spans="1:74" ht="225" x14ac:dyDescent="0.25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1104"/>
      <c r="O2" s="769" t="s">
        <v>17</v>
      </c>
      <c r="P2" s="769" t="s">
        <v>18</v>
      </c>
      <c r="Q2" s="769" t="s">
        <v>19</v>
      </c>
      <c r="R2" s="770" t="s">
        <v>20</v>
      </c>
      <c r="S2" s="770" t="s">
        <v>21</v>
      </c>
      <c r="T2" s="770" t="s">
        <v>22</v>
      </c>
      <c r="U2" s="770" t="s">
        <v>23</v>
      </c>
      <c r="V2" s="771" t="s">
        <v>24</v>
      </c>
      <c r="W2" s="771" t="s">
        <v>25</v>
      </c>
      <c r="X2" s="771" t="s">
        <v>26</v>
      </c>
      <c r="Y2" s="771" t="s">
        <v>27</v>
      </c>
      <c r="Z2" s="772" t="s">
        <v>28</v>
      </c>
      <c r="AA2" s="772" t="s">
        <v>29</v>
      </c>
      <c r="AB2" s="772" t="s">
        <v>30</v>
      </c>
      <c r="AC2" s="766" t="s">
        <v>31</v>
      </c>
      <c r="AD2" s="766" t="s">
        <v>32</v>
      </c>
      <c r="AE2" s="727" t="s">
        <v>180</v>
      </c>
      <c r="AF2" s="727" t="s">
        <v>36</v>
      </c>
      <c r="AG2" s="727" t="s">
        <v>181</v>
      </c>
      <c r="AH2" s="727" t="s">
        <v>36</v>
      </c>
      <c r="AI2" s="727" t="s">
        <v>182</v>
      </c>
      <c r="AJ2" s="728" t="s">
        <v>36</v>
      </c>
      <c r="AK2" s="727" t="s">
        <v>183</v>
      </c>
      <c r="AL2" s="728" t="s">
        <v>36</v>
      </c>
      <c r="AM2" s="758" t="s">
        <v>102</v>
      </c>
      <c r="AN2" s="758" t="s">
        <v>103</v>
      </c>
      <c r="AO2" s="758" t="s">
        <v>104</v>
      </c>
      <c r="AP2" s="758" t="s">
        <v>105</v>
      </c>
      <c r="AQ2" s="758" t="s">
        <v>106</v>
      </c>
      <c r="AR2" s="759" t="s">
        <v>107</v>
      </c>
      <c r="AS2" s="759" t="s">
        <v>108</v>
      </c>
      <c r="AT2" s="759" t="s">
        <v>109</v>
      </c>
      <c r="AU2" s="759" t="s">
        <v>110</v>
      </c>
      <c r="AV2" s="759" t="s">
        <v>111</v>
      </c>
      <c r="AW2" s="759" t="s">
        <v>112</v>
      </c>
      <c r="AX2" s="759" t="s">
        <v>113</v>
      </c>
      <c r="AY2" s="759" t="s">
        <v>114</v>
      </c>
      <c r="AZ2" s="759" t="s">
        <v>115</v>
      </c>
      <c r="BA2" s="729" t="s">
        <v>116</v>
      </c>
      <c r="BB2" s="730" t="s">
        <v>117</v>
      </c>
      <c r="BC2" s="759" t="s">
        <v>118</v>
      </c>
      <c r="BD2" s="767" t="s">
        <v>14</v>
      </c>
      <c r="BE2" s="767" t="s">
        <v>167</v>
      </c>
      <c r="BF2" s="767" t="s">
        <v>39</v>
      </c>
      <c r="BG2" s="767" t="s">
        <v>40</v>
      </c>
      <c r="BH2" s="767" t="s">
        <v>41</v>
      </c>
      <c r="BI2" s="767" t="s">
        <v>184</v>
      </c>
      <c r="BJ2" s="767" t="s">
        <v>43</v>
      </c>
      <c r="BK2" s="767" t="s">
        <v>44</v>
      </c>
      <c r="BL2" s="767" t="s">
        <v>46</v>
      </c>
      <c r="BM2" s="763" t="s">
        <v>47</v>
      </c>
      <c r="BN2" s="763" t="s">
        <v>48</v>
      </c>
      <c r="BO2" s="758" t="s">
        <v>49</v>
      </c>
      <c r="BP2" s="758" t="s">
        <v>50</v>
      </c>
      <c r="BQ2" s="763" t="s">
        <v>131</v>
      </c>
      <c r="BR2" s="763" t="s">
        <v>132</v>
      </c>
      <c r="BS2" s="764" t="s">
        <v>172</v>
      </c>
      <c r="BT2" s="764" t="s">
        <v>173</v>
      </c>
      <c r="BU2" s="765" t="s">
        <v>216</v>
      </c>
      <c r="BV2" s="765" t="s">
        <v>217</v>
      </c>
    </row>
    <row r="3" spans="1:74" ht="90" x14ac:dyDescent="0.25">
      <c r="A3" s="768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735" t="s">
        <v>58</v>
      </c>
      <c r="M3" s="735" t="s">
        <v>188</v>
      </c>
      <c r="N3" s="735" t="s">
        <v>189</v>
      </c>
      <c r="O3" s="735" t="s">
        <v>190</v>
      </c>
      <c r="P3" s="735" t="s">
        <v>190</v>
      </c>
      <c r="Q3" s="735" t="s">
        <v>190</v>
      </c>
      <c r="R3" s="735" t="s">
        <v>190</v>
      </c>
      <c r="S3" s="735" t="s">
        <v>190</v>
      </c>
      <c r="T3" s="735" t="s">
        <v>57</v>
      </c>
      <c r="U3" s="735" t="s">
        <v>57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735" t="s">
        <v>58</v>
      </c>
      <c r="AF3" s="735" t="s">
        <v>57</v>
      </c>
      <c r="AG3" s="735" t="s">
        <v>54</v>
      </c>
      <c r="AH3" s="735" t="s">
        <v>57</v>
      </c>
      <c r="AI3" s="735" t="s">
        <v>54</v>
      </c>
      <c r="AJ3" s="735" t="s">
        <v>57</v>
      </c>
      <c r="AK3" s="735" t="s">
        <v>54</v>
      </c>
      <c r="AL3" s="735" t="s">
        <v>57</v>
      </c>
      <c r="AM3" s="735" t="s">
        <v>62</v>
      </c>
      <c r="AN3" s="735" t="s">
        <v>62</v>
      </c>
      <c r="AO3" s="735" t="s">
        <v>62</v>
      </c>
      <c r="AP3" s="735" t="s">
        <v>54</v>
      </c>
      <c r="AQ3" s="735" t="s">
        <v>57</v>
      </c>
      <c r="AR3" s="735" t="s">
        <v>62</v>
      </c>
      <c r="AS3" s="735" t="s">
        <v>54</v>
      </c>
      <c r="AT3" s="735" t="s">
        <v>119</v>
      </c>
      <c r="AU3" s="735" t="s">
        <v>62</v>
      </c>
      <c r="AV3" s="735" t="s">
        <v>62</v>
      </c>
      <c r="AW3" s="735" t="s">
        <v>120</v>
      </c>
      <c r="AX3" s="735" t="s">
        <v>54</v>
      </c>
      <c r="AY3" s="735" t="s">
        <v>120</v>
      </c>
      <c r="AZ3" s="735" t="s">
        <v>54</v>
      </c>
      <c r="BA3" s="735" t="s">
        <v>120</v>
      </c>
      <c r="BB3" s="735" t="s">
        <v>120</v>
      </c>
      <c r="BC3" s="735" t="s">
        <v>120</v>
      </c>
      <c r="BD3" s="735" t="s">
        <v>54</v>
      </c>
      <c r="BE3" s="736" t="s">
        <v>168</v>
      </c>
      <c r="BF3" s="735" t="s">
        <v>59</v>
      </c>
      <c r="BG3" s="735" t="s">
        <v>60</v>
      </c>
      <c r="BH3" s="735" t="s">
        <v>61</v>
      </c>
      <c r="BI3" s="735"/>
      <c r="BJ3" s="735" t="s">
        <v>57</v>
      </c>
      <c r="BK3" s="735" t="s">
        <v>127</v>
      </c>
      <c r="BL3" s="735" t="s">
        <v>127</v>
      </c>
      <c r="BM3" s="735" t="s">
        <v>120</v>
      </c>
      <c r="BN3" s="735" t="s">
        <v>120</v>
      </c>
      <c r="BO3" s="735" t="s">
        <v>120</v>
      </c>
      <c r="BP3" s="735" t="s">
        <v>120</v>
      </c>
      <c r="BQ3" s="735" t="s">
        <v>54</v>
      </c>
      <c r="BR3" s="735" t="s">
        <v>54</v>
      </c>
      <c r="BS3" s="764" t="s">
        <v>120</v>
      </c>
      <c r="BT3" s="764" t="s">
        <v>174</v>
      </c>
      <c r="BU3" s="765" t="s">
        <v>120</v>
      </c>
      <c r="BV3" s="765" t="s">
        <v>222</v>
      </c>
    </row>
    <row r="4" spans="1:74" ht="31.5" x14ac:dyDescent="0.25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>
        <v>21860</v>
      </c>
      <c r="O4" s="438">
        <f>SUM(R4,V4,Z4,AM4,AR4,AU4)</f>
        <v>9.2072906746031755</v>
      </c>
      <c r="P4" s="438">
        <f>SUM(S4,W4,AA4,AC4,AN4,AV4)</f>
        <v>6.8437871130952379</v>
      </c>
      <c r="Q4" s="438">
        <f>SUM(T4,X4,AB4,AD4,AO4)</f>
        <v>3.4328179017857146</v>
      </c>
      <c r="R4" s="453">
        <f>Q17</f>
        <v>3.8767539682539685</v>
      </c>
      <c r="S4" s="453">
        <f>R4/100*70</f>
        <v>2.7137277777777777</v>
      </c>
      <c r="T4" s="453">
        <f>R4/100*30</f>
        <v>1.1630261904761905</v>
      </c>
      <c r="U4" s="453">
        <v>0</v>
      </c>
      <c r="V4" s="454">
        <f>Q18</f>
        <v>2.9075654761904763</v>
      </c>
      <c r="W4" s="454">
        <f>V4/100*70</f>
        <v>2.0352958333333335</v>
      </c>
      <c r="X4" s="454">
        <f>V4/100*30</f>
        <v>0.87226964285714292</v>
      </c>
      <c r="Y4" s="454">
        <v>0</v>
      </c>
      <c r="Z4" s="455">
        <f>Q19</f>
        <v>0.48459424603174606</v>
      </c>
      <c r="AA4" s="455">
        <f>Z4/100*70</f>
        <v>0.33921597222222222</v>
      </c>
      <c r="AB4" s="455">
        <f>Z4/100*30</f>
        <v>0.14537827380952381</v>
      </c>
      <c r="AC4" s="456">
        <v>0.2</v>
      </c>
      <c r="AD4" s="456">
        <f>AC4/100*70</f>
        <v>0.14000000000000001</v>
      </c>
      <c r="AE4" s="395">
        <v>0</v>
      </c>
      <c r="AF4" s="395">
        <v>0</v>
      </c>
      <c r="AG4" s="395">
        <v>2</v>
      </c>
      <c r="AH4" s="395">
        <v>6</v>
      </c>
      <c r="AI4" s="395">
        <v>0</v>
      </c>
      <c r="AJ4" s="395">
        <v>0</v>
      </c>
      <c r="AK4" s="395">
        <v>0</v>
      </c>
      <c r="AL4" s="395">
        <v>0</v>
      </c>
      <c r="AM4" s="457">
        <f>Q21</f>
        <v>1.4537827380952382</v>
      </c>
      <c r="AN4" s="457">
        <f>AM4/100*90</f>
        <v>1.3084044642857144</v>
      </c>
      <c r="AO4" s="457">
        <f>AN4/100*85</f>
        <v>1.1121437946428572</v>
      </c>
      <c r="AP4" s="457">
        <v>0</v>
      </c>
      <c r="AQ4" s="457">
        <v>0</v>
      </c>
      <c r="AR4" s="458">
        <f>Q22</f>
        <v>0.19383769841269843</v>
      </c>
      <c r="AS4" s="469">
        <v>4</v>
      </c>
      <c r="AT4" s="459" t="s">
        <v>65</v>
      </c>
      <c r="AU4" s="460">
        <f>Q23</f>
        <v>0.29075654761904768</v>
      </c>
      <c r="AV4" s="458">
        <f>AU4/100*85</f>
        <v>0.24714306547619053</v>
      </c>
      <c r="AW4" s="458" t="s">
        <v>65</v>
      </c>
      <c r="AX4" s="458">
        <v>0</v>
      </c>
      <c r="AY4" s="458" t="s">
        <v>65</v>
      </c>
      <c r="AZ4" s="458">
        <v>0</v>
      </c>
      <c r="BA4" s="458" t="s">
        <v>65</v>
      </c>
      <c r="BB4" s="458" t="s">
        <v>65</v>
      </c>
      <c r="BC4" s="458" t="s">
        <v>65</v>
      </c>
      <c r="BD4" s="461">
        <v>1</v>
      </c>
      <c r="BE4" s="372" t="s">
        <v>170</v>
      </c>
      <c r="BF4" s="461">
        <v>26756.07</v>
      </c>
      <c r="BG4" s="461">
        <v>1.6</v>
      </c>
      <c r="BH4" s="463" t="s">
        <v>72</v>
      </c>
      <c r="BI4" s="463">
        <v>1200</v>
      </c>
      <c r="BJ4" s="461">
        <v>1450</v>
      </c>
      <c r="BK4" s="461">
        <v>0</v>
      </c>
      <c r="BL4" s="461" t="s">
        <v>65</v>
      </c>
      <c r="BM4" s="464" t="s">
        <v>67</v>
      </c>
      <c r="BN4" s="464" t="s">
        <v>67</v>
      </c>
      <c r="BO4" s="465" t="s">
        <v>67</v>
      </c>
      <c r="BP4" s="465" t="s">
        <v>67</v>
      </c>
      <c r="BQ4" s="466">
        <v>0</v>
      </c>
      <c r="BR4" s="466">
        <v>0</v>
      </c>
      <c r="BS4" s="467" t="s">
        <v>67</v>
      </c>
      <c r="BT4" s="467" t="s">
        <v>175</v>
      </c>
      <c r="BU4" s="760" t="s">
        <v>67</v>
      </c>
      <c r="BV4" s="760" t="s">
        <v>223</v>
      </c>
    </row>
    <row r="5" spans="1:74" ht="31.5" x14ac:dyDescent="0.25">
      <c r="A5" s="50">
        <v>50</v>
      </c>
      <c r="B5" s="757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719">
        <v>10045</v>
      </c>
      <c r="O5" s="438">
        <f>SUM(R5,V5,Z5,AM5,AR5,AU5)</f>
        <v>9.6307569444444443</v>
      </c>
      <c r="P5" s="438">
        <f>SUM(S5,W5,AA5,AC5,AN5,AV5)</f>
        <v>7.1493514583333342</v>
      </c>
      <c r="Q5" s="438">
        <f>SUM(T5,X5,AB5,AD5,AO5)</f>
        <v>3.5842628125000005</v>
      </c>
      <c r="R5" s="453">
        <f>V17</f>
        <v>4.0550555555555556</v>
      </c>
      <c r="S5" s="453">
        <f>R5/100*70</f>
        <v>2.8385388888888889</v>
      </c>
      <c r="T5" s="453">
        <f>R5/100*30</f>
        <v>1.2165166666666667</v>
      </c>
      <c r="U5" s="345">
        <v>0</v>
      </c>
      <c r="V5" s="454">
        <f>V18</f>
        <v>3.0412916666666669</v>
      </c>
      <c r="W5" s="454">
        <f>V5/100*70</f>
        <v>2.1289041666666666</v>
      </c>
      <c r="X5" s="454">
        <f>V5/100*30</f>
        <v>0.91238750000000002</v>
      </c>
      <c r="Y5" s="346">
        <v>0</v>
      </c>
      <c r="Z5" s="455">
        <f>V19</f>
        <v>0.50688194444444445</v>
      </c>
      <c r="AA5" s="455">
        <f>Z5/100*70</f>
        <v>0.35481736111111112</v>
      </c>
      <c r="AB5" s="455">
        <f>Z5/100*30</f>
        <v>0.15206458333333334</v>
      </c>
      <c r="AC5" s="456">
        <v>0.2</v>
      </c>
      <c r="AD5" s="456">
        <f>AC5/100*70</f>
        <v>0.14000000000000001</v>
      </c>
      <c r="AE5" s="342">
        <v>0</v>
      </c>
      <c r="AF5" s="342">
        <v>0</v>
      </c>
      <c r="AG5" s="342">
        <v>1</v>
      </c>
      <c r="AH5" s="342">
        <v>1.6</v>
      </c>
      <c r="AI5" s="342">
        <v>0</v>
      </c>
      <c r="AJ5" s="342">
        <v>0</v>
      </c>
      <c r="AK5" s="342">
        <v>0</v>
      </c>
      <c r="AL5" s="342">
        <v>0</v>
      </c>
      <c r="AM5" s="457">
        <f>V21</f>
        <v>1.5206458333333335</v>
      </c>
      <c r="AN5" s="457">
        <f>AM5/100*90</f>
        <v>1.3685812500000001</v>
      </c>
      <c r="AO5" s="457">
        <f>AN5/100*85</f>
        <v>1.1632940625000001</v>
      </c>
      <c r="AP5" s="349">
        <v>0</v>
      </c>
      <c r="AQ5" s="349">
        <v>0</v>
      </c>
      <c r="AR5" s="458">
        <f>V22</f>
        <v>0.20275277777777778</v>
      </c>
      <c r="AS5" s="350">
        <v>1</v>
      </c>
      <c r="AT5" s="459" t="s">
        <v>65</v>
      </c>
      <c r="AU5" s="458">
        <f>V23</f>
        <v>0.30412916666666667</v>
      </c>
      <c r="AV5" s="720">
        <f>AU5/100*85</f>
        <v>0.25850979166666666</v>
      </c>
      <c r="AW5" s="350" t="s">
        <v>65</v>
      </c>
      <c r="AX5" s="350">
        <v>0</v>
      </c>
      <c r="AY5" s="350" t="s">
        <v>65</v>
      </c>
      <c r="AZ5" s="350">
        <v>0</v>
      </c>
      <c r="BA5" s="350" t="s">
        <v>65</v>
      </c>
      <c r="BB5" s="350" t="s">
        <v>65</v>
      </c>
      <c r="BC5" s="350" t="s">
        <v>67</v>
      </c>
      <c r="BD5" s="362">
        <v>1</v>
      </c>
      <c r="BE5" s="372" t="s">
        <v>170</v>
      </c>
      <c r="BF5" s="362">
        <v>15617.8</v>
      </c>
      <c r="BG5" s="368">
        <v>1.6</v>
      </c>
      <c r="BH5" s="362" t="s">
        <v>72</v>
      </c>
      <c r="BI5" s="362">
        <v>750</v>
      </c>
      <c r="BJ5" s="362">
        <v>820</v>
      </c>
      <c r="BK5" s="362">
        <v>0</v>
      </c>
      <c r="BL5" s="362" t="s">
        <v>65</v>
      </c>
      <c r="BM5" s="363" t="s">
        <v>67</v>
      </c>
      <c r="BN5" s="363" t="s">
        <v>67</v>
      </c>
      <c r="BO5" s="364" t="s">
        <v>65</v>
      </c>
      <c r="BP5" s="364" t="s">
        <v>65</v>
      </c>
      <c r="BQ5" s="66">
        <v>0</v>
      </c>
      <c r="BR5" s="66">
        <v>0</v>
      </c>
      <c r="BS5" s="467" t="s">
        <v>67</v>
      </c>
      <c r="BT5" s="467" t="s">
        <v>197</v>
      </c>
      <c r="BU5" s="760" t="s">
        <v>67</v>
      </c>
      <c r="BV5" s="760" t="s">
        <v>224</v>
      </c>
    </row>
    <row r="6" spans="1:74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4"/>
      <c r="O6" s="737"/>
      <c r="P6" s="673"/>
      <c r="Q6" s="673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738"/>
      <c r="BU6" s="739"/>
      <c r="BV6" s="739"/>
    </row>
    <row r="7" spans="1:74" ht="31.5" x14ac:dyDescent="0.25">
      <c r="A7" s="50">
        <v>60</v>
      </c>
      <c r="B7" s="757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761">
        <v>0</v>
      </c>
      <c r="O7" s="394">
        <f>SUM(R7,V7,Z7,AM7,AR7,AU7)</f>
        <v>276.21872023809527</v>
      </c>
      <c r="P7" s="394">
        <f>SUM(S7,W7,AA7,AC7,AN7,AV7)</f>
        <v>205.31361339285715</v>
      </c>
      <c r="Q7" s="394">
        <f>SUM(T7,X7,AB7,AD7,AO7)</f>
        <v>102.98453705357143</v>
      </c>
      <c r="R7" s="527">
        <f>R4*30</f>
        <v>116.30261904761906</v>
      </c>
      <c r="S7" s="527">
        <f t="shared" ref="S7:AB8" si="0">S4*30</f>
        <v>81.411833333333334</v>
      </c>
      <c r="T7" s="527">
        <f t="shared" si="0"/>
        <v>34.890785714285713</v>
      </c>
      <c r="U7" s="527">
        <f t="shared" si="0"/>
        <v>0</v>
      </c>
      <c r="V7" s="527">
        <f t="shared" si="0"/>
        <v>87.226964285714288</v>
      </c>
      <c r="W7" s="527">
        <f t="shared" si="0"/>
        <v>61.058875000000008</v>
      </c>
      <c r="X7" s="527">
        <f t="shared" si="0"/>
        <v>26.168089285714288</v>
      </c>
      <c r="Y7" s="527">
        <f t="shared" si="0"/>
        <v>0</v>
      </c>
      <c r="Z7" s="527">
        <f t="shared" si="0"/>
        <v>14.537827380952383</v>
      </c>
      <c r="AA7" s="527">
        <f t="shared" si="0"/>
        <v>10.176479166666667</v>
      </c>
      <c r="AB7" s="527">
        <f t="shared" si="0"/>
        <v>4.3613482142857141</v>
      </c>
      <c r="AC7" s="681">
        <f>AC4*30</f>
        <v>6</v>
      </c>
      <c r="AD7" s="681">
        <f>AD4*30</f>
        <v>4.2</v>
      </c>
      <c r="AE7" s="395">
        <v>0</v>
      </c>
      <c r="AF7" s="395">
        <v>0</v>
      </c>
      <c r="AG7" s="395">
        <v>2</v>
      </c>
      <c r="AH7" s="395">
        <v>6</v>
      </c>
      <c r="AI7" s="395">
        <v>0</v>
      </c>
      <c r="AJ7" s="395">
        <v>0</v>
      </c>
      <c r="AK7" s="395">
        <v>0</v>
      </c>
      <c r="AL7" s="395">
        <v>0</v>
      </c>
      <c r="AM7" s="682">
        <f>AM4*30</f>
        <v>43.613482142857144</v>
      </c>
      <c r="AN7" s="682">
        <f t="shared" ref="AN7:AV8" si="1">AN4*30</f>
        <v>39.252133928571432</v>
      </c>
      <c r="AO7" s="682">
        <f t="shared" si="1"/>
        <v>33.364313839285714</v>
      </c>
      <c r="AP7" s="682">
        <f t="shared" si="1"/>
        <v>0</v>
      </c>
      <c r="AQ7" s="682">
        <f t="shared" si="1"/>
        <v>0</v>
      </c>
      <c r="AR7" s="682">
        <f t="shared" si="1"/>
        <v>5.8151309523809527</v>
      </c>
      <c r="AS7" s="682">
        <f t="shared" si="1"/>
        <v>120</v>
      </c>
      <c r="AT7" s="682" t="e">
        <f t="shared" si="1"/>
        <v>#VALUE!</v>
      </c>
      <c r="AU7" s="682">
        <f t="shared" si="1"/>
        <v>8.7226964285714299</v>
      </c>
      <c r="AV7" s="682">
        <f t="shared" si="1"/>
        <v>7.4142919642857157</v>
      </c>
      <c r="AW7" s="342" t="s">
        <v>65</v>
      </c>
      <c r="AX7" s="342">
        <v>0</v>
      </c>
      <c r="AY7" s="342" t="s">
        <v>65</v>
      </c>
      <c r="AZ7" s="342">
        <v>0</v>
      </c>
      <c r="BA7" s="342" t="s">
        <v>65</v>
      </c>
      <c r="BB7" s="342" t="s">
        <v>65</v>
      </c>
      <c r="BC7" s="342" t="s">
        <v>65</v>
      </c>
      <c r="BD7" s="514">
        <v>1</v>
      </c>
      <c r="BE7" s="515" t="s">
        <v>170</v>
      </c>
      <c r="BF7" s="514">
        <v>1350</v>
      </c>
      <c r="BG7" s="514">
        <v>1.5</v>
      </c>
      <c r="BH7" s="516" t="s">
        <v>66</v>
      </c>
      <c r="BI7" s="721">
        <f>BI4</f>
        <v>1200</v>
      </c>
      <c r="BJ7" s="514">
        <v>1260</v>
      </c>
      <c r="BK7" s="514">
        <v>0</v>
      </c>
      <c r="BL7" s="514" t="s">
        <v>65</v>
      </c>
      <c r="BM7" s="514" t="s">
        <v>67</v>
      </c>
      <c r="BN7" s="514" t="s">
        <v>67</v>
      </c>
      <c r="BO7" s="514" t="s">
        <v>67</v>
      </c>
      <c r="BP7" s="514" t="s">
        <v>67</v>
      </c>
      <c r="BQ7" s="513">
        <v>0</v>
      </c>
      <c r="BR7" s="513">
        <v>0</v>
      </c>
      <c r="BS7" s="517" t="s">
        <v>67</v>
      </c>
      <c r="BT7" s="517" t="s">
        <v>175</v>
      </c>
      <c r="BU7" s="760" t="s">
        <v>67</v>
      </c>
      <c r="BV7" s="760" t="s">
        <v>223</v>
      </c>
    </row>
    <row r="8" spans="1:74" ht="31.5" x14ac:dyDescent="0.25">
      <c r="A8" s="50">
        <v>50</v>
      </c>
      <c r="B8" s="757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679"/>
      <c r="O8" s="394">
        <f>SUM(R8,V8,Z8,AM8,AR8,AU8)</f>
        <v>288.92270833333333</v>
      </c>
      <c r="P8" s="394">
        <f>SUM(S8,W8,AA8,AC8,AN8,AV8)</f>
        <v>214.48054375000001</v>
      </c>
      <c r="Q8" s="394">
        <f>SUM(T8,X8,AB8,AD8,AO8)</f>
        <v>107.52788437500001</v>
      </c>
      <c r="R8" s="527">
        <f>R5*30</f>
        <v>121.65166666666667</v>
      </c>
      <c r="S8" s="527">
        <f t="shared" si="0"/>
        <v>85.156166666666664</v>
      </c>
      <c r="T8" s="527">
        <f t="shared" si="0"/>
        <v>36.4955</v>
      </c>
      <c r="U8" s="527">
        <f t="shared" si="0"/>
        <v>0</v>
      </c>
      <c r="V8" s="527">
        <f t="shared" si="0"/>
        <v>91.23875000000001</v>
      </c>
      <c r="W8" s="527">
        <f t="shared" si="0"/>
        <v>63.867125000000001</v>
      </c>
      <c r="X8" s="527">
        <f t="shared" si="0"/>
        <v>27.371625000000002</v>
      </c>
      <c r="Y8" s="527">
        <f t="shared" si="0"/>
        <v>0</v>
      </c>
      <c r="Z8" s="527">
        <f t="shared" si="0"/>
        <v>15.206458333333334</v>
      </c>
      <c r="AA8" s="527">
        <f t="shared" si="0"/>
        <v>10.644520833333333</v>
      </c>
      <c r="AB8" s="527">
        <f t="shared" si="0"/>
        <v>4.5619375</v>
      </c>
      <c r="AC8" s="681">
        <f>AC5*30</f>
        <v>6</v>
      </c>
      <c r="AD8" s="681">
        <f>AD5*30</f>
        <v>4.2</v>
      </c>
      <c r="AE8" s="395">
        <v>0</v>
      </c>
      <c r="AF8" s="395">
        <v>0</v>
      </c>
      <c r="AG8" s="395">
        <v>2</v>
      </c>
      <c r="AH8" s="395">
        <v>6</v>
      </c>
      <c r="AI8" s="395">
        <v>0</v>
      </c>
      <c r="AJ8" s="395">
        <v>0</v>
      </c>
      <c r="AK8" s="395">
        <v>0</v>
      </c>
      <c r="AL8" s="395">
        <v>0</v>
      </c>
      <c r="AM8" s="682">
        <f>AM5*30</f>
        <v>45.619375000000005</v>
      </c>
      <c r="AN8" s="682">
        <f t="shared" si="1"/>
        <v>41.057437500000006</v>
      </c>
      <c r="AO8" s="682">
        <f t="shared" si="1"/>
        <v>34.898821875000003</v>
      </c>
      <c r="AP8" s="682">
        <f t="shared" si="1"/>
        <v>0</v>
      </c>
      <c r="AQ8" s="682">
        <f t="shared" si="1"/>
        <v>0</v>
      </c>
      <c r="AR8" s="682">
        <f t="shared" si="1"/>
        <v>6.0825833333333339</v>
      </c>
      <c r="AS8" s="682">
        <f t="shared" si="1"/>
        <v>30</v>
      </c>
      <c r="AT8" s="682" t="e">
        <f t="shared" si="1"/>
        <v>#VALUE!</v>
      </c>
      <c r="AU8" s="682">
        <f t="shared" si="1"/>
        <v>9.123875</v>
      </c>
      <c r="AV8" s="682">
        <f t="shared" si="1"/>
        <v>7.7552937499999999</v>
      </c>
      <c r="AW8" s="342" t="s">
        <v>65</v>
      </c>
      <c r="AX8" s="342">
        <v>0</v>
      </c>
      <c r="AY8" s="342" t="s">
        <v>65</v>
      </c>
      <c r="AZ8" s="342">
        <v>0</v>
      </c>
      <c r="BA8" s="342" t="s">
        <v>65</v>
      </c>
      <c r="BB8" s="342" t="s">
        <v>65</v>
      </c>
      <c r="BC8" s="342" t="s">
        <v>67</v>
      </c>
      <c r="BD8" s="514">
        <v>1</v>
      </c>
      <c r="BE8" s="515" t="s">
        <v>170</v>
      </c>
      <c r="BF8" s="514">
        <v>15617.8</v>
      </c>
      <c r="BG8" s="514">
        <v>1.6</v>
      </c>
      <c r="BH8" s="514" t="s">
        <v>72</v>
      </c>
      <c r="BI8" s="514">
        <f>BI5</f>
        <v>750</v>
      </c>
      <c r="BJ8" s="514">
        <v>800</v>
      </c>
      <c r="BK8" s="514">
        <v>0</v>
      </c>
      <c r="BL8" s="514" t="s">
        <v>65</v>
      </c>
      <c r="BM8" s="514" t="s">
        <v>67</v>
      </c>
      <c r="BN8" s="514" t="s">
        <v>67</v>
      </c>
      <c r="BO8" s="514" t="s">
        <v>65</v>
      </c>
      <c r="BP8" s="514" t="s">
        <v>65</v>
      </c>
      <c r="BQ8" s="513">
        <v>0</v>
      </c>
      <c r="BR8" s="513">
        <v>0</v>
      </c>
      <c r="BS8" s="517" t="s">
        <v>67</v>
      </c>
      <c r="BT8" s="517" t="s">
        <v>198</v>
      </c>
      <c r="BU8" s="760" t="s">
        <v>67</v>
      </c>
      <c r="BV8" s="760" t="s">
        <v>224</v>
      </c>
    </row>
    <row r="9" spans="1:74" x14ac:dyDescent="0.25">
      <c r="P9" s="393">
        <f>P7+P8</f>
        <v>419.79415714285716</v>
      </c>
      <c r="Q9" s="393">
        <f>Q7+Q8</f>
        <v>210.51242142857143</v>
      </c>
    </row>
    <row r="10" spans="1:74" x14ac:dyDescent="0.25">
      <c r="L10" s="1059">
        <v>45413</v>
      </c>
    </row>
    <row r="12" spans="1:74" x14ac:dyDescent="0.25">
      <c r="O12" s="1121" t="s">
        <v>226</v>
      </c>
      <c r="P12" s="1121"/>
      <c r="Q12" s="1121"/>
      <c r="R12" s="1121"/>
      <c r="T12" s="1121" t="s">
        <v>226</v>
      </c>
      <c r="U12" s="1121"/>
      <c r="V12" s="1121"/>
      <c r="W12" s="1121"/>
    </row>
    <row r="13" spans="1:74" x14ac:dyDescent="0.25">
      <c r="O13" s="1122" t="s">
        <v>196</v>
      </c>
      <c r="P13" s="1123"/>
      <c r="Q13" s="1123"/>
      <c r="R13" s="1124"/>
      <c r="T13" s="1122" t="s">
        <v>121</v>
      </c>
      <c r="U13" s="1123"/>
      <c r="V13" s="1123"/>
      <c r="W13" s="1124"/>
      <c r="Y13" s="1125" t="s">
        <v>136</v>
      </c>
      <c r="Z13" s="1125"/>
      <c r="AB13" s="1423" t="s">
        <v>137</v>
      </c>
      <c r="AC13" s="1424"/>
      <c r="AF13" s="449"/>
    </row>
    <row r="14" spans="1:74" x14ac:dyDescent="0.25">
      <c r="O14" s="1127" t="s">
        <v>192</v>
      </c>
      <c r="P14" s="1128"/>
      <c r="Q14" s="762">
        <v>31179</v>
      </c>
      <c r="R14" s="762"/>
      <c r="T14" s="1127" t="s">
        <v>192</v>
      </c>
      <c r="U14" s="1128"/>
      <c r="V14" s="762">
        <v>32613</v>
      </c>
      <c r="W14" s="762"/>
      <c r="Y14" s="1134" t="s">
        <v>199</v>
      </c>
      <c r="Z14" s="1135"/>
      <c r="AB14" s="1144" t="s">
        <v>199</v>
      </c>
      <c r="AC14" s="1145"/>
      <c r="AF14" s="449"/>
    </row>
    <row r="15" spans="1:74" x14ac:dyDescent="0.25">
      <c r="O15" s="1127" t="s">
        <v>193</v>
      </c>
      <c r="P15" s="1128"/>
      <c r="Q15" s="762">
        <v>282</v>
      </c>
      <c r="R15" s="762" t="s">
        <v>227</v>
      </c>
      <c r="T15" s="1127" t="s">
        <v>193</v>
      </c>
      <c r="U15" s="1128"/>
      <c r="V15" s="762">
        <v>282</v>
      </c>
      <c r="W15" s="762" t="s">
        <v>194</v>
      </c>
      <c r="Y15" s="1129">
        <f>108*Q14/1000000</f>
        <v>3.3673320000000002</v>
      </c>
      <c r="Z15" s="1130"/>
      <c r="AB15" s="1425">
        <f>108*V14/1000000</f>
        <v>3.5222039999999999</v>
      </c>
      <c r="AC15" s="1426"/>
    </row>
    <row r="16" spans="1:74" x14ac:dyDescent="0.25">
      <c r="O16" s="1127" t="s">
        <v>195</v>
      </c>
      <c r="P16" s="1128"/>
      <c r="Q16" s="596">
        <f>Q14*Q15/907200</f>
        <v>9.6918849206349211</v>
      </c>
      <c r="R16" s="762"/>
      <c r="T16" s="1127" t="s">
        <v>195</v>
      </c>
      <c r="U16" s="1128"/>
      <c r="V16" s="596">
        <f>V14*V15/907200</f>
        <v>10.137638888888889</v>
      </c>
      <c r="W16" s="762"/>
      <c r="Y16" s="1129">
        <f>Y15*31</f>
        <v>104.387292</v>
      </c>
      <c r="Z16" s="1130"/>
      <c r="AB16" s="1144">
        <f>AB15*31</f>
        <v>109.18832399999999</v>
      </c>
      <c r="AC16" s="1145"/>
    </row>
    <row r="17" spans="15:30" x14ac:dyDescent="0.25">
      <c r="O17" s="1132" t="s">
        <v>9</v>
      </c>
      <c r="P17" s="1133"/>
      <c r="Q17" s="592">
        <f>Q16/100*40</f>
        <v>3.8767539682539685</v>
      </c>
      <c r="R17" s="762">
        <v>40</v>
      </c>
      <c r="T17" s="1132" t="s">
        <v>9</v>
      </c>
      <c r="U17" s="1133"/>
      <c r="V17" s="592">
        <f>V16/100*40</f>
        <v>4.0550555555555556</v>
      </c>
      <c r="W17" s="762">
        <v>40</v>
      </c>
      <c r="Y17" s="249"/>
      <c r="Z17" s="249"/>
      <c r="AB17" s="1144"/>
      <c r="AC17" s="1145"/>
    </row>
    <row r="18" spans="15:30" ht="15" customHeight="1" x14ac:dyDescent="0.25">
      <c r="O18" s="1132" t="s">
        <v>10</v>
      </c>
      <c r="P18" s="1133"/>
      <c r="Q18" s="592">
        <f>Q16/100*30</f>
        <v>2.9075654761904763</v>
      </c>
      <c r="R18" s="762">
        <v>30</v>
      </c>
      <c r="T18" s="1132" t="s">
        <v>10</v>
      </c>
      <c r="U18" s="1133"/>
      <c r="V18" s="592">
        <f>V16/100*30</f>
        <v>3.0412916666666669</v>
      </c>
      <c r="W18" s="762">
        <v>30</v>
      </c>
      <c r="Y18" s="1137" t="s">
        <v>225</v>
      </c>
      <c r="Z18" s="1138"/>
      <c r="AB18" s="1427" t="s">
        <v>225</v>
      </c>
      <c r="AC18" s="1428"/>
    </row>
    <row r="19" spans="15:30" x14ac:dyDescent="0.25">
      <c r="O19" s="1132" t="s">
        <v>11</v>
      </c>
      <c r="P19" s="1133"/>
      <c r="Q19" s="592">
        <f>Q16/100*5</f>
        <v>0.48459424603174606</v>
      </c>
      <c r="R19" s="762">
        <v>5</v>
      </c>
      <c r="T19" s="1132" t="s">
        <v>11</v>
      </c>
      <c r="U19" s="1133"/>
      <c r="V19" s="592">
        <f>V16/100*5</f>
        <v>0.50688194444444445</v>
      </c>
      <c r="W19" s="762">
        <v>5</v>
      </c>
      <c r="Y19" s="1129">
        <f>120*Q14/250</f>
        <v>14965.92</v>
      </c>
      <c r="Z19" s="1130"/>
      <c r="AB19" s="1144">
        <f>120*V14/250</f>
        <v>15654.24</v>
      </c>
      <c r="AC19" s="1145"/>
    </row>
    <row r="20" spans="15:30" x14ac:dyDescent="0.25">
      <c r="O20" s="1132" t="s">
        <v>12</v>
      </c>
      <c r="P20" s="1133"/>
      <c r="Q20" s="592">
        <f>Q16/100*5</f>
        <v>0.48459424603174606</v>
      </c>
      <c r="R20" s="762">
        <v>5</v>
      </c>
      <c r="T20" s="1132" t="s">
        <v>12</v>
      </c>
      <c r="U20" s="1133"/>
      <c r="V20" s="592">
        <f>V16/100*5</f>
        <v>0.50688194444444445</v>
      </c>
      <c r="W20" s="762">
        <v>5</v>
      </c>
      <c r="Y20" s="1129">
        <f>Y19/1000</f>
        <v>14.965920000000001</v>
      </c>
      <c r="Z20" s="1130"/>
      <c r="AB20" s="1425">
        <f>AB19/1000</f>
        <v>15.65424</v>
      </c>
      <c r="AC20" s="1426"/>
    </row>
    <row r="21" spans="15:30" x14ac:dyDescent="0.25">
      <c r="O21" s="1132" t="s">
        <v>99</v>
      </c>
      <c r="P21" s="1133"/>
      <c r="Q21" s="592">
        <f>Q16/100*15</f>
        <v>1.4537827380952382</v>
      </c>
      <c r="R21" s="762">
        <v>15</v>
      </c>
      <c r="T21" s="1132" t="s">
        <v>99</v>
      </c>
      <c r="U21" s="1133"/>
      <c r="V21" s="592">
        <f>V16/100*15</f>
        <v>1.5206458333333335</v>
      </c>
      <c r="W21" s="762">
        <v>15</v>
      </c>
      <c r="Y21" s="1129">
        <f>Y20*30</f>
        <v>448.9776</v>
      </c>
      <c r="Z21" s="1130"/>
      <c r="AB21" s="1144">
        <f>AB20*31</f>
        <v>485.28143999999998</v>
      </c>
      <c r="AC21" s="1145"/>
    </row>
    <row r="22" spans="15:30" x14ac:dyDescent="0.25">
      <c r="O22" s="1132" t="s">
        <v>100</v>
      </c>
      <c r="P22" s="1133"/>
      <c r="Q22" s="592">
        <f>Q16/100*2</f>
        <v>0.19383769841269843</v>
      </c>
      <c r="R22" s="762">
        <v>2</v>
      </c>
      <c r="T22" s="1132" t="s">
        <v>100</v>
      </c>
      <c r="U22" s="1133"/>
      <c r="V22" s="592">
        <f>V16/100*2</f>
        <v>0.20275277777777778</v>
      </c>
      <c r="W22" s="762">
        <v>2</v>
      </c>
      <c r="Y22" s="1129">
        <f>Y21/100*2</f>
        <v>8.979552</v>
      </c>
      <c r="Z22" s="1130"/>
      <c r="AB22" s="1144"/>
      <c r="AC22" s="1145"/>
    </row>
    <row r="23" spans="15:30" x14ac:dyDescent="0.25">
      <c r="O23" s="1132" t="s">
        <v>101</v>
      </c>
      <c r="P23" s="1133"/>
      <c r="Q23" s="592">
        <f>Q16/100*3</f>
        <v>0.29075654761904768</v>
      </c>
      <c r="R23" s="762">
        <v>3</v>
      </c>
      <c r="T23" s="1132" t="s">
        <v>101</v>
      </c>
      <c r="U23" s="1133"/>
      <c r="V23" s="592">
        <f>V16/100*3</f>
        <v>0.30412916666666667</v>
      </c>
      <c r="W23" s="762">
        <v>3</v>
      </c>
    </row>
    <row r="24" spans="15:30" x14ac:dyDescent="0.25">
      <c r="O24" s="1140" t="s">
        <v>89</v>
      </c>
      <c r="P24" s="1141"/>
      <c r="Q24" s="596">
        <f>SUM(Q17:Q23)</f>
        <v>9.6918849206349211</v>
      </c>
      <c r="R24" s="762">
        <f>SUM(R17:R23)</f>
        <v>100</v>
      </c>
      <c r="T24" s="1140" t="s">
        <v>89</v>
      </c>
      <c r="U24" s="1141"/>
      <c r="V24" s="596">
        <f>SUM(V17:V23)</f>
        <v>10.137638888888889</v>
      </c>
      <c r="W24" s="762">
        <f>SUM(W17:W23)</f>
        <v>100</v>
      </c>
    </row>
    <row r="25" spans="15:30" x14ac:dyDescent="0.25">
      <c r="Q25" s="1142"/>
      <c r="R25" s="1142"/>
    </row>
    <row r="26" spans="15:30" x14ac:dyDescent="0.25">
      <c r="Q26" s="1143"/>
      <c r="R26" s="1143"/>
    </row>
    <row r="27" spans="15:30" x14ac:dyDescent="0.25">
      <c r="P27" s="1121" t="s">
        <v>205</v>
      </c>
      <c r="Q27" s="1121"/>
      <c r="R27" s="1121"/>
      <c r="S27" s="1121"/>
      <c r="T27" s="1121"/>
      <c r="U27" s="1121"/>
      <c r="Y27" s="1121" t="s">
        <v>205</v>
      </c>
      <c r="Z27" s="1121"/>
      <c r="AA27" s="1121"/>
      <c r="AB27" s="1121"/>
    </row>
    <row r="28" spans="15:30" x14ac:dyDescent="0.25">
      <c r="P28" s="1149" t="s">
        <v>136</v>
      </c>
      <c r="Q28" s="1149"/>
      <c r="R28" s="1149"/>
      <c r="S28" s="1149"/>
      <c r="T28" s="1149"/>
      <c r="U28" s="1149"/>
      <c r="Y28" s="1149" t="s">
        <v>137</v>
      </c>
      <c r="Z28" s="1149"/>
      <c r="AA28" s="1149"/>
      <c r="AB28" s="1149"/>
    </row>
    <row r="29" spans="15:30" x14ac:dyDescent="0.25">
      <c r="P29" s="1146" t="s">
        <v>203</v>
      </c>
      <c r="Q29" s="1146"/>
      <c r="R29" s="1146" t="s">
        <v>205</v>
      </c>
      <c r="S29" s="1146"/>
      <c r="T29" s="1146" t="s">
        <v>206</v>
      </c>
      <c r="U29" s="1146"/>
      <c r="Y29" s="1146" t="s">
        <v>203</v>
      </c>
      <c r="Z29" s="1146"/>
      <c r="AA29" s="1146" t="s">
        <v>205</v>
      </c>
      <c r="AB29" s="1146"/>
      <c r="AC29" s="1146" t="s">
        <v>206</v>
      </c>
      <c r="AD29" s="1146"/>
    </row>
    <row r="30" spans="15:30" x14ac:dyDescent="0.25">
      <c r="P30" s="1147" t="s">
        <v>86</v>
      </c>
      <c r="Q30" s="1147"/>
      <c r="R30" s="1148">
        <f>S7</f>
        <v>81.411833333333334</v>
      </c>
      <c r="S30" s="1148"/>
      <c r="T30" s="1148">
        <f>T7</f>
        <v>34.890785714285713</v>
      </c>
      <c r="U30" s="1148"/>
      <c r="V30" s="393"/>
      <c r="Y30" s="1147" t="s">
        <v>86</v>
      </c>
      <c r="Z30" s="1147"/>
      <c r="AA30" s="1148">
        <f>S8</f>
        <v>85.156166666666664</v>
      </c>
      <c r="AB30" s="1148"/>
      <c r="AC30" s="1148">
        <f>T8</f>
        <v>36.4955</v>
      </c>
      <c r="AD30" s="1148"/>
    </row>
    <row r="31" spans="15:30" x14ac:dyDescent="0.25">
      <c r="P31" s="1147" t="s">
        <v>87</v>
      </c>
      <c r="Q31" s="1147"/>
      <c r="R31" s="1148">
        <f>W7</f>
        <v>61.058875000000008</v>
      </c>
      <c r="S31" s="1148"/>
      <c r="T31" s="1148" t="e">
        <f>#REF!:AC59X7</f>
        <v>#REF!</v>
      </c>
      <c r="U31" s="1148"/>
      <c r="V31" s="393"/>
      <c r="Y31" s="1147" t="s">
        <v>87</v>
      </c>
      <c r="Z31" s="1147"/>
      <c r="AA31" s="1148">
        <f>W8</f>
        <v>63.867125000000001</v>
      </c>
      <c r="AB31" s="1148"/>
      <c r="AC31" s="1148">
        <f>X8</f>
        <v>27.371625000000002</v>
      </c>
      <c r="AD31" s="1148"/>
    </row>
    <row r="32" spans="15:30" ht="28.5" customHeight="1" x14ac:dyDescent="0.25">
      <c r="P32" s="1150" t="s">
        <v>201</v>
      </c>
      <c r="Q32" s="1150"/>
      <c r="R32" s="1151">
        <v>8</v>
      </c>
      <c r="S32" s="1152"/>
      <c r="T32" s="1152">
        <v>5</v>
      </c>
      <c r="U32" s="1152"/>
      <c r="Y32" s="1150" t="s">
        <v>201</v>
      </c>
      <c r="Z32" s="1150"/>
      <c r="AA32" s="1152">
        <v>7</v>
      </c>
      <c r="AB32" s="1152"/>
      <c r="AC32" s="1152">
        <v>5</v>
      </c>
      <c r="AD32" s="1152"/>
    </row>
    <row r="33" spans="16:30" x14ac:dyDescent="0.25">
      <c r="P33" s="1147" t="s">
        <v>202</v>
      </c>
      <c r="Q33" s="1147"/>
      <c r="R33" s="1151">
        <v>4</v>
      </c>
      <c r="S33" s="1152"/>
      <c r="T33" s="1152">
        <v>0</v>
      </c>
      <c r="U33" s="1152"/>
      <c r="Y33" s="1147" t="s">
        <v>202</v>
      </c>
      <c r="Z33" s="1147"/>
      <c r="AA33" s="1152">
        <v>3</v>
      </c>
      <c r="AB33" s="1152"/>
      <c r="AC33" s="1152">
        <v>0</v>
      </c>
      <c r="AD33" s="1152"/>
    </row>
    <row r="34" spans="16:30" x14ac:dyDescent="0.25">
      <c r="P34" s="1147" t="s">
        <v>90</v>
      </c>
      <c r="Q34" s="1147"/>
      <c r="R34" s="1153">
        <f>R35-R32-R33</f>
        <v>50.842905059523815</v>
      </c>
      <c r="S34" s="1154"/>
      <c r="T34" s="1153">
        <f>T35-T32-T33</f>
        <v>36.925662053571429</v>
      </c>
      <c r="U34" s="1154"/>
      <c r="Y34" s="1155" t="s">
        <v>90</v>
      </c>
      <c r="Z34" s="1156"/>
      <c r="AA34" s="1153">
        <f>AA35-AA32-AA33</f>
        <v>55.457252083333344</v>
      </c>
      <c r="AB34" s="1157"/>
      <c r="AC34" s="1153">
        <f>AC35-AC33-AC32</f>
        <v>38.660759375000005</v>
      </c>
      <c r="AD34" s="1154"/>
    </row>
    <row r="35" spans="16:30" ht="19.5" customHeight="1" x14ac:dyDescent="0.25">
      <c r="P35" s="1147" t="s">
        <v>90</v>
      </c>
      <c r="Q35" s="1147"/>
      <c r="R35" s="1161">
        <f>SUM(AA7,AC7,AN7,AV7)</f>
        <v>62.842905059523815</v>
      </c>
      <c r="S35" s="1162"/>
      <c r="T35" s="1161">
        <f>SUM(AB7,AD7,AO7)</f>
        <v>41.925662053571429</v>
      </c>
      <c r="U35" s="1162"/>
      <c r="Y35" s="1147" t="s">
        <v>90</v>
      </c>
      <c r="Z35" s="1147"/>
      <c r="AA35" s="1161">
        <f>SUM(AA8,AC8,AN8,AV8)</f>
        <v>65.457252083333344</v>
      </c>
      <c r="AB35" s="1162"/>
      <c r="AC35" s="1161">
        <f>SUM(AB8,AD8,AO8)</f>
        <v>43.660759375000005</v>
      </c>
      <c r="AD35" s="1162"/>
    </row>
    <row r="36" spans="16:30" x14ac:dyDescent="0.25">
      <c r="P36" s="1159"/>
      <c r="Q36" s="1159"/>
      <c r="R36" s="1160">
        <f>SUM(R30:S34)</f>
        <v>205.31361339285715</v>
      </c>
      <c r="S36" s="1160"/>
      <c r="T36" s="1160" t="e">
        <f>SUM(T30,T31,T32,T33,T34)</f>
        <v>#REF!</v>
      </c>
      <c r="U36" s="1160"/>
      <c r="V36" s="393"/>
      <c r="Y36" s="1159"/>
      <c r="Z36" s="1159"/>
      <c r="AA36" s="1160">
        <f>SUM(AA30:AB34)</f>
        <v>214.48054375000001</v>
      </c>
      <c r="AB36" s="1160"/>
      <c r="AC36" s="1160">
        <f>SUM(AC30,AC31,AC32,AC33,AC34)</f>
        <v>107.52788437500001</v>
      </c>
      <c r="AD36" s="1160"/>
    </row>
    <row r="37" spans="16:30" x14ac:dyDescent="0.25">
      <c r="R37" s="1158"/>
      <c r="S37" s="1158"/>
      <c r="V37" s="393"/>
    </row>
    <row r="38" spans="16:30" x14ac:dyDescent="0.25">
      <c r="V38" s="393"/>
    </row>
    <row r="44" spans="16:30" x14ac:dyDescent="0.25">
      <c r="Q44" s="617" t="s">
        <v>203</v>
      </c>
      <c r="R44" s="618" t="s">
        <v>228</v>
      </c>
      <c r="S44" s="618" t="s">
        <v>205</v>
      </c>
      <c r="T44" s="618" t="s">
        <v>206</v>
      </c>
      <c r="U44" s="617" t="s">
        <v>207</v>
      </c>
    </row>
    <row r="45" spans="16:30" x14ac:dyDescent="0.25">
      <c r="Q45" s="619" t="s">
        <v>90</v>
      </c>
      <c r="R45" s="620">
        <v>0</v>
      </c>
      <c r="S45" s="620">
        <v>55</v>
      </c>
      <c r="T45" s="620">
        <v>39</v>
      </c>
      <c r="U45" s="619">
        <v>720.28599999999994</v>
      </c>
    </row>
    <row r="46" spans="16:30" x14ac:dyDescent="0.25">
      <c r="Q46" s="619" t="s">
        <v>86</v>
      </c>
      <c r="R46" s="620">
        <v>0</v>
      </c>
      <c r="S46" s="620">
        <v>85</v>
      </c>
      <c r="T46" s="620">
        <v>36</v>
      </c>
      <c r="U46" s="619">
        <v>2.7</v>
      </c>
    </row>
    <row r="47" spans="16:30" x14ac:dyDescent="0.25">
      <c r="Q47" s="619" t="s">
        <v>87</v>
      </c>
      <c r="R47" s="620">
        <v>0</v>
      </c>
      <c r="S47" s="620">
        <v>64</v>
      </c>
      <c r="T47" s="620">
        <v>27</v>
      </c>
      <c r="U47" s="619">
        <v>1.7</v>
      </c>
    </row>
    <row r="48" spans="16:30" x14ac:dyDescent="0.25">
      <c r="Q48" s="619" t="s">
        <v>201</v>
      </c>
      <c r="R48" s="620">
        <v>0</v>
      </c>
      <c r="S48" s="620">
        <v>7</v>
      </c>
      <c r="T48" s="620">
        <v>5</v>
      </c>
      <c r="U48" s="619">
        <v>0.08</v>
      </c>
    </row>
    <row r="49" spans="17:21" x14ac:dyDescent="0.25">
      <c r="Q49" s="619" t="s">
        <v>202</v>
      </c>
      <c r="R49" s="620">
        <v>0</v>
      </c>
      <c r="S49" s="620">
        <v>3</v>
      </c>
      <c r="T49" s="620">
        <v>0</v>
      </c>
      <c r="U49" s="619">
        <v>0.05</v>
      </c>
    </row>
    <row r="50" spans="17:21" x14ac:dyDescent="0.25">
      <c r="R50">
        <f>SUM(R45:R49)</f>
        <v>0</v>
      </c>
      <c r="S50">
        <f t="shared" ref="S50:U50" si="2">SUM(S45:S49)</f>
        <v>214</v>
      </c>
      <c r="T50">
        <f t="shared" si="2"/>
        <v>107</v>
      </c>
      <c r="U50">
        <f t="shared" si="2"/>
        <v>724.81600000000003</v>
      </c>
    </row>
  </sheetData>
  <mergeCells count="123">
    <mergeCell ref="R37:S37"/>
    <mergeCell ref="P36:Q36"/>
    <mergeCell ref="R36:S36"/>
    <mergeCell ref="T36:U36"/>
    <mergeCell ref="Y36:Z36"/>
    <mergeCell ref="AA36:AB36"/>
    <mergeCell ref="AC36:AD36"/>
    <mergeCell ref="P35:Q35"/>
    <mergeCell ref="R35:S35"/>
    <mergeCell ref="T35:U35"/>
    <mergeCell ref="Y35:Z35"/>
    <mergeCell ref="AA35:AB35"/>
    <mergeCell ref="AC35:AD35"/>
    <mergeCell ref="P34:Q34"/>
    <mergeCell ref="R34:S34"/>
    <mergeCell ref="T34:U34"/>
    <mergeCell ref="Y34:Z34"/>
    <mergeCell ref="AA34:AB34"/>
    <mergeCell ref="AC34:AD34"/>
    <mergeCell ref="P33:Q33"/>
    <mergeCell ref="R33:S33"/>
    <mergeCell ref="T33:U33"/>
    <mergeCell ref="Y33:Z33"/>
    <mergeCell ref="AA33:AB33"/>
    <mergeCell ref="AC33:AD33"/>
    <mergeCell ref="P32:Q32"/>
    <mergeCell ref="R32:S32"/>
    <mergeCell ref="T32:U32"/>
    <mergeCell ref="Y32:Z32"/>
    <mergeCell ref="AA32:AB32"/>
    <mergeCell ref="AC32:AD32"/>
    <mergeCell ref="P31:Q31"/>
    <mergeCell ref="R31:S31"/>
    <mergeCell ref="T31:U31"/>
    <mergeCell ref="Y31:Z31"/>
    <mergeCell ref="AA31:AB31"/>
    <mergeCell ref="AC31:AD31"/>
    <mergeCell ref="AC29:AD29"/>
    <mergeCell ref="P30:Q30"/>
    <mergeCell ref="R30:S30"/>
    <mergeCell ref="T30:U30"/>
    <mergeCell ref="Y30:Z30"/>
    <mergeCell ref="AA30:AB30"/>
    <mergeCell ref="AC30:AD30"/>
    <mergeCell ref="P27:U27"/>
    <mergeCell ref="Y27:AB27"/>
    <mergeCell ref="P28:U28"/>
    <mergeCell ref="Y28:AB28"/>
    <mergeCell ref="P29:Q29"/>
    <mergeCell ref="R29:S29"/>
    <mergeCell ref="T29:U29"/>
    <mergeCell ref="Y29:Z29"/>
    <mergeCell ref="AA29:AB29"/>
    <mergeCell ref="O23:P23"/>
    <mergeCell ref="T23:U23"/>
    <mergeCell ref="O24:P24"/>
    <mergeCell ref="T24:U24"/>
    <mergeCell ref="Q25:Q26"/>
    <mergeCell ref="R25:R26"/>
    <mergeCell ref="O21:P21"/>
    <mergeCell ref="T21:U21"/>
    <mergeCell ref="Y21:Z21"/>
    <mergeCell ref="AB21:AC21"/>
    <mergeCell ref="O22:P22"/>
    <mergeCell ref="T22:U22"/>
    <mergeCell ref="Y22:Z22"/>
    <mergeCell ref="AB22:AC22"/>
    <mergeCell ref="O19:P19"/>
    <mergeCell ref="T19:U19"/>
    <mergeCell ref="Y19:Z19"/>
    <mergeCell ref="AB19:AC19"/>
    <mergeCell ref="O20:P20"/>
    <mergeCell ref="T20:U20"/>
    <mergeCell ref="Y20:Z20"/>
    <mergeCell ref="AB20:AC20"/>
    <mergeCell ref="O17:P17"/>
    <mergeCell ref="T17:U17"/>
    <mergeCell ref="AB17:AC17"/>
    <mergeCell ref="O18:P18"/>
    <mergeCell ref="T18:U18"/>
    <mergeCell ref="Y18:Z18"/>
    <mergeCell ref="AB18:AC18"/>
    <mergeCell ref="O15:P15"/>
    <mergeCell ref="T15:U15"/>
    <mergeCell ref="Y15:Z15"/>
    <mergeCell ref="AB15:AC15"/>
    <mergeCell ref="O16:P16"/>
    <mergeCell ref="T16:U16"/>
    <mergeCell ref="Y16:Z16"/>
    <mergeCell ref="AB16:AC16"/>
    <mergeCell ref="O13:R13"/>
    <mergeCell ref="T13:W13"/>
    <mergeCell ref="Y13:Z13"/>
    <mergeCell ref="AB13:AC13"/>
    <mergeCell ref="O14:P14"/>
    <mergeCell ref="T14:U14"/>
    <mergeCell ref="Y14:Z14"/>
    <mergeCell ref="AB14:AC14"/>
    <mergeCell ref="BM1:BN1"/>
    <mergeCell ref="BO1:BP1"/>
    <mergeCell ref="BQ1:BR1"/>
    <mergeCell ref="BS1:BT1"/>
    <mergeCell ref="BU1:BV1"/>
    <mergeCell ref="O12:R12"/>
    <mergeCell ref="T12:W12"/>
    <mergeCell ref="AC1:AD1"/>
    <mergeCell ref="AE1:AL1"/>
    <mergeCell ref="AM1:AQ1"/>
    <mergeCell ref="AR1:AT1"/>
    <mergeCell ref="AU1:BC1"/>
    <mergeCell ref="BD1:BL1"/>
    <mergeCell ref="M1:M2"/>
    <mergeCell ref="N1:N2"/>
    <mergeCell ref="O1:Q1"/>
    <mergeCell ref="R1:U1"/>
    <mergeCell ref="V1:Y1"/>
    <mergeCell ref="Z1:AB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8"/>
  <sheetViews>
    <sheetView topLeftCell="P4" workbookViewId="0">
      <selection activeCell="P10" sqref="A1:XFD1048576"/>
    </sheetView>
  </sheetViews>
  <sheetFormatPr defaultRowHeight="15" x14ac:dyDescent="0.25"/>
  <cols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788" t="s">
        <v>17</v>
      </c>
      <c r="R2" s="788" t="s">
        <v>18</v>
      </c>
      <c r="S2" s="788" t="s">
        <v>19</v>
      </c>
      <c r="T2" s="789" t="s">
        <v>20</v>
      </c>
      <c r="U2" s="789" t="s">
        <v>21</v>
      </c>
      <c r="V2" s="789" t="s">
        <v>22</v>
      </c>
      <c r="W2" s="789" t="s">
        <v>23</v>
      </c>
      <c r="X2" s="785" t="s">
        <v>24</v>
      </c>
      <c r="Y2" s="785" t="s">
        <v>25</v>
      </c>
      <c r="Z2" s="785" t="s">
        <v>26</v>
      </c>
      <c r="AA2" s="785" t="s">
        <v>27</v>
      </c>
      <c r="AB2" s="786" t="s">
        <v>28</v>
      </c>
      <c r="AC2" s="786" t="s">
        <v>29</v>
      </c>
      <c r="AD2" s="786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793" t="s">
        <v>31</v>
      </c>
      <c r="AJ2" s="793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774" t="s">
        <v>102</v>
      </c>
      <c r="AT2" s="774" t="s">
        <v>103</v>
      </c>
      <c r="AU2" s="774" t="s">
        <v>104</v>
      </c>
      <c r="AV2" s="774" t="s">
        <v>105</v>
      </c>
      <c r="AW2" s="774" t="s">
        <v>106</v>
      </c>
      <c r="AX2" s="775" t="s">
        <v>107</v>
      </c>
      <c r="AY2" s="775" t="s">
        <v>108</v>
      </c>
      <c r="AZ2" s="775" t="s">
        <v>109</v>
      </c>
      <c r="BA2" s="775" t="s">
        <v>110</v>
      </c>
      <c r="BB2" s="775" t="s">
        <v>111</v>
      </c>
      <c r="BC2" s="775" t="s">
        <v>112</v>
      </c>
      <c r="BD2" s="775" t="s">
        <v>113</v>
      </c>
      <c r="BE2" s="775" t="s">
        <v>114</v>
      </c>
      <c r="BF2" s="775" t="s">
        <v>115</v>
      </c>
      <c r="BG2" s="729" t="s">
        <v>116</v>
      </c>
      <c r="BH2" s="730" t="s">
        <v>117</v>
      </c>
      <c r="BI2" s="775" t="s">
        <v>118</v>
      </c>
      <c r="BJ2" s="794" t="s">
        <v>14</v>
      </c>
      <c r="BK2" s="794" t="s">
        <v>167</v>
      </c>
      <c r="BL2" s="794" t="s">
        <v>39</v>
      </c>
      <c r="BM2" s="794" t="s">
        <v>40</v>
      </c>
      <c r="BN2" s="794" t="s">
        <v>41</v>
      </c>
      <c r="BO2" s="794" t="s">
        <v>43</v>
      </c>
      <c r="BP2" s="794" t="s">
        <v>44</v>
      </c>
      <c r="BQ2" s="794" t="s">
        <v>46</v>
      </c>
      <c r="BR2" s="790" t="s">
        <v>47</v>
      </c>
      <c r="BS2" s="790" t="s">
        <v>48</v>
      </c>
      <c r="BT2" s="774" t="s">
        <v>49</v>
      </c>
      <c r="BU2" s="774" t="s">
        <v>50</v>
      </c>
      <c r="BV2" s="790" t="s">
        <v>131</v>
      </c>
      <c r="BW2" s="790" t="s">
        <v>132</v>
      </c>
      <c r="BX2" s="791" t="s">
        <v>172</v>
      </c>
      <c r="BY2" s="791" t="s">
        <v>173</v>
      </c>
      <c r="BZ2" s="792" t="s">
        <v>216</v>
      </c>
      <c r="CA2" s="792" t="s">
        <v>217</v>
      </c>
    </row>
    <row r="3" spans="1:79" ht="90.75" thickBot="1" x14ac:dyDescent="0.3">
      <c r="A3" s="787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791" t="s">
        <v>120</v>
      </c>
      <c r="BY3" s="791" t="s">
        <v>174</v>
      </c>
      <c r="BZ3" s="792" t="s">
        <v>120</v>
      </c>
      <c r="CA3" s="792" t="s">
        <v>222</v>
      </c>
    </row>
    <row r="4" spans="1:79" ht="31.5" x14ac:dyDescent="0.25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777">
        <v>28960</v>
      </c>
      <c r="Q4" s="438">
        <f>SUM(T4,X4,AB4,AS4,AX4,BA4)</f>
        <v>9.3052405753968284</v>
      </c>
      <c r="R4" s="438">
        <f>SUM(U4,Y4,AC4,AI4,AT4,BB4)</f>
        <v>6.9144656994047633</v>
      </c>
      <c r="S4" s="438">
        <f>SUM(V4,Z4,AD4,AJ4,AU4)</f>
        <v>3.4678478794642862</v>
      </c>
      <c r="T4" s="453">
        <f>S17</f>
        <v>3.9179960317460321</v>
      </c>
      <c r="U4" s="453">
        <f>T4/100*70</f>
        <v>2.7425972222222224</v>
      </c>
      <c r="V4" s="453">
        <f>T4/100*30</f>
        <v>1.1753988095238097</v>
      </c>
      <c r="W4" s="453">
        <v>0</v>
      </c>
      <c r="X4" s="454">
        <f>S18</f>
        <v>2.938497023809524</v>
      </c>
      <c r="Y4" s="454">
        <f>X4/100*70</f>
        <v>2.0569479166666671</v>
      </c>
      <c r="Z4" s="454">
        <f>X4/100*30</f>
        <v>0.88154910714285728</v>
      </c>
      <c r="AA4" s="454">
        <v>0</v>
      </c>
      <c r="AB4" s="455">
        <f>S19</f>
        <v>0.48974950396825401</v>
      </c>
      <c r="AC4" s="455">
        <f>AB4/100*70</f>
        <v>0.34282465277777779</v>
      </c>
      <c r="AD4" s="455">
        <f>AB4/100*30</f>
        <v>0.14692485119047621</v>
      </c>
      <c r="AE4" s="201">
        <v>0</v>
      </c>
      <c r="AF4" s="823">
        <v>0</v>
      </c>
      <c r="AG4" s="823">
        <v>0</v>
      </c>
      <c r="AH4" s="823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1.469248511904762</v>
      </c>
      <c r="AT4" s="457">
        <f>AS4/100*90</f>
        <v>1.3223236607142859</v>
      </c>
      <c r="AU4" s="457">
        <f>AT4/100*85</f>
        <v>1.123975111607143</v>
      </c>
      <c r="AV4" s="457">
        <v>0</v>
      </c>
      <c r="AW4" s="457">
        <v>0</v>
      </c>
      <c r="AX4" s="458">
        <f>S22</f>
        <v>0.19589980158730161</v>
      </c>
      <c r="AY4" s="469">
        <v>4</v>
      </c>
      <c r="AZ4" s="459" t="s">
        <v>65</v>
      </c>
      <c r="BA4" s="460">
        <f>S23</f>
        <v>0.29384970238095243</v>
      </c>
      <c r="BB4" s="458">
        <f>BA4/100*85</f>
        <v>0.24977224702380957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1.1753988095238097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776" t="s">
        <v>67</v>
      </c>
      <c r="CA4" s="776" t="s">
        <v>223</v>
      </c>
    </row>
    <row r="5" spans="1:79" ht="31.5" x14ac:dyDescent="0.25">
      <c r="A5" s="50">
        <v>50</v>
      </c>
      <c r="B5" s="773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9.7332118055555554</v>
      </c>
      <c r="R5" s="438">
        <f>SUM(U5,Y5,AC5,AI5,AT5,BB5)</f>
        <v>7.2232807291666674</v>
      </c>
      <c r="S5" s="438">
        <f>SUM(V5,Z5,AD5,AJ5,AU5)</f>
        <v>3.6209039062500001</v>
      </c>
      <c r="T5" s="453">
        <f>X17</f>
        <v>4.0981944444444443</v>
      </c>
      <c r="U5" s="453">
        <f>T5/100*70</f>
        <v>2.8687361111111112</v>
      </c>
      <c r="V5" s="453">
        <f>T5/100*30</f>
        <v>1.2294583333333333</v>
      </c>
      <c r="W5" s="345">
        <v>0</v>
      </c>
      <c r="X5" s="454">
        <f>X18</f>
        <v>3.0736458333333334</v>
      </c>
      <c r="Y5" s="454">
        <f>X5/100*70</f>
        <v>2.1515520833333333</v>
      </c>
      <c r="Z5" s="454">
        <f>X5/100*30</f>
        <v>0.92209375000000005</v>
      </c>
      <c r="AA5" s="346">
        <v>0</v>
      </c>
      <c r="AB5" s="455">
        <f>X19</f>
        <v>0.51227430555555553</v>
      </c>
      <c r="AC5" s="455">
        <f>AB5/100*70</f>
        <v>0.35859201388888889</v>
      </c>
      <c r="AD5" s="455">
        <f>AB5/100*30</f>
        <v>0.15368229166666666</v>
      </c>
      <c r="AE5" s="250">
        <v>0</v>
      </c>
      <c r="AF5" s="823">
        <v>0</v>
      </c>
      <c r="AG5" s="823">
        <v>0</v>
      </c>
      <c r="AH5" s="823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1.5368229166666667</v>
      </c>
      <c r="AT5" s="457">
        <f>AS5/100*90</f>
        <v>1.383140625</v>
      </c>
      <c r="AU5" s="457">
        <f>AT5/100*85</f>
        <v>1.1756695312500001</v>
      </c>
      <c r="AV5" s="349">
        <v>0</v>
      </c>
      <c r="AW5" s="349">
        <v>0</v>
      </c>
      <c r="AX5" s="458">
        <f>X22</f>
        <v>0.20490972222222223</v>
      </c>
      <c r="AY5" s="350">
        <v>1</v>
      </c>
      <c r="AZ5" s="459" t="s">
        <v>65</v>
      </c>
      <c r="BA5" s="458">
        <f>X23</f>
        <v>0.30736458333333333</v>
      </c>
      <c r="BB5" s="824">
        <f>BA5/100*85</f>
        <v>0.26125989583333331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1.2294583333333333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776" t="s">
        <v>67</v>
      </c>
      <c r="CA5" s="776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31.5" x14ac:dyDescent="0.25">
      <c r="A7" s="50">
        <v>60</v>
      </c>
      <c r="B7" s="773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778">
        <f t="shared" si="0"/>
        <v>28960</v>
      </c>
      <c r="Q7" s="394">
        <f>SUM(T7,X7,AB7,AS7,AX7,BA7)</f>
        <v>279.1572172619048</v>
      </c>
      <c r="R7" s="394">
        <f>SUM(U7,Y7,AC7,AI7,AT7,BB7)</f>
        <v>207.43397098214285</v>
      </c>
      <c r="S7" s="394">
        <f>SUM(V7,Z7,AD7,AJ7,AU7)</f>
        <v>104.03543638392858</v>
      </c>
      <c r="T7" s="527">
        <f>T4*30</f>
        <v>117.53988095238097</v>
      </c>
      <c r="U7" s="527">
        <f t="shared" ref="U7:AD8" si="1">U4*30</f>
        <v>82.27791666666667</v>
      </c>
      <c r="V7" s="527">
        <f t="shared" si="1"/>
        <v>35.261964285714292</v>
      </c>
      <c r="W7" s="527">
        <f t="shared" si="1"/>
        <v>0</v>
      </c>
      <c r="X7" s="527">
        <f t="shared" si="1"/>
        <v>88.15491071428572</v>
      </c>
      <c r="Y7" s="527">
        <f t="shared" si="1"/>
        <v>61.708437500000016</v>
      </c>
      <c r="Z7" s="527">
        <f t="shared" si="1"/>
        <v>26.446473214285717</v>
      </c>
      <c r="AA7" s="527">
        <f t="shared" si="1"/>
        <v>0</v>
      </c>
      <c r="AB7" s="527">
        <f t="shared" si="1"/>
        <v>14.692485119047621</v>
      </c>
      <c r="AC7" s="527">
        <f t="shared" si="1"/>
        <v>10.284739583333334</v>
      </c>
      <c r="AD7" s="527">
        <f t="shared" si="1"/>
        <v>4.4077455357142865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44.07745535714286</v>
      </c>
      <c r="AT7" s="682">
        <f t="shared" ref="AT7:BB8" si="2">AT4*30</f>
        <v>39.669709821428576</v>
      </c>
      <c r="AU7" s="682">
        <f t="shared" si="2"/>
        <v>33.719253348214288</v>
      </c>
      <c r="AV7" s="682">
        <f t="shared" si="2"/>
        <v>0</v>
      </c>
      <c r="AW7" s="682">
        <f t="shared" si="2"/>
        <v>0</v>
      </c>
      <c r="AX7" s="682">
        <f t="shared" si="2"/>
        <v>5.8769940476190481</v>
      </c>
      <c r="AY7" s="682">
        <f t="shared" si="2"/>
        <v>120</v>
      </c>
      <c r="AZ7" s="682" t="e">
        <f t="shared" si="2"/>
        <v>#VALUE!</v>
      </c>
      <c r="BA7" s="682">
        <f t="shared" si="2"/>
        <v>8.815491071428573</v>
      </c>
      <c r="BB7" s="682">
        <f t="shared" si="2"/>
        <v>7.4931674107142872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776" t="s">
        <v>67</v>
      </c>
      <c r="CA7" s="776" t="s">
        <v>223</v>
      </c>
    </row>
    <row r="8" spans="1:79" ht="31.5" x14ac:dyDescent="0.25">
      <c r="A8" s="50">
        <v>50</v>
      </c>
      <c r="B8" s="773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291.99635416666666</v>
      </c>
      <c r="R8" s="394">
        <f>SUM(U8,Y8,AC8,AI8,AT8,BB8)</f>
        <v>216.69842187499998</v>
      </c>
      <c r="S8" s="394">
        <f>SUM(V8,Z8,AD8,AJ8,AU8)</f>
        <v>108.62711718749999</v>
      </c>
      <c r="T8" s="527">
        <f>T5*30</f>
        <v>122.94583333333333</v>
      </c>
      <c r="U8" s="527">
        <f t="shared" si="1"/>
        <v>86.062083333333334</v>
      </c>
      <c r="V8" s="527">
        <f t="shared" si="1"/>
        <v>36.883749999999999</v>
      </c>
      <c r="W8" s="527">
        <f t="shared" si="1"/>
        <v>0</v>
      </c>
      <c r="X8" s="527">
        <f t="shared" si="1"/>
        <v>92.209375000000009</v>
      </c>
      <c r="Y8" s="527">
        <f t="shared" si="1"/>
        <v>64.546562499999993</v>
      </c>
      <c r="Z8" s="527">
        <f t="shared" si="1"/>
        <v>27.662812500000001</v>
      </c>
      <c r="AA8" s="527">
        <f t="shared" si="1"/>
        <v>0</v>
      </c>
      <c r="AB8" s="527">
        <f t="shared" si="1"/>
        <v>15.368229166666666</v>
      </c>
      <c r="AC8" s="527">
        <f t="shared" si="1"/>
        <v>10.757760416666667</v>
      </c>
      <c r="AD8" s="527">
        <f t="shared" si="1"/>
        <v>4.6104687499999999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46.104687500000004</v>
      </c>
      <c r="AT8" s="682">
        <f t="shared" si="2"/>
        <v>41.494218750000002</v>
      </c>
      <c r="AU8" s="682">
        <f t="shared" si="2"/>
        <v>35.270085937499999</v>
      </c>
      <c r="AV8" s="682">
        <f t="shared" si="2"/>
        <v>0</v>
      </c>
      <c r="AW8" s="682">
        <f t="shared" si="2"/>
        <v>0</v>
      </c>
      <c r="AX8" s="682">
        <f t="shared" si="2"/>
        <v>6.1472916666666668</v>
      </c>
      <c r="AY8" s="682">
        <f t="shared" si="2"/>
        <v>30</v>
      </c>
      <c r="AZ8" s="682" t="e">
        <f t="shared" si="2"/>
        <v>#VALUE!</v>
      </c>
      <c r="BA8" s="682">
        <f t="shared" si="2"/>
        <v>9.2209374999999998</v>
      </c>
      <c r="BB8" s="682">
        <f t="shared" si="2"/>
        <v>7.8377968749999996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776" t="s">
        <v>67</v>
      </c>
      <c r="CA8" s="776" t="s">
        <v>224</v>
      </c>
    </row>
    <row r="9" spans="1:79" x14ac:dyDescent="0.25">
      <c r="R9" s="393">
        <f>R7+R8</f>
        <v>424.1323928571428</v>
      </c>
      <c r="S9" s="393">
        <f>S7+S8</f>
        <v>212.66255357142859</v>
      </c>
    </row>
    <row r="10" spans="1:79" x14ac:dyDescent="0.25">
      <c r="P10" s="1059">
        <v>45444</v>
      </c>
    </row>
    <row r="12" spans="1:79" x14ac:dyDescent="0.25"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780">
        <v>31179</v>
      </c>
      <c r="T14" s="780"/>
      <c r="V14" s="1127" t="s">
        <v>192</v>
      </c>
      <c r="W14" s="1128"/>
      <c r="X14" s="780">
        <v>32613</v>
      </c>
      <c r="Y14" s="780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780">
        <v>285</v>
      </c>
      <c r="T15" s="780" t="s">
        <v>227</v>
      </c>
      <c r="V15" s="1127" t="s">
        <v>193</v>
      </c>
      <c r="W15" s="1128"/>
      <c r="X15" s="780">
        <v>285</v>
      </c>
      <c r="Y15" s="780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9.7949900793650801</v>
      </c>
      <c r="T16" s="780"/>
      <c r="V16" s="1127" t="s">
        <v>195</v>
      </c>
      <c r="W16" s="1128"/>
      <c r="X16" s="596">
        <f>X14*X15/907200</f>
        <v>10.245486111111111</v>
      </c>
      <c r="Y16" s="780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3.9179960317460321</v>
      </c>
      <c r="T17" s="780">
        <v>40</v>
      </c>
      <c r="V17" s="1132" t="s">
        <v>9</v>
      </c>
      <c r="W17" s="1133"/>
      <c r="X17" s="592">
        <f>X16/100*40</f>
        <v>4.0981944444444443</v>
      </c>
      <c r="Y17" s="780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2.938497023809524</v>
      </c>
      <c r="T18" s="780">
        <v>30</v>
      </c>
      <c r="V18" s="1132" t="s">
        <v>10</v>
      </c>
      <c r="W18" s="1133"/>
      <c r="X18" s="592">
        <f>X16/100*30</f>
        <v>3.0736458333333334</v>
      </c>
      <c r="Y18" s="780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0.48974950396825401</v>
      </c>
      <c r="T19" s="780">
        <v>5</v>
      </c>
      <c r="V19" s="1132" t="s">
        <v>11</v>
      </c>
      <c r="W19" s="1133"/>
      <c r="X19" s="592">
        <f>X16/100*5</f>
        <v>0.51227430555555553</v>
      </c>
      <c r="Y19" s="780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0.48974950396825401</v>
      </c>
      <c r="T20" s="780">
        <v>5</v>
      </c>
      <c r="V20" s="1132" t="s">
        <v>12</v>
      </c>
      <c r="W20" s="1133"/>
      <c r="X20" s="592">
        <f>X16/100*5</f>
        <v>0.51227430555555553</v>
      </c>
      <c r="Y20" s="780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1.469248511904762</v>
      </c>
      <c r="T21" s="780">
        <v>15</v>
      </c>
      <c r="V21" s="1132" t="s">
        <v>99</v>
      </c>
      <c r="W21" s="1133"/>
      <c r="X21" s="592">
        <f>X16/100*15</f>
        <v>1.5368229166666667</v>
      </c>
      <c r="Y21" s="780">
        <v>15</v>
      </c>
      <c r="AA21" s="1129">
        <f>AA20*30</f>
        <v>448.9776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0.19589980158730161</v>
      </c>
      <c r="T22" s="780">
        <v>2</v>
      </c>
      <c r="V22" s="1132" t="s">
        <v>100</v>
      </c>
      <c r="W22" s="1133"/>
      <c r="X22" s="592">
        <f>X16/100*2</f>
        <v>0.20490972222222223</v>
      </c>
      <c r="Y22" s="780">
        <v>2</v>
      </c>
      <c r="AA22" s="1129">
        <f>AA21/100*3</f>
        <v>13.469328000000001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0.29384970238095243</v>
      </c>
      <c r="T23" s="780">
        <v>3</v>
      </c>
      <c r="V23" s="1132" t="s">
        <v>101</v>
      </c>
      <c r="W23" s="1133"/>
      <c r="X23" s="592">
        <f>X16/100*3</f>
        <v>0.30736458333333333</v>
      </c>
      <c r="Y23" s="780">
        <v>3</v>
      </c>
    </row>
    <row r="24" spans="17:35" x14ac:dyDescent="0.25">
      <c r="Q24" s="1140" t="s">
        <v>89</v>
      </c>
      <c r="R24" s="1141"/>
      <c r="S24" s="596">
        <f>SUM(S17:S23)</f>
        <v>9.7949900793650819</v>
      </c>
      <c r="T24" s="780">
        <f>SUM(T17:T23)</f>
        <v>100</v>
      </c>
      <c r="V24" s="1140" t="s">
        <v>89</v>
      </c>
      <c r="W24" s="1141"/>
      <c r="X24" s="596">
        <f>SUM(X17:X23)</f>
        <v>10.245486111111111</v>
      </c>
      <c r="Y24" s="780">
        <f>SUM(Y17:Y23)</f>
        <v>100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781"/>
      <c r="AH29" s="781"/>
    </row>
    <row r="30" spans="17:35" x14ac:dyDescent="0.25">
      <c r="R30" s="1147" t="s">
        <v>86</v>
      </c>
      <c r="S30" s="1147"/>
      <c r="T30" s="1148">
        <f>U7</f>
        <v>82.27791666666667</v>
      </c>
      <c r="U30" s="1148"/>
      <c r="V30" s="1148">
        <f>V7</f>
        <v>35.261964285714292</v>
      </c>
      <c r="W30" s="1148"/>
      <c r="X30" s="393"/>
      <c r="AA30" s="1147" t="s">
        <v>86</v>
      </c>
      <c r="AB30" s="1147"/>
      <c r="AC30" s="1148">
        <f>U8</f>
        <v>86.062083333333334</v>
      </c>
      <c r="AD30" s="1148"/>
      <c r="AE30" s="1148">
        <f>V8</f>
        <v>36.883749999999999</v>
      </c>
      <c r="AF30" s="1148"/>
      <c r="AG30" s="779"/>
      <c r="AH30" s="779"/>
    </row>
    <row r="31" spans="17:35" x14ac:dyDescent="0.25">
      <c r="R31" s="1147" t="s">
        <v>87</v>
      </c>
      <c r="S31" s="1147"/>
      <c r="T31" s="1148">
        <f>Y7</f>
        <v>61.708437500000016</v>
      </c>
      <c r="U31" s="1148"/>
      <c r="V31" s="1148">
        <f>Z7</f>
        <v>26.446473214285717</v>
      </c>
      <c r="W31" s="1148"/>
      <c r="X31" s="393"/>
      <c r="AA31" s="1147" t="s">
        <v>87</v>
      </c>
      <c r="AB31" s="1147"/>
      <c r="AC31" s="1148">
        <f>Y8</f>
        <v>64.546562499999993</v>
      </c>
      <c r="AD31" s="1148"/>
      <c r="AE31" s="1148">
        <f>Z8</f>
        <v>27.662812500000001</v>
      </c>
      <c r="AF31" s="1148"/>
      <c r="AG31" s="779"/>
      <c r="AH31" s="779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782"/>
      <c r="AH32" s="782"/>
    </row>
    <row r="33" spans="18:34" x14ac:dyDescent="0.25">
      <c r="R33" s="1147" t="s">
        <v>202</v>
      </c>
      <c r="S33" s="1147"/>
      <c r="T33" s="1151">
        <v>4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782"/>
      <c r="AH33" s="782"/>
    </row>
    <row r="34" spans="18:34" x14ac:dyDescent="0.25">
      <c r="R34" s="1147" t="s">
        <v>90</v>
      </c>
      <c r="S34" s="1147"/>
      <c r="T34" s="1153">
        <f>T35-T32-T33</f>
        <v>51.447616815476195</v>
      </c>
      <c r="U34" s="1154"/>
      <c r="V34" s="1153">
        <f>V35-V32-V33</f>
        <v>37.326998883928574</v>
      </c>
      <c r="W34" s="1154"/>
      <c r="AA34" s="1155" t="s">
        <v>90</v>
      </c>
      <c r="AB34" s="1156"/>
      <c r="AC34" s="1153">
        <f>AC35-AC32-AC33</f>
        <v>56.089776041666667</v>
      </c>
      <c r="AD34" s="1157"/>
      <c r="AE34" s="1153">
        <f>AE35-AE33-AE32</f>
        <v>39.080554687499998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63.447616815476195</v>
      </c>
      <c r="U35" s="1162"/>
      <c r="V35" s="1161">
        <f>SUM(AD7,AJ7,AU7)</f>
        <v>42.326998883928574</v>
      </c>
      <c r="W35" s="1162"/>
      <c r="AA35" s="1147" t="s">
        <v>90</v>
      </c>
      <c r="AB35" s="1147"/>
      <c r="AC35" s="1161">
        <f>SUM(AC8,AI8,AT8,BB8)</f>
        <v>66.089776041666667</v>
      </c>
      <c r="AD35" s="1162"/>
      <c r="AE35" s="1161">
        <f>SUM(AD8,AJ8,AU8)</f>
        <v>44.080554687499998</v>
      </c>
      <c r="AF35" s="1162"/>
      <c r="AG35" s="784"/>
      <c r="AH35" s="784"/>
    </row>
    <row r="36" spans="18:34" x14ac:dyDescent="0.25">
      <c r="R36" s="1159"/>
      <c r="S36" s="1159"/>
      <c r="T36" s="1160">
        <f>SUM(T30:U34)</f>
        <v>207.43397098214285</v>
      </c>
      <c r="U36" s="1160"/>
      <c r="V36" s="1160">
        <f>SUM(V30,V31,V32,V33,V34)</f>
        <v>104.03543638392858</v>
      </c>
      <c r="W36" s="1160"/>
      <c r="X36" s="393"/>
      <c r="AA36" s="1159"/>
      <c r="AB36" s="1159"/>
      <c r="AC36" s="1160">
        <f>SUM(AC30:AD34)</f>
        <v>216.69842187500001</v>
      </c>
      <c r="AD36" s="1160"/>
      <c r="AE36" s="1160">
        <f>SUM(AE30,AE31,AE32,AE33,AE34)</f>
        <v>108.62711718749999</v>
      </c>
      <c r="AF36" s="1160"/>
      <c r="AG36" s="783"/>
      <c r="AH36" s="783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104.03543638392858</v>
      </c>
      <c r="X38" s="393"/>
    </row>
  </sheetData>
  <mergeCells count="124"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  <mergeCell ref="BT1:BU1"/>
    <mergeCell ref="BV1:BW1"/>
    <mergeCell ref="BX1:BY1"/>
    <mergeCell ref="BZ1:CA1"/>
    <mergeCell ref="Q12:T12"/>
    <mergeCell ref="V12:Y12"/>
    <mergeCell ref="AI1:AJ1"/>
    <mergeCell ref="AK1:AR1"/>
    <mergeCell ref="AS1:AW1"/>
    <mergeCell ref="AX1:AZ1"/>
    <mergeCell ref="BA1:BI1"/>
    <mergeCell ref="BJ1:BQ1"/>
    <mergeCell ref="Q13:T13"/>
    <mergeCell ref="V13:Y13"/>
    <mergeCell ref="AA13:AB13"/>
    <mergeCell ref="AD13:AI13"/>
    <mergeCell ref="Q14:R14"/>
    <mergeCell ref="V14:W14"/>
    <mergeCell ref="AA14:AB14"/>
    <mergeCell ref="AD14:AI14"/>
    <mergeCell ref="BR1:BS1"/>
    <mergeCell ref="Q17:R17"/>
    <mergeCell ref="V17:W17"/>
    <mergeCell ref="AD17:AI17"/>
    <mergeCell ref="Q18:R18"/>
    <mergeCell ref="V18:W18"/>
    <mergeCell ref="AA18:AB18"/>
    <mergeCell ref="AD18:AI18"/>
    <mergeCell ref="Q15:R15"/>
    <mergeCell ref="V15:W15"/>
    <mergeCell ref="AA15:AB15"/>
    <mergeCell ref="AD15:AI15"/>
    <mergeCell ref="Q16:R16"/>
    <mergeCell ref="V16:W16"/>
    <mergeCell ref="AA16:AB16"/>
    <mergeCell ref="AD16:AI16"/>
    <mergeCell ref="AD21:AI21"/>
    <mergeCell ref="Q22:R22"/>
    <mergeCell ref="V22:W22"/>
    <mergeCell ref="AA22:AB22"/>
    <mergeCell ref="AD22:AI22"/>
    <mergeCell ref="Q19:R19"/>
    <mergeCell ref="V19:W19"/>
    <mergeCell ref="AA19:AB19"/>
    <mergeCell ref="AD19:AI19"/>
    <mergeCell ref="Q20:R20"/>
    <mergeCell ref="V20:W20"/>
    <mergeCell ref="AA20:AB20"/>
    <mergeCell ref="AD20:AI20"/>
    <mergeCell ref="Q23:R23"/>
    <mergeCell ref="V23:W23"/>
    <mergeCell ref="Q24:R24"/>
    <mergeCell ref="V24:W24"/>
    <mergeCell ref="S25:S26"/>
    <mergeCell ref="T25:T26"/>
    <mergeCell ref="Q21:R21"/>
    <mergeCell ref="V21:W21"/>
    <mergeCell ref="AA21:AB21"/>
    <mergeCell ref="AE29:AF29"/>
    <mergeCell ref="R30:S30"/>
    <mergeCell ref="T30:U30"/>
    <mergeCell ref="V30:W30"/>
    <mergeCell ref="AA30:AB30"/>
    <mergeCell ref="AC30:AD30"/>
    <mergeCell ref="AE30:AF30"/>
    <mergeCell ref="R27:W27"/>
    <mergeCell ref="AA27:AD27"/>
    <mergeCell ref="R28:W28"/>
    <mergeCell ref="AA28:AD28"/>
    <mergeCell ref="R29:S29"/>
    <mergeCell ref="T29:U29"/>
    <mergeCell ref="V29:W29"/>
    <mergeCell ref="AA29:AB29"/>
    <mergeCell ref="AC29:AD29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T37:U37"/>
    <mergeCell ref="AE1:AH1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</mergeCells>
  <pageMargins left="0.7" right="0.7" top="0.75" bottom="0.75" header="0.3" footer="0.3"/>
  <pageSetup paperSize="9" orientation="portrait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1"/>
  <sheetViews>
    <sheetView topLeftCell="A4" workbookViewId="0">
      <selection activeCell="H12" sqref="A1:XFD1048576"/>
    </sheetView>
  </sheetViews>
  <sheetFormatPr defaultRowHeight="15" x14ac:dyDescent="0.25"/>
  <cols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813" t="s">
        <v>17</v>
      </c>
      <c r="R2" s="813" t="s">
        <v>18</v>
      </c>
      <c r="S2" s="813" t="s">
        <v>19</v>
      </c>
      <c r="T2" s="814" t="s">
        <v>20</v>
      </c>
      <c r="U2" s="814" t="s">
        <v>21</v>
      </c>
      <c r="V2" s="814" t="s">
        <v>22</v>
      </c>
      <c r="W2" s="814" t="s">
        <v>23</v>
      </c>
      <c r="X2" s="815" t="s">
        <v>24</v>
      </c>
      <c r="Y2" s="815" t="s">
        <v>25</v>
      </c>
      <c r="Z2" s="815" t="s">
        <v>26</v>
      </c>
      <c r="AA2" s="815" t="s">
        <v>27</v>
      </c>
      <c r="AB2" s="816" t="s">
        <v>28</v>
      </c>
      <c r="AC2" s="816" t="s">
        <v>29</v>
      </c>
      <c r="AD2" s="816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810" t="s">
        <v>31</v>
      </c>
      <c r="AJ2" s="810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796" t="s">
        <v>102</v>
      </c>
      <c r="AT2" s="796" t="s">
        <v>103</v>
      </c>
      <c r="AU2" s="796" t="s">
        <v>104</v>
      </c>
      <c r="AV2" s="796" t="s">
        <v>105</v>
      </c>
      <c r="AW2" s="796" t="s">
        <v>106</v>
      </c>
      <c r="AX2" s="797" t="s">
        <v>107</v>
      </c>
      <c r="AY2" s="797" t="s">
        <v>108</v>
      </c>
      <c r="AZ2" s="797" t="s">
        <v>109</v>
      </c>
      <c r="BA2" s="797" t="s">
        <v>110</v>
      </c>
      <c r="BB2" s="797" t="s">
        <v>111</v>
      </c>
      <c r="BC2" s="797" t="s">
        <v>112</v>
      </c>
      <c r="BD2" s="797" t="s">
        <v>113</v>
      </c>
      <c r="BE2" s="797" t="s">
        <v>114</v>
      </c>
      <c r="BF2" s="797" t="s">
        <v>115</v>
      </c>
      <c r="BG2" s="729" t="s">
        <v>116</v>
      </c>
      <c r="BH2" s="730" t="s">
        <v>117</v>
      </c>
      <c r="BI2" s="797" t="s">
        <v>118</v>
      </c>
      <c r="BJ2" s="811" t="s">
        <v>14</v>
      </c>
      <c r="BK2" s="811" t="s">
        <v>167</v>
      </c>
      <c r="BL2" s="811" t="s">
        <v>39</v>
      </c>
      <c r="BM2" s="811" t="s">
        <v>40</v>
      </c>
      <c r="BN2" s="811" t="s">
        <v>41</v>
      </c>
      <c r="BO2" s="811" t="s">
        <v>43</v>
      </c>
      <c r="BP2" s="811" t="s">
        <v>44</v>
      </c>
      <c r="BQ2" s="811" t="s">
        <v>46</v>
      </c>
      <c r="BR2" s="807" t="s">
        <v>47</v>
      </c>
      <c r="BS2" s="807" t="s">
        <v>48</v>
      </c>
      <c r="BT2" s="796" t="s">
        <v>49</v>
      </c>
      <c r="BU2" s="796" t="s">
        <v>50</v>
      </c>
      <c r="BV2" s="807" t="s">
        <v>131</v>
      </c>
      <c r="BW2" s="807" t="s">
        <v>132</v>
      </c>
      <c r="BX2" s="808" t="s">
        <v>172</v>
      </c>
      <c r="BY2" s="808" t="s">
        <v>173</v>
      </c>
      <c r="BZ2" s="809" t="s">
        <v>216</v>
      </c>
      <c r="CA2" s="809" t="s">
        <v>217</v>
      </c>
    </row>
    <row r="3" spans="1:79" ht="90.75" thickBot="1" x14ac:dyDescent="0.3">
      <c r="A3" s="812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808" t="s">
        <v>120</v>
      </c>
      <c r="BY3" s="808" t="s">
        <v>174</v>
      </c>
      <c r="BZ3" s="809" t="s">
        <v>120</v>
      </c>
      <c r="CA3" s="809" t="s">
        <v>222</v>
      </c>
    </row>
    <row r="4" spans="1:79" ht="31.5" x14ac:dyDescent="0.25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799">
        <v>28960</v>
      </c>
      <c r="Q4" s="438">
        <f>SUM(T4,X4,AB4,AS4,AX4,BA4)</f>
        <v>9.4031904761904759</v>
      </c>
      <c r="R4" s="438">
        <f>SUM(U4,Y4,AC4,AI4,AT4,BB4)</f>
        <v>6.9851442857142869</v>
      </c>
      <c r="S4" s="438">
        <f>SUM(V4,Z4,AD4,AJ4,AU4)</f>
        <v>3.5028778571428569</v>
      </c>
      <c r="T4" s="453">
        <f>S17</f>
        <v>3.9592380952380952</v>
      </c>
      <c r="U4" s="453">
        <f>T4/100*70</f>
        <v>2.771466666666667</v>
      </c>
      <c r="V4" s="453">
        <f>T4/100*30</f>
        <v>1.1877714285714287</v>
      </c>
      <c r="W4" s="453">
        <v>0</v>
      </c>
      <c r="X4" s="454">
        <f>S18</f>
        <v>2.9694285714285713</v>
      </c>
      <c r="Y4" s="454">
        <f>X4/100*70</f>
        <v>2.0786000000000002</v>
      </c>
      <c r="Z4" s="454">
        <f>X4/100*30</f>
        <v>0.89082857142857141</v>
      </c>
      <c r="AA4" s="454">
        <v>0</v>
      </c>
      <c r="AB4" s="455">
        <f>S19</f>
        <v>0.4949047619047619</v>
      </c>
      <c r="AC4" s="455">
        <f>AB4/100*70</f>
        <v>0.34643333333333337</v>
      </c>
      <c r="AD4" s="455">
        <f>AB4/100*30</f>
        <v>0.14847142857142859</v>
      </c>
      <c r="AE4" s="201">
        <v>0</v>
      </c>
      <c r="AF4" s="823">
        <v>0</v>
      </c>
      <c r="AG4" s="823">
        <v>0</v>
      </c>
      <c r="AH4" s="823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1.4847142857142857</v>
      </c>
      <c r="AT4" s="457">
        <f>AS4/100*90</f>
        <v>1.3362428571428571</v>
      </c>
      <c r="AU4" s="457">
        <f>AT4/100*85</f>
        <v>1.1358064285714284</v>
      </c>
      <c r="AV4" s="457">
        <v>0</v>
      </c>
      <c r="AW4" s="457">
        <v>0</v>
      </c>
      <c r="AX4" s="458">
        <f>S22</f>
        <v>0.19796190476190476</v>
      </c>
      <c r="AY4" s="469">
        <v>4</v>
      </c>
      <c r="AZ4" s="459" t="s">
        <v>65</v>
      </c>
      <c r="BA4" s="460">
        <f>S23</f>
        <v>0.29694285714285712</v>
      </c>
      <c r="BB4" s="458">
        <f>BA4/100*85</f>
        <v>0.25240142857142855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1.1877714285714287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798" t="s">
        <v>67</v>
      </c>
      <c r="CA4" s="798" t="s">
        <v>223</v>
      </c>
    </row>
    <row r="5" spans="1:79" ht="31.5" x14ac:dyDescent="0.25">
      <c r="A5" s="50">
        <v>50</v>
      </c>
      <c r="B5" s="795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9.8356666666666683</v>
      </c>
      <c r="R5" s="438">
        <f>SUM(U5,Y5,AC5,AI5,AT5,BB5)</f>
        <v>7.2972100000000006</v>
      </c>
      <c r="S5" s="438">
        <f>SUM(V5,Z5,AD5,AJ5,AU5)</f>
        <v>3.6575450000000007</v>
      </c>
      <c r="T5" s="453">
        <f>X17</f>
        <v>4.1413333333333338</v>
      </c>
      <c r="U5" s="453">
        <f>T5/100*70</f>
        <v>2.8989333333333334</v>
      </c>
      <c r="V5" s="453">
        <f>T5/100*30</f>
        <v>1.2424000000000002</v>
      </c>
      <c r="W5" s="345">
        <v>0</v>
      </c>
      <c r="X5" s="454">
        <f>X18</f>
        <v>3.1060000000000003</v>
      </c>
      <c r="Y5" s="454">
        <f>X5/100*70</f>
        <v>2.1742000000000004</v>
      </c>
      <c r="Z5" s="454">
        <f>X5/100*30</f>
        <v>0.93180000000000018</v>
      </c>
      <c r="AA5" s="346">
        <v>0</v>
      </c>
      <c r="AB5" s="455">
        <f>X19</f>
        <v>0.51766666666666672</v>
      </c>
      <c r="AC5" s="455">
        <f>AB5/100*70</f>
        <v>0.36236666666666667</v>
      </c>
      <c r="AD5" s="455">
        <f>AB5/100*30</f>
        <v>0.15530000000000002</v>
      </c>
      <c r="AE5" s="250">
        <v>0</v>
      </c>
      <c r="AF5" s="823">
        <v>0</v>
      </c>
      <c r="AG5" s="823">
        <v>0</v>
      </c>
      <c r="AH5" s="823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1.5530000000000002</v>
      </c>
      <c r="AT5" s="457">
        <f>AS5/100*90</f>
        <v>1.3977000000000002</v>
      </c>
      <c r="AU5" s="457">
        <f>AT5/100*85</f>
        <v>1.1880450000000002</v>
      </c>
      <c r="AV5" s="349">
        <v>0</v>
      </c>
      <c r="AW5" s="349">
        <v>0</v>
      </c>
      <c r="AX5" s="458">
        <f>X22</f>
        <v>0.20706666666666668</v>
      </c>
      <c r="AY5" s="350">
        <v>1</v>
      </c>
      <c r="AZ5" s="459" t="s">
        <v>65</v>
      </c>
      <c r="BA5" s="458">
        <f>X23</f>
        <v>0.31059999999999999</v>
      </c>
      <c r="BB5" s="824">
        <f>BA5/100*85</f>
        <v>0.26400999999999997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1.2424000000000002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798" t="s">
        <v>67</v>
      </c>
      <c r="CA5" s="798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31.5" x14ac:dyDescent="0.25">
      <c r="A7" s="50">
        <v>60</v>
      </c>
      <c r="B7" s="795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800">
        <f t="shared" si="0"/>
        <v>28960</v>
      </c>
      <c r="Q7" s="394">
        <f>SUM(T7,X7,AB7,AS7,AX7,BA7)</f>
        <v>282.09571428571434</v>
      </c>
      <c r="R7" s="394">
        <f>SUM(U7,Y7,AC7,AI7,AT7,BB7)</f>
        <v>209.55432857142858</v>
      </c>
      <c r="S7" s="394">
        <f>SUM(V7,Z7,AD7,AJ7,AU7)</f>
        <v>105.08633571428572</v>
      </c>
      <c r="T7" s="527">
        <f>T4*30</f>
        <v>118.77714285714286</v>
      </c>
      <c r="U7" s="527">
        <f t="shared" ref="U7:AD8" si="1">U4*30</f>
        <v>83.144000000000005</v>
      </c>
      <c r="V7" s="527">
        <f t="shared" si="1"/>
        <v>35.633142857142857</v>
      </c>
      <c r="W7" s="527">
        <f t="shared" si="1"/>
        <v>0</v>
      </c>
      <c r="X7" s="527">
        <f t="shared" si="1"/>
        <v>89.082857142857137</v>
      </c>
      <c r="Y7" s="527">
        <f t="shared" si="1"/>
        <v>62.358000000000004</v>
      </c>
      <c r="Z7" s="527">
        <f t="shared" si="1"/>
        <v>26.724857142857143</v>
      </c>
      <c r="AA7" s="527">
        <f t="shared" si="1"/>
        <v>0</v>
      </c>
      <c r="AB7" s="527">
        <f t="shared" si="1"/>
        <v>14.847142857142858</v>
      </c>
      <c r="AC7" s="527">
        <f t="shared" si="1"/>
        <v>10.393000000000001</v>
      </c>
      <c r="AD7" s="527">
        <f t="shared" si="1"/>
        <v>4.4541428571428572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44.541428571428568</v>
      </c>
      <c r="AT7" s="682">
        <f t="shared" ref="AT7:BB8" si="2">AT4*30</f>
        <v>40.087285714285713</v>
      </c>
      <c r="AU7" s="682">
        <f t="shared" si="2"/>
        <v>34.074192857142855</v>
      </c>
      <c r="AV7" s="682">
        <f t="shared" si="2"/>
        <v>0</v>
      </c>
      <c r="AW7" s="682">
        <f t="shared" si="2"/>
        <v>0</v>
      </c>
      <c r="AX7" s="682">
        <f t="shared" si="2"/>
        <v>5.9388571428571426</v>
      </c>
      <c r="AY7" s="682">
        <f t="shared" si="2"/>
        <v>120</v>
      </c>
      <c r="AZ7" s="682" t="e">
        <f t="shared" si="2"/>
        <v>#VALUE!</v>
      </c>
      <c r="BA7" s="682">
        <f t="shared" si="2"/>
        <v>8.9082857142857144</v>
      </c>
      <c r="BB7" s="682">
        <f t="shared" si="2"/>
        <v>7.5720428571428569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798" t="s">
        <v>67</v>
      </c>
      <c r="CA7" s="798" t="s">
        <v>223</v>
      </c>
    </row>
    <row r="8" spans="1:79" ht="31.5" x14ac:dyDescent="0.25">
      <c r="A8" s="50">
        <v>50</v>
      </c>
      <c r="B8" s="795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295.07</v>
      </c>
      <c r="R8" s="394">
        <f>SUM(U8,Y8,AC8,AI8,AT8,BB8)</f>
        <v>218.91630000000004</v>
      </c>
      <c r="S8" s="394">
        <f>SUM(V8,Z8,AD8,AJ8,AU8)</f>
        <v>109.72635000000002</v>
      </c>
      <c r="T8" s="527">
        <f>T5*30</f>
        <v>124.24000000000001</v>
      </c>
      <c r="U8" s="527">
        <f t="shared" si="1"/>
        <v>86.968000000000004</v>
      </c>
      <c r="V8" s="527">
        <f t="shared" si="1"/>
        <v>37.272000000000006</v>
      </c>
      <c r="W8" s="527">
        <f t="shared" si="1"/>
        <v>0</v>
      </c>
      <c r="X8" s="527">
        <f t="shared" si="1"/>
        <v>93.18</v>
      </c>
      <c r="Y8" s="527">
        <f t="shared" si="1"/>
        <v>65.226000000000013</v>
      </c>
      <c r="Z8" s="527">
        <f t="shared" si="1"/>
        <v>27.954000000000004</v>
      </c>
      <c r="AA8" s="527">
        <f t="shared" si="1"/>
        <v>0</v>
      </c>
      <c r="AB8" s="527">
        <f t="shared" si="1"/>
        <v>15.530000000000001</v>
      </c>
      <c r="AC8" s="527">
        <f t="shared" si="1"/>
        <v>10.871</v>
      </c>
      <c r="AD8" s="527">
        <f t="shared" si="1"/>
        <v>4.6590000000000007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46.59</v>
      </c>
      <c r="AT8" s="682">
        <f t="shared" si="2"/>
        <v>41.931000000000004</v>
      </c>
      <c r="AU8" s="682">
        <f t="shared" si="2"/>
        <v>35.64135000000001</v>
      </c>
      <c r="AV8" s="682">
        <f t="shared" si="2"/>
        <v>0</v>
      </c>
      <c r="AW8" s="682">
        <f t="shared" si="2"/>
        <v>0</v>
      </c>
      <c r="AX8" s="682">
        <f t="shared" si="2"/>
        <v>6.2120000000000006</v>
      </c>
      <c r="AY8" s="682">
        <f t="shared" si="2"/>
        <v>30</v>
      </c>
      <c r="AZ8" s="682" t="e">
        <f t="shared" si="2"/>
        <v>#VALUE!</v>
      </c>
      <c r="BA8" s="682">
        <f t="shared" si="2"/>
        <v>9.3179999999999996</v>
      </c>
      <c r="BB8" s="682">
        <f t="shared" si="2"/>
        <v>7.9202999999999992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798" t="s">
        <v>67</v>
      </c>
      <c r="CA8" s="798" t="s">
        <v>224</v>
      </c>
    </row>
    <row r="9" spans="1:79" x14ac:dyDescent="0.25">
      <c r="R9" s="393">
        <f>R7+R8</f>
        <v>428.47062857142862</v>
      </c>
      <c r="S9" s="393">
        <f>S7+S8</f>
        <v>214.81268571428575</v>
      </c>
    </row>
    <row r="12" spans="1:79" x14ac:dyDescent="0.25">
      <c r="H12" s="1059">
        <v>45474</v>
      </c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801">
        <v>31179</v>
      </c>
      <c r="T14" s="801"/>
      <c r="V14" s="1127" t="s">
        <v>192</v>
      </c>
      <c r="W14" s="1128"/>
      <c r="X14" s="801">
        <v>32613</v>
      </c>
      <c r="Y14" s="801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801">
        <v>288</v>
      </c>
      <c r="T15" s="801" t="s">
        <v>227</v>
      </c>
      <c r="V15" s="1127" t="s">
        <v>193</v>
      </c>
      <c r="W15" s="1128"/>
      <c r="X15" s="801">
        <v>288</v>
      </c>
      <c r="Y15" s="801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9.8980952380952374</v>
      </c>
      <c r="T16" s="801"/>
      <c r="V16" s="1127" t="s">
        <v>195</v>
      </c>
      <c r="W16" s="1128"/>
      <c r="X16" s="596">
        <f>X14*X15/907200</f>
        <v>10.353333333333333</v>
      </c>
      <c r="Y16" s="801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3.9592380952380952</v>
      </c>
      <c r="T17" s="801">
        <v>40</v>
      </c>
      <c r="V17" s="1132" t="s">
        <v>9</v>
      </c>
      <c r="W17" s="1133"/>
      <c r="X17" s="592">
        <f>X16/100*40</f>
        <v>4.1413333333333338</v>
      </c>
      <c r="Y17" s="801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2.9694285714285713</v>
      </c>
      <c r="T18" s="801">
        <v>30</v>
      </c>
      <c r="V18" s="1132" t="s">
        <v>10</v>
      </c>
      <c r="W18" s="1133"/>
      <c r="X18" s="592">
        <f>X16/100*30</f>
        <v>3.1060000000000003</v>
      </c>
      <c r="Y18" s="801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0.4949047619047619</v>
      </c>
      <c r="T19" s="801">
        <v>5</v>
      </c>
      <c r="V19" s="1132" t="s">
        <v>11</v>
      </c>
      <c r="W19" s="1133"/>
      <c r="X19" s="592">
        <f>X16/100*5</f>
        <v>0.51766666666666672</v>
      </c>
      <c r="Y19" s="801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0.4949047619047619</v>
      </c>
      <c r="T20" s="801">
        <v>5</v>
      </c>
      <c r="V20" s="1132" t="s">
        <v>12</v>
      </c>
      <c r="W20" s="1133"/>
      <c r="X20" s="592">
        <f>X16/100*5</f>
        <v>0.51766666666666672</v>
      </c>
      <c r="Y20" s="801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1.4847142857142857</v>
      </c>
      <c r="T21" s="801">
        <v>15</v>
      </c>
      <c r="V21" s="1132" t="s">
        <v>99</v>
      </c>
      <c r="W21" s="1133"/>
      <c r="X21" s="592">
        <f>X16/100*15</f>
        <v>1.5530000000000002</v>
      </c>
      <c r="Y21" s="801">
        <v>15</v>
      </c>
      <c r="AA21" s="1129">
        <f>AA20*30</f>
        <v>448.9776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0.19796190476190476</v>
      </c>
      <c r="T22" s="801">
        <v>2</v>
      </c>
      <c r="V22" s="1132" t="s">
        <v>100</v>
      </c>
      <c r="W22" s="1133"/>
      <c r="X22" s="592">
        <f>X16/100*2</f>
        <v>0.20706666666666668</v>
      </c>
      <c r="Y22" s="801">
        <v>2</v>
      </c>
      <c r="AA22" s="1129">
        <f>AA21/100*3</f>
        <v>13.469328000000001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0.29694285714285712</v>
      </c>
      <c r="T23" s="801">
        <v>3</v>
      </c>
      <c r="V23" s="1132" t="s">
        <v>101</v>
      </c>
      <c r="W23" s="1133"/>
      <c r="X23" s="592">
        <f>X16/100*3</f>
        <v>0.31059999999999999</v>
      </c>
      <c r="Y23" s="801">
        <v>3</v>
      </c>
    </row>
    <row r="24" spans="17:35" x14ac:dyDescent="0.25">
      <c r="Q24" s="1140" t="s">
        <v>89</v>
      </c>
      <c r="R24" s="1141"/>
      <c r="S24" s="596">
        <f>SUM(S17:S23)</f>
        <v>9.8980952380952374</v>
      </c>
      <c r="T24" s="801">
        <f>SUM(T17:T23)</f>
        <v>100</v>
      </c>
      <c r="V24" s="1140" t="s">
        <v>89</v>
      </c>
      <c r="W24" s="1141"/>
      <c r="X24" s="596">
        <f>SUM(X17:X23)</f>
        <v>10.353333333333335</v>
      </c>
      <c r="Y24" s="801">
        <f>SUM(Y17:Y23)</f>
        <v>100</v>
      </c>
      <c r="AA24">
        <v>3.25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803"/>
      <c r="AH29" s="803"/>
    </row>
    <row r="30" spans="17:35" x14ac:dyDescent="0.25">
      <c r="R30" s="1147" t="s">
        <v>86</v>
      </c>
      <c r="S30" s="1147"/>
      <c r="T30" s="1148">
        <f>U7</f>
        <v>83.144000000000005</v>
      </c>
      <c r="U30" s="1148"/>
      <c r="V30" s="1148">
        <f>V7</f>
        <v>35.633142857142857</v>
      </c>
      <c r="W30" s="1148"/>
      <c r="X30" s="393"/>
      <c r="AA30" s="1147" t="s">
        <v>86</v>
      </c>
      <c r="AB30" s="1147"/>
      <c r="AC30" s="1148">
        <f>U8</f>
        <v>86.968000000000004</v>
      </c>
      <c r="AD30" s="1148"/>
      <c r="AE30" s="1148">
        <f>V8</f>
        <v>37.272000000000006</v>
      </c>
      <c r="AF30" s="1148"/>
      <c r="AG30" s="805"/>
      <c r="AH30" s="805"/>
    </row>
    <row r="31" spans="17:35" x14ac:dyDescent="0.25">
      <c r="R31" s="1147" t="s">
        <v>87</v>
      </c>
      <c r="S31" s="1147"/>
      <c r="T31" s="1148">
        <f>Y7</f>
        <v>62.358000000000004</v>
      </c>
      <c r="U31" s="1148"/>
      <c r="V31" s="1148">
        <f>Z7</f>
        <v>26.724857142857143</v>
      </c>
      <c r="W31" s="1148"/>
      <c r="X31" s="393"/>
      <c r="AA31" s="1147" t="s">
        <v>87</v>
      </c>
      <c r="AB31" s="1147"/>
      <c r="AC31" s="1148">
        <f>Y8</f>
        <v>65.226000000000013</v>
      </c>
      <c r="AD31" s="1148"/>
      <c r="AE31" s="1148">
        <f>Z8</f>
        <v>27.954000000000004</v>
      </c>
      <c r="AF31" s="1148"/>
      <c r="AG31" s="805"/>
      <c r="AH31" s="805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804"/>
      <c r="AH32" s="804"/>
    </row>
    <row r="33" spans="18:34" x14ac:dyDescent="0.25">
      <c r="R33" s="1147" t="s">
        <v>202</v>
      </c>
      <c r="S33" s="1147"/>
      <c r="T33" s="1151">
        <v>4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804"/>
      <c r="AH33" s="804"/>
    </row>
    <row r="34" spans="18:34" x14ac:dyDescent="0.25">
      <c r="R34" s="1147" t="s">
        <v>90</v>
      </c>
      <c r="S34" s="1147"/>
      <c r="T34" s="1153">
        <f>T35-T32-T33</f>
        <v>52.052328571428575</v>
      </c>
      <c r="U34" s="1154"/>
      <c r="V34" s="1153">
        <f>V35-V32-V33</f>
        <v>37.728335714285713</v>
      </c>
      <c r="W34" s="1154"/>
      <c r="AA34" s="1155" t="s">
        <v>90</v>
      </c>
      <c r="AB34" s="1156"/>
      <c r="AC34" s="1153">
        <f>AC35-AC32-AC33</f>
        <v>56.722300000000004</v>
      </c>
      <c r="AD34" s="1157"/>
      <c r="AE34" s="1153">
        <f>AE35-AE33-AE32</f>
        <v>39.500350000000012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64.052328571428575</v>
      </c>
      <c r="U35" s="1162"/>
      <c r="V35" s="1161">
        <f>SUM(AD7,AJ7,AU7)</f>
        <v>42.728335714285713</v>
      </c>
      <c r="W35" s="1162"/>
      <c r="AA35" s="1147" t="s">
        <v>90</v>
      </c>
      <c r="AB35" s="1147"/>
      <c r="AC35" s="1161">
        <f>SUM(AC8,AI8,AT8,BB8)</f>
        <v>66.722300000000004</v>
      </c>
      <c r="AD35" s="1162"/>
      <c r="AE35" s="1161">
        <f>SUM(AD8,AJ8,AU8)</f>
        <v>44.500350000000012</v>
      </c>
      <c r="AF35" s="1162"/>
      <c r="AG35" s="806"/>
      <c r="AH35" s="806"/>
    </row>
    <row r="36" spans="18:34" x14ac:dyDescent="0.25">
      <c r="R36" s="1159"/>
      <c r="S36" s="1159"/>
      <c r="T36" s="1160">
        <f>SUM(T30:U34)</f>
        <v>209.55432857142858</v>
      </c>
      <c r="U36" s="1160"/>
      <c r="V36" s="1160">
        <f>SUM(V30,V31,V32,V33,V34)</f>
        <v>105.08633571428572</v>
      </c>
      <c r="W36" s="1160"/>
      <c r="X36" s="393"/>
      <c r="AA36" s="1159"/>
      <c r="AB36" s="1159"/>
      <c r="AC36" s="1160">
        <f>SUM(AC30:AD34)</f>
        <v>218.91630000000004</v>
      </c>
      <c r="AD36" s="1160"/>
      <c r="AE36" s="1160">
        <f>SUM(AE30,AE31,AE32,AE33,AE34)</f>
        <v>109.72635000000002</v>
      </c>
      <c r="AF36" s="1160"/>
      <c r="AG36" s="802"/>
      <c r="AH36" s="802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105.08633571428572</v>
      </c>
      <c r="X38" s="393"/>
    </row>
    <row r="46" spans="18:34" x14ac:dyDescent="0.25">
      <c r="T46" s="619" t="s">
        <v>90</v>
      </c>
      <c r="U46" s="854">
        <v>0</v>
      </c>
      <c r="V46" s="854">
        <v>57</v>
      </c>
      <c r="W46" s="854">
        <v>40</v>
      </c>
      <c r="X46" s="854">
        <v>720.28599999999994</v>
      </c>
    </row>
    <row r="47" spans="18:34" x14ac:dyDescent="0.25">
      <c r="T47" s="619" t="s">
        <v>86</v>
      </c>
      <c r="U47" s="854">
        <v>0</v>
      </c>
      <c r="V47" s="854">
        <v>87</v>
      </c>
      <c r="W47" s="854">
        <v>37</v>
      </c>
      <c r="X47" s="854">
        <v>2.7</v>
      </c>
    </row>
    <row r="48" spans="18:34" x14ac:dyDescent="0.25">
      <c r="T48" s="619" t="s">
        <v>87</v>
      </c>
      <c r="U48" s="854">
        <v>0</v>
      </c>
      <c r="V48" s="854">
        <v>65</v>
      </c>
      <c r="W48" s="854">
        <v>28</v>
      </c>
      <c r="X48" s="854">
        <v>1.7</v>
      </c>
    </row>
    <row r="49" spans="20:24" x14ac:dyDescent="0.25">
      <c r="T49" s="619" t="s">
        <v>201</v>
      </c>
      <c r="U49" s="854">
        <v>0</v>
      </c>
      <c r="V49" s="854">
        <v>7</v>
      </c>
      <c r="W49" s="854">
        <v>5</v>
      </c>
      <c r="X49" s="854">
        <v>0.08</v>
      </c>
    </row>
    <row r="50" spans="20:24" x14ac:dyDescent="0.25">
      <c r="T50" s="619" t="s">
        <v>202</v>
      </c>
      <c r="U50" s="854">
        <v>0</v>
      </c>
      <c r="V50" s="854">
        <v>3</v>
      </c>
      <c r="W50" s="854">
        <v>0</v>
      </c>
      <c r="X50" s="854">
        <v>0.05</v>
      </c>
    </row>
    <row r="51" spans="20:24" x14ac:dyDescent="0.25">
      <c r="U51">
        <f>SUM(U46:U50)</f>
        <v>0</v>
      </c>
      <c r="V51">
        <f t="shared" ref="V51:X51" si="3">SUM(V46:V50)</f>
        <v>219</v>
      </c>
      <c r="W51">
        <f t="shared" si="3"/>
        <v>110</v>
      </c>
      <c r="X51">
        <f t="shared" si="3"/>
        <v>724.81600000000003</v>
      </c>
    </row>
  </sheetData>
  <mergeCells count="124"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1"/>
  <sheetViews>
    <sheetView topLeftCell="O5" zoomScaleNormal="100" workbookViewId="0">
      <selection activeCell="O15" sqref="A1:XFD1048576"/>
    </sheetView>
  </sheetViews>
  <sheetFormatPr defaultRowHeight="15" x14ac:dyDescent="0.25"/>
  <cols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850" t="s">
        <v>17</v>
      </c>
      <c r="R2" s="850" t="s">
        <v>18</v>
      </c>
      <c r="S2" s="850" t="s">
        <v>19</v>
      </c>
      <c r="T2" s="851" t="s">
        <v>20</v>
      </c>
      <c r="U2" s="851" t="s">
        <v>21</v>
      </c>
      <c r="V2" s="851" t="s">
        <v>22</v>
      </c>
      <c r="W2" s="851">
        <v>45</v>
      </c>
      <c r="X2" s="852" t="s">
        <v>24</v>
      </c>
      <c r="Y2" s="852" t="s">
        <v>25</v>
      </c>
      <c r="Z2" s="852" t="s">
        <v>26</v>
      </c>
      <c r="AA2" s="852" t="s">
        <v>27</v>
      </c>
      <c r="AB2" s="853" t="s">
        <v>28</v>
      </c>
      <c r="AC2" s="853" t="s">
        <v>29</v>
      </c>
      <c r="AD2" s="853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847" t="s">
        <v>31</v>
      </c>
      <c r="AJ2" s="847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833" t="s">
        <v>102</v>
      </c>
      <c r="AT2" s="833" t="s">
        <v>103</v>
      </c>
      <c r="AU2" s="833" t="s">
        <v>104</v>
      </c>
      <c r="AV2" s="833" t="s">
        <v>105</v>
      </c>
      <c r="AW2" s="833" t="s">
        <v>106</v>
      </c>
      <c r="AX2" s="834" t="s">
        <v>107</v>
      </c>
      <c r="AY2" s="834" t="s">
        <v>108</v>
      </c>
      <c r="AZ2" s="834" t="s">
        <v>109</v>
      </c>
      <c r="BA2" s="834" t="s">
        <v>110</v>
      </c>
      <c r="BB2" s="834" t="s">
        <v>111</v>
      </c>
      <c r="BC2" s="834" t="s">
        <v>112</v>
      </c>
      <c r="BD2" s="834" t="s">
        <v>113</v>
      </c>
      <c r="BE2" s="834" t="s">
        <v>114</v>
      </c>
      <c r="BF2" s="834" t="s">
        <v>115</v>
      </c>
      <c r="BG2" s="729" t="s">
        <v>116</v>
      </c>
      <c r="BH2" s="730" t="s">
        <v>117</v>
      </c>
      <c r="BI2" s="834" t="s">
        <v>118</v>
      </c>
      <c r="BJ2" s="848" t="s">
        <v>14</v>
      </c>
      <c r="BK2" s="848" t="s">
        <v>167</v>
      </c>
      <c r="BL2" s="848" t="s">
        <v>39</v>
      </c>
      <c r="BM2" s="848" t="s">
        <v>40</v>
      </c>
      <c r="BN2" s="848" t="s">
        <v>41</v>
      </c>
      <c r="BO2" s="848" t="s">
        <v>43</v>
      </c>
      <c r="BP2" s="848" t="s">
        <v>44</v>
      </c>
      <c r="BQ2" s="848" t="s">
        <v>46</v>
      </c>
      <c r="BR2" s="844" t="s">
        <v>47</v>
      </c>
      <c r="BS2" s="844" t="s">
        <v>48</v>
      </c>
      <c r="BT2" s="833" t="s">
        <v>49</v>
      </c>
      <c r="BU2" s="833" t="s">
        <v>50</v>
      </c>
      <c r="BV2" s="844" t="s">
        <v>131</v>
      </c>
      <c r="BW2" s="844" t="s">
        <v>132</v>
      </c>
      <c r="BX2" s="845" t="s">
        <v>172</v>
      </c>
      <c r="BY2" s="845" t="s">
        <v>173</v>
      </c>
      <c r="BZ2" s="846" t="s">
        <v>216</v>
      </c>
      <c r="CA2" s="846" t="s">
        <v>217</v>
      </c>
    </row>
    <row r="3" spans="1:79" ht="90.75" thickBot="1" x14ac:dyDescent="0.3">
      <c r="A3" s="849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845" t="s">
        <v>120</v>
      </c>
      <c r="BY3" s="845" t="s">
        <v>174</v>
      </c>
      <c r="BZ3" s="846" t="s">
        <v>120</v>
      </c>
      <c r="CA3" s="846" t="s">
        <v>222</v>
      </c>
    </row>
    <row r="4" spans="1:79" ht="31.5" x14ac:dyDescent="0.25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836">
        <v>28960</v>
      </c>
      <c r="Q4" s="438">
        <f>SUM(T4,X4,AB4,AS4,AX4,BA4)</f>
        <v>9.2725906084656096</v>
      </c>
      <c r="R4" s="438">
        <f>SUM(U4,Y4,AC4,AI4,AT4,BB4)</f>
        <v>6.8909061706349206</v>
      </c>
      <c r="S4" s="438">
        <f>SUM(V4,Z4,AD4,AJ4,AU4)</f>
        <v>3.4561712202380956</v>
      </c>
      <c r="T4" s="453">
        <f>S17</f>
        <v>3.9042486772486775</v>
      </c>
      <c r="U4" s="453">
        <f>T4/100*70</f>
        <v>2.7329740740740744</v>
      </c>
      <c r="V4" s="453">
        <f>T4/100*30</f>
        <v>1.1712746031746033</v>
      </c>
      <c r="W4" s="453">
        <v>0</v>
      </c>
      <c r="X4" s="454">
        <f>S18</f>
        <v>2.9281865079365081</v>
      </c>
      <c r="Y4" s="454">
        <f>X4/100*70</f>
        <v>2.0497305555555556</v>
      </c>
      <c r="Z4" s="454">
        <f>X4/100*30</f>
        <v>0.87845595238095242</v>
      </c>
      <c r="AA4" s="454">
        <v>0</v>
      </c>
      <c r="AB4" s="455">
        <f>S19</f>
        <v>0.48803108465608469</v>
      </c>
      <c r="AC4" s="455">
        <f>AB4/100*70</f>
        <v>0.34162175925925931</v>
      </c>
      <c r="AD4" s="455">
        <f>AB4/100*30</f>
        <v>0.14640932539682541</v>
      </c>
      <c r="AE4" s="201">
        <v>0</v>
      </c>
      <c r="AF4" s="823">
        <v>0</v>
      </c>
      <c r="AG4" s="823">
        <v>0</v>
      </c>
      <c r="AH4" s="823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1.4640932539682541</v>
      </c>
      <c r="AT4" s="457">
        <f>AS4/100*90</f>
        <v>1.3176839285714286</v>
      </c>
      <c r="AU4" s="457">
        <f>AT4/100*85</f>
        <v>1.1200313392857144</v>
      </c>
      <c r="AV4" s="457">
        <v>0</v>
      </c>
      <c r="AW4" s="457">
        <v>0</v>
      </c>
      <c r="AX4" s="458">
        <f>S22</f>
        <v>0.19521243386243387</v>
      </c>
      <c r="AY4" s="469">
        <v>4</v>
      </c>
      <c r="AZ4" s="459" t="s">
        <v>65</v>
      </c>
      <c r="BA4" s="460">
        <f>S23</f>
        <v>0.29281865079365077</v>
      </c>
      <c r="BB4" s="458">
        <f>BA4/100*85</f>
        <v>0.24889585317460317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1.1712746031746033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835" t="s">
        <v>67</v>
      </c>
      <c r="CA4" s="835" t="s">
        <v>223</v>
      </c>
    </row>
    <row r="5" spans="1:79" ht="31.5" x14ac:dyDescent="0.25">
      <c r="A5" s="50">
        <v>50</v>
      </c>
      <c r="B5" s="832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9.6990601851851856</v>
      </c>
      <c r="R5" s="438">
        <f>SUM(U5,Y5,AC5,AI5,AT5,BB5)</f>
        <v>7.1986376388888891</v>
      </c>
      <c r="S5" s="438">
        <f>SUM(V5,Z5,AD5,AJ5,AU5)</f>
        <v>3.6086902083333339</v>
      </c>
      <c r="T5" s="453">
        <f>X17</f>
        <v>4.083814814814815</v>
      </c>
      <c r="U5" s="453">
        <f>T5/100*70</f>
        <v>2.8586703703703704</v>
      </c>
      <c r="V5" s="453">
        <f>T5/100*30</f>
        <v>1.2251444444444446</v>
      </c>
      <c r="W5" s="345">
        <v>0</v>
      </c>
      <c r="X5" s="454">
        <f>X18</f>
        <v>3.0628611111111113</v>
      </c>
      <c r="Y5" s="454">
        <f>X5/100*70</f>
        <v>2.1440027777777781</v>
      </c>
      <c r="Z5" s="454">
        <f>X5/100*30</f>
        <v>0.91885833333333344</v>
      </c>
      <c r="AA5" s="346">
        <v>0</v>
      </c>
      <c r="AB5" s="455">
        <f>X19</f>
        <v>0.51047685185185188</v>
      </c>
      <c r="AC5" s="455">
        <f>AB5/100*70</f>
        <v>0.3573337962962963</v>
      </c>
      <c r="AD5" s="455">
        <f>AB5/100*30</f>
        <v>0.15314305555555557</v>
      </c>
      <c r="AE5" s="250">
        <v>0</v>
      </c>
      <c r="AF5" s="823">
        <v>0</v>
      </c>
      <c r="AG5" s="823">
        <v>0</v>
      </c>
      <c r="AH5" s="823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1.5314305555555556</v>
      </c>
      <c r="AT5" s="457">
        <f>AS5/100*90</f>
        <v>1.3782875000000001</v>
      </c>
      <c r="AU5" s="457">
        <f>AT5/100*85</f>
        <v>1.1715443750000001</v>
      </c>
      <c r="AV5" s="349">
        <v>0</v>
      </c>
      <c r="AW5" s="349">
        <v>0</v>
      </c>
      <c r="AX5" s="458">
        <f>X22</f>
        <v>0.20419074074074076</v>
      </c>
      <c r="AY5" s="350">
        <v>1</v>
      </c>
      <c r="AZ5" s="459" t="s">
        <v>65</v>
      </c>
      <c r="BA5" s="458">
        <f>X23</f>
        <v>0.30628611111111115</v>
      </c>
      <c r="BB5" s="824">
        <f>BA5/100*85</f>
        <v>0.26034319444444448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1.2251444444444446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835" t="s">
        <v>67</v>
      </c>
      <c r="CA5" s="835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31.5" x14ac:dyDescent="0.25">
      <c r="A7" s="50">
        <v>60</v>
      </c>
      <c r="B7" s="832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837">
        <f t="shared" si="0"/>
        <v>28960</v>
      </c>
      <c r="Q7" s="394">
        <f>SUM(T7,X7,AB7,AS7,AX7,BA7)</f>
        <v>278.17771825396829</v>
      </c>
      <c r="R7" s="394">
        <f>SUM(U7,Y7,AC7,AI7,AT7,BB7)</f>
        <v>206.72718511904762</v>
      </c>
      <c r="S7" s="394">
        <f>SUM(V7,Z7,AD7,AJ7,AU7)</f>
        <v>103.68513660714288</v>
      </c>
      <c r="T7" s="527">
        <f>T4*30</f>
        <v>117.12746031746033</v>
      </c>
      <c r="U7" s="527">
        <f t="shared" ref="U7:AD8" si="1">U4*30</f>
        <v>81.989222222222239</v>
      </c>
      <c r="V7" s="527">
        <f t="shared" si="1"/>
        <v>35.138238095238101</v>
      </c>
      <c r="W7" s="527">
        <f t="shared" si="1"/>
        <v>0</v>
      </c>
      <c r="X7" s="527">
        <f t="shared" si="1"/>
        <v>87.845595238095243</v>
      </c>
      <c r="Y7" s="527">
        <f t="shared" si="1"/>
        <v>61.491916666666668</v>
      </c>
      <c r="Z7" s="527">
        <f t="shared" si="1"/>
        <v>26.353678571428574</v>
      </c>
      <c r="AA7" s="527">
        <f t="shared" si="1"/>
        <v>0</v>
      </c>
      <c r="AB7" s="527">
        <f t="shared" si="1"/>
        <v>14.640932539682542</v>
      </c>
      <c r="AC7" s="527">
        <f t="shared" si="1"/>
        <v>10.24865277777778</v>
      </c>
      <c r="AD7" s="527">
        <f t="shared" si="1"/>
        <v>4.3922797619047627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43.922797619047621</v>
      </c>
      <c r="AT7" s="682">
        <f t="shared" ref="AT7:BB8" si="2">AT4*30</f>
        <v>39.530517857142854</v>
      </c>
      <c r="AU7" s="682">
        <f t="shared" si="2"/>
        <v>33.600940178571435</v>
      </c>
      <c r="AV7" s="682">
        <f t="shared" si="2"/>
        <v>0</v>
      </c>
      <c r="AW7" s="682">
        <f t="shared" si="2"/>
        <v>0</v>
      </c>
      <c r="AX7" s="682">
        <f t="shared" si="2"/>
        <v>5.8563730158730163</v>
      </c>
      <c r="AY7" s="682">
        <f t="shared" si="2"/>
        <v>120</v>
      </c>
      <c r="AZ7" s="682" t="e">
        <f t="shared" si="2"/>
        <v>#VALUE!</v>
      </c>
      <c r="BA7" s="682">
        <f t="shared" si="2"/>
        <v>8.7845595238095235</v>
      </c>
      <c r="BB7" s="682">
        <f t="shared" si="2"/>
        <v>7.4668755952380952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835" t="s">
        <v>67</v>
      </c>
      <c r="CA7" s="835" t="s">
        <v>223</v>
      </c>
    </row>
    <row r="8" spans="1:79" ht="31.5" x14ac:dyDescent="0.25">
      <c r="A8" s="50">
        <v>50</v>
      </c>
      <c r="B8" s="832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290.97180555555559</v>
      </c>
      <c r="R8" s="394">
        <f>SUM(U8,Y8,AC8,AI8,AT8,BB8)</f>
        <v>215.95912916666668</v>
      </c>
      <c r="S8" s="394">
        <f>SUM(V8,Z8,AD8,AJ8,AU8)</f>
        <v>108.26070625000001</v>
      </c>
      <c r="T8" s="527">
        <f>T5*30</f>
        <v>122.51444444444445</v>
      </c>
      <c r="U8" s="527">
        <f t="shared" si="1"/>
        <v>85.760111111111115</v>
      </c>
      <c r="V8" s="527">
        <f t="shared" si="1"/>
        <v>36.754333333333335</v>
      </c>
      <c r="W8" s="527">
        <f t="shared" si="1"/>
        <v>0</v>
      </c>
      <c r="X8" s="527">
        <f t="shared" si="1"/>
        <v>91.885833333333338</v>
      </c>
      <c r="Y8" s="527">
        <f t="shared" si="1"/>
        <v>64.320083333333343</v>
      </c>
      <c r="Z8" s="527">
        <f t="shared" si="1"/>
        <v>27.565750000000005</v>
      </c>
      <c r="AA8" s="527">
        <f t="shared" si="1"/>
        <v>0</v>
      </c>
      <c r="AB8" s="527">
        <f t="shared" si="1"/>
        <v>15.314305555555556</v>
      </c>
      <c r="AC8" s="527">
        <f t="shared" si="1"/>
        <v>10.720013888888889</v>
      </c>
      <c r="AD8" s="527">
        <f t="shared" si="1"/>
        <v>4.5942916666666669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45.942916666666669</v>
      </c>
      <c r="AT8" s="682">
        <f t="shared" si="2"/>
        <v>41.348625000000006</v>
      </c>
      <c r="AU8" s="682">
        <f t="shared" si="2"/>
        <v>35.146331250000003</v>
      </c>
      <c r="AV8" s="682">
        <f t="shared" si="2"/>
        <v>0</v>
      </c>
      <c r="AW8" s="682">
        <f t="shared" si="2"/>
        <v>0</v>
      </c>
      <c r="AX8" s="682">
        <f t="shared" si="2"/>
        <v>6.1257222222222225</v>
      </c>
      <c r="AY8" s="682">
        <f t="shared" si="2"/>
        <v>30</v>
      </c>
      <c r="AZ8" s="682" t="e">
        <f t="shared" si="2"/>
        <v>#VALUE!</v>
      </c>
      <c r="BA8" s="682">
        <f t="shared" si="2"/>
        <v>9.1885833333333338</v>
      </c>
      <c r="BB8" s="682">
        <f t="shared" si="2"/>
        <v>7.8102958333333348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835" t="s">
        <v>67</v>
      </c>
      <c r="CA8" s="835" t="s">
        <v>224</v>
      </c>
    </row>
    <row r="9" spans="1:79" x14ac:dyDescent="0.25">
      <c r="R9" s="393">
        <f>R7+R8</f>
        <v>422.68631428571427</v>
      </c>
      <c r="S9" s="393">
        <f>S7+S8</f>
        <v>211.94584285714291</v>
      </c>
    </row>
    <row r="11" spans="1:79" x14ac:dyDescent="0.25">
      <c r="P11" s="1059">
        <v>45505</v>
      </c>
    </row>
    <row r="12" spans="1:79" x14ac:dyDescent="0.25"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838">
        <v>31179</v>
      </c>
      <c r="T14" s="838"/>
      <c r="V14" s="1127" t="s">
        <v>192</v>
      </c>
      <c r="W14" s="1128"/>
      <c r="X14" s="838">
        <v>32613</v>
      </c>
      <c r="Y14" s="838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838">
        <v>284</v>
      </c>
      <c r="T15" s="838" t="s">
        <v>227</v>
      </c>
      <c r="V15" s="1127" t="s">
        <v>193</v>
      </c>
      <c r="W15" s="1128"/>
      <c r="X15" s="838">
        <v>284</v>
      </c>
      <c r="Y15" s="838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9.7606216931216938</v>
      </c>
      <c r="T16" s="838"/>
      <c r="V16" s="1127" t="s">
        <v>195</v>
      </c>
      <c r="W16" s="1128"/>
      <c r="X16" s="596">
        <f>X14*X15/907200</f>
        <v>10.209537037037038</v>
      </c>
      <c r="Y16" s="838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3.9042486772486775</v>
      </c>
      <c r="T17" s="838">
        <v>40</v>
      </c>
      <c r="V17" s="1132" t="s">
        <v>9</v>
      </c>
      <c r="W17" s="1133"/>
      <c r="X17" s="592">
        <f>X16/100*40</f>
        <v>4.083814814814815</v>
      </c>
      <c r="Y17" s="838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2.9281865079365081</v>
      </c>
      <c r="T18" s="838">
        <v>30</v>
      </c>
      <c r="V18" s="1132" t="s">
        <v>10</v>
      </c>
      <c r="W18" s="1133"/>
      <c r="X18" s="592">
        <f>X16/100*30</f>
        <v>3.0628611111111113</v>
      </c>
      <c r="Y18" s="838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0.48803108465608469</v>
      </c>
      <c r="T19" s="838">
        <v>5</v>
      </c>
      <c r="V19" s="1132" t="s">
        <v>11</v>
      </c>
      <c r="W19" s="1133"/>
      <c r="X19" s="592">
        <f>X16/100*5</f>
        <v>0.51047685185185188</v>
      </c>
      <c r="Y19" s="838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0.48803108465608469</v>
      </c>
      <c r="T20" s="838">
        <v>5</v>
      </c>
      <c r="V20" s="1132" t="s">
        <v>12</v>
      </c>
      <c r="W20" s="1133"/>
      <c r="X20" s="592">
        <f>X16/100*5</f>
        <v>0.51047685185185188</v>
      </c>
      <c r="Y20" s="838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1.4640932539682541</v>
      </c>
      <c r="T21" s="838">
        <v>15</v>
      </c>
      <c r="V21" s="1132" t="s">
        <v>99</v>
      </c>
      <c r="W21" s="1133"/>
      <c r="X21" s="592">
        <f>X16/100*15</f>
        <v>1.5314305555555556</v>
      </c>
      <c r="Y21" s="838">
        <v>15</v>
      </c>
      <c r="AA21" s="1129">
        <f>AA20*30</f>
        <v>448.9776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0.19521243386243387</v>
      </c>
      <c r="T22" s="838">
        <v>2</v>
      </c>
      <c r="V22" s="1132" t="s">
        <v>100</v>
      </c>
      <c r="W22" s="1133"/>
      <c r="X22" s="592">
        <f>X16/100*2</f>
        <v>0.20419074074074076</v>
      </c>
      <c r="Y22" s="838">
        <v>2</v>
      </c>
      <c r="AA22" s="1129">
        <f>AA21/100*3</f>
        <v>13.469328000000001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0.29281865079365077</v>
      </c>
      <c r="T23" s="838">
        <v>3</v>
      </c>
      <c r="V23" s="1132" t="s">
        <v>101</v>
      </c>
      <c r="W23" s="1133"/>
      <c r="X23" s="592">
        <f>X16/100*3</f>
        <v>0.30628611111111115</v>
      </c>
      <c r="Y23" s="838">
        <v>3</v>
      </c>
    </row>
    <row r="24" spans="17:35" x14ac:dyDescent="0.25">
      <c r="Q24" s="1140" t="s">
        <v>89</v>
      </c>
      <c r="R24" s="1141"/>
      <c r="S24" s="596">
        <f>SUM(S17:S23)</f>
        <v>9.7606216931216938</v>
      </c>
      <c r="T24" s="838">
        <f>SUM(T17:T23)</f>
        <v>100</v>
      </c>
      <c r="V24" s="1140" t="s">
        <v>89</v>
      </c>
      <c r="W24" s="1141"/>
      <c r="X24" s="596">
        <f>SUM(X17:X23)</f>
        <v>10.209537037037038</v>
      </c>
      <c r="Y24" s="838">
        <f>SUM(Y17:Y23)</f>
        <v>100</v>
      </c>
      <c r="AA24">
        <v>3.25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840"/>
      <c r="AH29" s="840"/>
    </row>
    <row r="30" spans="17:35" x14ac:dyDescent="0.25">
      <c r="R30" s="1147" t="s">
        <v>86</v>
      </c>
      <c r="S30" s="1147"/>
      <c r="T30" s="1148">
        <f>U7</f>
        <v>81.989222222222239</v>
      </c>
      <c r="U30" s="1148"/>
      <c r="V30" s="1148">
        <f>V7</f>
        <v>35.138238095238101</v>
      </c>
      <c r="W30" s="1148"/>
      <c r="X30" s="393"/>
      <c r="AA30" s="1147" t="s">
        <v>86</v>
      </c>
      <c r="AB30" s="1147"/>
      <c r="AC30" s="1148">
        <f>U8</f>
        <v>85.760111111111115</v>
      </c>
      <c r="AD30" s="1148"/>
      <c r="AE30" s="1148">
        <f>V8</f>
        <v>36.754333333333335</v>
      </c>
      <c r="AF30" s="1148"/>
      <c r="AG30" s="842"/>
      <c r="AH30" s="842"/>
    </row>
    <row r="31" spans="17:35" x14ac:dyDescent="0.25">
      <c r="R31" s="1147" t="s">
        <v>87</v>
      </c>
      <c r="S31" s="1147"/>
      <c r="T31" s="1148">
        <f>Y7</f>
        <v>61.491916666666668</v>
      </c>
      <c r="U31" s="1148"/>
      <c r="V31" s="1148">
        <f>Z7</f>
        <v>26.353678571428574</v>
      </c>
      <c r="W31" s="1148"/>
      <c r="X31" s="393"/>
      <c r="AA31" s="1147" t="s">
        <v>87</v>
      </c>
      <c r="AB31" s="1147"/>
      <c r="AC31" s="1148">
        <f>Y8</f>
        <v>64.320083333333343</v>
      </c>
      <c r="AD31" s="1148"/>
      <c r="AE31" s="1148">
        <f>Z8</f>
        <v>27.565750000000005</v>
      </c>
      <c r="AF31" s="1148"/>
      <c r="AG31" s="842"/>
      <c r="AH31" s="842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841"/>
      <c r="AH32" s="841"/>
    </row>
    <row r="33" spans="18:34" x14ac:dyDescent="0.25">
      <c r="R33" s="1147" t="s">
        <v>202</v>
      </c>
      <c r="S33" s="1147"/>
      <c r="T33" s="1151">
        <v>4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841"/>
      <c r="AH33" s="841"/>
    </row>
    <row r="34" spans="18:34" x14ac:dyDescent="0.25">
      <c r="R34" s="1147" t="s">
        <v>90</v>
      </c>
      <c r="S34" s="1147"/>
      <c r="T34" s="1153">
        <f>T35-T32-T33</f>
        <v>51.246046230158726</v>
      </c>
      <c r="U34" s="1154"/>
      <c r="V34" s="1153">
        <f>V35-V32-V33</f>
        <v>37.193219940476197</v>
      </c>
      <c r="W34" s="1154"/>
      <c r="AA34" s="1155" t="s">
        <v>90</v>
      </c>
      <c r="AB34" s="1156"/>
      <c r="AC34" s="1153">
        <f>AC35-AC32-AC33</f>
        <v>55.878934722222226</v>
      </c>
      <c r="AD34" s="1157"/>
      <c r="AE34" s="1153">
        <f>AE35-AE33-AE32</f>
        <v>38.940622916666669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63.246046230158726</v>
      </c>
      <c r="U35" s="1162"/>
      <c r="V35" s="1161">
        <f>SUM(AD7,AJ7,AU7)</f>
        <v>42.193219940476197</v>
      </c>
      <c r="W35" s="1162"/>
      <c r="AA35" s="1147" t="s">
        <v>90</v>
      </c>
      <c r="AB35" s="1147"/>
      <c r="AC35" s="1161">
        <f>SUM(AC8,AI8,AT8,BB8)</f>
        <v>65.878934722222226</v>
      </c>
      <c r="AD35" s="1162"/>
      <c r="AE35" s="1161">
        <f>SUM(AD8,AJ8,AU8)</f>
        <v>43.940622916666669</v>
      </c>
      <c r="AF35" s="1162"/>
      <c r="AG35" s="843"/>
      <c r="AH35" s="843"/>
    </row>
    <row r="36" spans="18:34" x14ac:dyDescent="0.25">
      <c r="R36" s="1159"/>
      <c r="S36" s="1159"/>
      <c r="T36" s="1160">
        <f>SUM(T30:U34)</f>
        <v>206.72718511904762</v>
      </c>
      <c r="U36" s="1160"/>
      <c r="V36" s="1160">
        <f>SUM(V30,V31,V32,V33,V34)</f>
        <v>103.68513660714287</v>
      </c>
      <c r="W36" s="1160"/>
      <c r="X36" s="393"/>
      <c r="AA36" s="1159"/>
      <c r="AB36" s="1159"/>
      <c r="AC36" s="1160">
        <f>SUM(AC30:AD34)</f>
        <v>215.95912916666668</v>
      </c>
      <c r="AD36" s="1160"/>
      <c r="AE36" s="1160">
        <f>SUM(AE30,AE31,AE32,AE33,AE34)</f>
        <v>108.26070625000001</v>
      </c>
      <c r="AF36" s="1160"/>
      <c r="AG36" s="839"/>
      <c r="AH36" s="839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103.68513660714287</v>
      </c>
      <c r="X38" s="393"/>
    </row>
    <row r="46" spans="18:34" x14ac:dyDescent="0.25">
      <c r="T46" s="619" t="s">
        <v>90</v>
      </c>
      <c r="U46" s="854">
        <v>0</v>
      </c>
      <c r="V46" s="854">
        <v>56</v>
      </c>
      <c r="W46" s="854">
        <v>39</v>
      </c>
      <c r="X46" s="854">
        <v>720.28599999999994</v>
      </c>
    </row>
    <row r="47" spans="18:34" x14ac:dyDescent="0.25">
      <c r="T47" s="619" t="s">
        <v>86</v>
      </c>
      <c r="U47" s="854">
        <v>0</v>
      </c>
      <c r="V47" s="854">
        <v>86</v>
      </c>
      <c r="W47" s="854">
        <v>37</v>
      </c>
      <c r="X47" s="854">
        <v>2.7</v>
      </c>
    </row>
    <row r="48" spans="18:34" x14ac:dyDescent="0.25">
      <c r="T48" s="619" t="s">
        <v>87</v>
      </c>
      <c r="U48" s="854">
        <v>0</v>
      </c>
      <c r="V48" s="854">
        <v>64</v>
      </c>
      <c r="W48" s="854">
        <v>28</v>
      </c>
      <c r="X48" s="854">
        <v>1.7</v>
      </c>
    </row>
    <row r="49" spans="20:24" x14ac:dyDescent="0.25">
      <c r="T49" s="619" t="s">
        <v>201</v>
      </c>
      <c r="U49" s="854">
        <v>0</v>
      </c>
      <c r="V49" s="854">
        <v>7</v>
      </c>
      <c r="W49" s="854">
        <v>5</v>
      </c>
      <c r="X49" s="854">
        <v>0.08</v>
      </c>
    </row>
    <row r="50" spans="20:24" x14ac:dyDescent="0.25">
      <c r="T50" s="619" t="s">
        <v>202</v>
      </c>
      <c r="U50" s="854">
        <v>0</v>
      </c>
      <c r="V50" s="854">
        <v>3</v>
      </c>
      <c r="W50" s="854">
        <v>0</v>
      </c>
      <c r="X50" s="854">
        <v>0.05</v>
      </c>
    </row>
    <row r="51" spans="20:24" x14ac:dyDescent="0.25">
      <c r="U51">
        <f>SUM(U46:U50)</f>
        <v>0</v>
      </c>
      <c r="V51">
        <f t="shared" ref="V51:X51" si="3">SUM(V46:V50)</f>
        <v>216</v>
      </c>
      <c r="W51">
        <f t="shared" si="3"/>
        <v>109</v>
      </c>
      <c r="X51">
        <f t="shared" si="3"/>
        <v>724.81600000000003</v>
      </c>
    </row>
  </sheetData>
  <mergeCells count="124"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1"/>
  <sheetViews>
    <sheetView topLeftCell="P5" zoomScaleNormal="100" workbookViewId="0">
      <selection activeCell="P10" sqref="A1:XFD1048576"/>
    </sheetView>
  </sheetViews>
  <sheetFormatPr defaultRowHeight="15" x14ac:dyDescent="0.25"/>
  <cols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873" t="s">
        <v>17</v>
      </c>
      <c r="R2" s="873" t="s">
        <v>18</v>
      </c>
      <c r="S2" s="873" t="s">
        <v>19</v>
      </c>
      <c r="T2" s="874" t="s">
        <v>20</v>
      </c>
      <c r="U2" s="874" t="s">
        <v>21</v>
      </c>
      <c r="V2" s="874" t="s">
        <v>22</v>
      </c>
      <c r="W2" s="874">
        <v>45</v>
      </c>
      <c r="X2" s="875" t="s">
        <v>24</v>
      </c>
      <c r="Y2" s="875" t="s">
        <v>25</v>
      </c>
      <c r="Z2" s="875" t="s">
        <v>26</v>
      </c>
      <c r="AA2" s="875" t="s">
        <v>27</v>
      </c>
      <c r="AB2" s="876" t="s">
        <v>28</v>
      </c>
      <c r="AC2" s="876" t="s">
        <v>29</v>
      </c>
      <c r="AD2" s="876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870" t="s">
        <v>31</v>
      </c>
      <c r="AJ2" s="870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856" t="s">
        <v>102</v>
      </c>
      <c r="AT2" s="856" t="s">
        <v>103</v>
      </c>
      <c r="AU2" s="856" t="s">
        <v>104</v>
      </c>
      <c r="AV2" s="856" t="s">
        <v>105</v>
      </c>
      <c r="AW2" s="856" t="s">
        <v>106</v>
      </c>
      <c r="AX2" s="857" t="s">
        <v>107</v>
      </c>
      <c r="AY2" s="857" t="s">
        <v>108</v>
      </c>
      <c r="AZ2" s="857" t="s">
        <v>109</v>
      </c>
      <c r="BA2" s="857" t="s">
        <v>110</v>
      </c>
      <c r="BB2" s="857" t="s">
        <v>111</v>
      </c>
      <c r="BC2" s="857" t="s">
        <v>112</v>
      </c>
      <c r="BD2" s="857" t="s">
        <v>113</v>
      </c>
      <c r="BE2" s="857" t="s">
        <v>114</v>
      </c>
      <c r="BF2" s="857" t="s">
        <v>115</v>
      </c>
      <c r="BG2" s="729" t="s">
        <v>116</v>
      </c>
      <c r="BH2" s="730" t="s">
        <v>117</v>
      </c>
      <c r="BI2" s="857" t="s">
        <v>118</v>
      </c>
      <c r="BJ2" s="871" t="s">
        <v>14</v>
      </c>
      <c r="BK2" s="871" t="s">
        <v>167</v>
      </c>
      <c r="BL2" s="871" t="s">
        <v>39</v>
      </c>
      <c r="BM2" s="871" t="s">
        <v>40</v>
      </c>
      <c r="BN2" s="871" t="s">
        <v>41</v>
      </c>
      <c r="BO2" s="871" t="s">
        <v>43</v>
      </c>
      <c r="BP2" s="871" t="s">
        <v>44</v>
      </c>
      <c r="BQ2" s="871" t="s">
        <v>46</v>
      </c>
      <c r="BR2" s="867" t="s">
        <v>47</v>
      </c>
      <c r="BS2" s="867" t="s">
        <v>48</v>
      </c>
      <c r="BT2" s="856" t="s">
        <v>49</v>
      </c>
      <c r="BU2" s="856" t="s">
        <v>50</v>
      </c>
      <c r="BV2" s="867" t="s">
        <v>131</v>
      </c>
      <c r="BW2" s="867" t="s">
        <v>132</v>
      </c>
      <c r="BX2" s="868" t="s">
        <v>172</v>
      </c>
      <c r="BY2" s="868" t="s">
        <v>173</v>
      </c>
      <c r="BZ2" s="869" t="s">
        <v>216</v>
      </c>
      <c r="CA2" s="869" t="s">
        <v>217</v>
      </c>
    </row>
    <row r="3" spans="1:79" ht="90.75" thickBot="1" x14ac:dyDescent="0.3">
      <c r="A3" s="872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868" t="s">
        <v>120</v>
      </c>
      <c r="BY3" s="868" t="s">
        <v>174</v>
      </c>
      <c r="BZ3" s="869" t="s">
        <v>120</v>
      </c>
      <c r="CA3" s="869" t="s">
        <v>222</v>
      </c>
    </row>
    <row r="4" spans="1:79" ht="32.25" thickBot="1" x14ac:dyDescent="0.3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859">
        <v>28960</v>
      </c>
      <c r="Q4" s="438">
        <f>SUM(T4,X4,AB4,AS4,AX4,BA4)</f>
        <v>8.815491071428573</v>
      </c>
      <c r="R4" s="438">
        <f>SUM(U4,Y4,AC4,AI4,AT4,BB4)</f>
        <v>6.5610727678571426</v>
      </c>
      <c r="S4" s="438">
        <f>SUM(V4,Z4,AD4,AJ4,AU4)</f>
        <v>3.2926979910714289</v>
      </c>
      <c r="T4" s="453">
        <f>S17</f>
        <v>3.711785714285714</v>
      </c>
      <c r="U4" s="453">
        <f>T4/100*70</f>
        <v>2.5982499999999997</v>
      </c>
      <c r="V4" s="453">
        <f>T4/100*30</f>
        <v>1.1135357142857143</v>
      </c>
      <c r="W4" s="453">
        <v>0</v>
      </c>
      <c r="X4" s="454">
        <f>S18</f>
        <v>2.7838392857142855</v>
      </c>
      <c r="Y4" s="454">
        <f>X4/100*70</f>
        <v>1.9486874999999999</v>
      </c>
      <c r="Z4" s="454">
        <f>X4/100*30</f>
        <v>0.83515178571428572</v>
      </c>
      <c r="AA4" s="454">
        <v>0</v>
      </c>
      <c r="AB4" s="455">
        <f>S19</f>
        <v>0.46397321428571425</v>
      </c>
      <c r="AC4" s="455">
        <f>AB4/100*70</f>
        <v>0.32478124999999997</v>
      </c>
      <c r="AD4" s="455">
        <f>AB4/100*30</f>
        <v>0.13919196428571429</v>
      </c>
      <c r="AE4" s="877">
        <v>2</v>
      </c>
      <c r="AF4" s="878">
        <v>500</v>
      </c>
      <c r="AG4" s="878">
        <v>0</v>
      </c>
      <c r="AH4" s="878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1.3919196428571428</v>
      </c>
      <c r="AT4" s="457">
        <f>AS4/100*90</f>
        <v>1.2527276785714285</v>
      </c>
      <c r="AU4" s="457">
        <f>AT4/100*85</f>
        <v>1.0648185267857142</v>
      </c>
      <c r="AV4" s="457">
        <v>0</v>
      </c>
      <c r="AW4" s="457">
        <v>0</v>
      </c>
      <c r="AX4" s="458">
        <f>S22</f>
        <v>0.18558928571428571</v>
      </c>
      <c r="AY4" s="469">
        <v>4</v>
      </c>
      <c r="AZ4" s="459" t="s">
        <v>65</v>
      </c>
      <c r="BA4" s="460">
        <f>S23</f>
        <v>0.27838392857142857</v>
      </c>
      <c r="BB4" s="458">
        <f>BA4/100*85</f>
        <v>0.23662633928571428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1.1135357142857143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858" t="s">
        <v>67</v>
      </c>
      <c r="CA4" s="858" t="s">
        <v>223</v>
      </c>
    </row>
    <row r="5" spans="1:79" ht="32.25" thickBot="1" x14ac:dyDescent="0.3">
      <c r="A5" s="50">
        <v>50</v>
      </c>
      <c r="B5" s="855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9.2209374999999998</v>
      </c>
      <c r="R5" s="438">
        <f>SUM(U5,Y5,AC5,AI5,AT5,BB5)</f>
        <v>6.8536343750000013</v>
      </c>
      <c r="S5" s="438">
        <f>SUM(V5,Z5,AD5,AJ5,AU5)</f>
        <v>3.4376984375000004</v>
      </c>
      <c r="T5" s="453">
        <f>X17</f>
        <v>3.8825000000000003</v>
      </c>
      <c r="U5" s="453">
        <f>T5/100*70</f>
        <v>2.7177500000000006</v>
      </c>
      <c r="V5" s="453">
        <f>T5/100*30</f>
        <v>1.1647500000000002</v>
      </c>
      <c r="W5" s="345">
        <v>0</v>
      </c>
      <c r="X5" s="454">
        <f>X18</f>
        <v>2.9118750000000002</v>
      </c>
      <c r="Y5" s="454">
        <f>X5/100*70</f>
        <v>2.0383125</v>
      </c>
      <c r="Z5" s="454">
        <f>X5/100*30</f>
        <v>0.87356250000000002</v>
      </c>
      <c r="AA5" s="346">
        <v>0</v>
      </c>
      <c r="AB5" s="455">
        <f>X19</f>
        <v>0.48531250000000004</v>
      </c>
      <c r="AC5" s="455">
        <f>AB5/100*70</f>
        <v>0.33971875000000007</v>
      </c>
      <c r="AD5" s="455">
        <f>AB5/100*30</f>
        <v>0.14559375000000002</v>
      </c>
      <c r="AE5" s="877">
        <v>0</v>
      </c>
      <c r="AF5" s="878">
        <v>0</v>
      </c>
      <c r="AG5" s="878">
        <v>0</v>
      </c>
      <c r="AH5" s="878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1.4559375000000001</v>
      </c>
      <c r="AT5" s="457">
        <f>AS5/100*90</f>
        <v>1.3103437500000001</v>
      </c>
      <c r="AU5" s="457">
        <f>AT5/100*85</f>
        <v>1.1137921875000001</v>
      </c>
      <c r="AV5" s="349">
        <v>0</v>
      </c>
      <c r="AW5" s="349">
        <v>0</v>
      </c>
      <c r="AX5" s="458">
        <f>X22</f>
        <v>0.19412500000000002</v>
      </c>
      <c r="AY5" s="350">
        <v>1</v>
      </c>
      <c r="AZ5" s="459" t="s">
        <v>65</v>
      </c>
      <c r="BA5" s="458">
        <f>X23</f>
        <v>0.29118750000000004</v>
      </c>
      <c r="BB5" s="824">
        <f>BA5/100*85</f>
        <v>0.24750937500000003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1.1647500000000002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858" t="s">
        <v>67</v>
      </c>
      <c r="CA5" s="858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31.5" x14ac:dyDescent="0.25">
      <c r="A7" s="50">
        <v>60</v>
      </c>
      <c r="B7" s="855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860">
        <f t="shared" si="0"/>
        <v>28960</v>
      </c>
      <c r="Q7" s="394">
        <f>SUM(T7,X7,AB7,AS7,AX7,BA7)</f>
        <v>264.46473214285714</v>
      </c>
      <c r="R7" s="394">
        <f>SUM(U7,Y7,AC7,AI7,AT7,BB7)</f>
        <v>196.83218303571425</v>
      </c>
      <c r="S7" s="394">
        <f>SUM(V7,Z7,AD7,AJ7,AU7)</f>
        <v>98.780939732142855</v>
      </c>
      <c r="T7" s="527">
        <f>T4*30</f>
        <v>111.35357142857143</v>
      </c>
      <c r="U7" s="527">
        <f t="shared" ref="U7:AD8" si="1">U4*30</f>
        <v>77.947499999999991</v>
      </c>
      <c r="V7" s="527">
        <f t="shared" si="1"/>
        <v>33.40607142857143</v>
      </c>
      <c r="W7" s="527">
        <f t="shared" si="1"/>
        <v>0</v>
      </c>
      <c r="X7" s="527">
        <f t="shared" si="1"/>
        <v>83.515178571428564</v>
      </c>
      <c r="Y7" s="527">
        <f t="shared" si="1"/>
        <v>58.460625</v>
      </c>
      <c r="Z7" s="527">
        <f t="shared" si="1"/>
        <v>25.054553571428571</v>
      </c>
      <c r="AA7" s="527">
        <f t="shared" si="1"/>
        <v>0</v>
      </c>
      <c r="AB7" s="527">
        <f t="shared" si="1"/>
        <v>13.919196428571428</v>
      </c>
      <c r="AC7" s="527">
        <f t="shared" si="1"/>
        <v>9.7434374999999989</v>
      </c>
      <c r="AD7" s="527">
        <f t="shared" si="1"/>
        <v>4.1757589285714287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41.757589285714282</v>
      </c>
      <c r="AT7" s="682">
        <f t="shared" ref="AT7:BB8" si="2">AT4*30</f>
        <v>37.581830357142856</v>
      </c>
      <c r="AU7" s="682">
        <f t="shared" si="2"/>
        <v>31.944555803571426</v>
      </c>
      <c r="AV7" s="682">
        <f t="shared" si="2"/>
        <v>0</v>
      </c>
      <c r="AW7" s="682">
        <f t="shared" si="2"/>
        <v>0</v>
      </c>
      <c r="AX7" s="682">
        <f t="shared" si="2"/>
        <v>5.567678571428571</v>
      </c>
      <c r="AY7" s="682">
        <f t="shared" si="2"/>
        <v>120</v>
      </c>
      <c r="AZ7" s="682" t="e">
        <f t="shared" si="2"/>
        <v>#VALUE!</v>
      </c>
      <c r="BA7" s="682">
        <f t="shared" si="2"/>
        <v>8.3515178571428574</v>
      </c>
      <c r="BB7" s="682">
        <f t="shared" si="2"/>
        <v>7.098790178571428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858" t="s">
        <v>67</v>
      </c>
      <c r="CA7" s="858" t="s">
        <v>223</v>
      </c>
    </row>
    <row r="8" spans="1:79" ht="31.5" x14ac:dyDescent="0.25">
      <c r="A8" s="50">
        <v>50</v>
      </c>
      <c r="B8" s="855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276.62812500000007</v>
      </c>
      <c r="R8" s="394">
        <f>SUM(U8,Y8,AC8,AI8,AT8,BB8)</f>
        <v>205.60903125000004</v>
      </c>
      <c r="S8" s="394">
        <f>SUM(V8,Z8,AD8,AJ8,AU8)</f>
        <v>103.13095312500002</v>
      </c>
      <c r="T8" s="527">
        <f>T5*30</f>
        <v>116.47500000000001</v>
      </c>
      <c r="U8" s="527">
        <f t="shared" si="1"/>
        <v>81.532500000000013</v>
      </c>
      <c r="V8" s="527">
        <f t="shared" si="1"/>
        <v>34.942500000000003</v>
      </c>
      <c r="W8" s="527">
        <f t="shared" si="1"/>
        <v>0</v>
      </c>
      <c r="X8" s="527">
        <f t="shared" si="1"/>
        <v>87.356250000000003</v>
      </c>
      <c r="Y8" s="527">
        <f t="shared" si="1"/>
        <v>61.149374999999999</v>
      </c>
      <c r="Z8" s="527">
        <f t="shared" si="1"/>
        <v>26.206875</v>
      </c>
      <c r="AA8" s="527">
        <f t="shared" si="1"/>
        <v>0</v>
      </c>
      <c r="AB8" s="527">
        <f t="shared" si="1"/>
        <v>14.559375000000001</v>
      </c>
      <c r="AC8" s="527">
        <f t="shared" si="1"/>
        <v>10.191562500000002</v>
      </c>
      <c r="AD8" s="527">
        <f t="shared" si="1"/>
        <v>4.3678125000000003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43.678125000000001</v>
      </c>
      <c r="AT8" s="682">
        <f t="shared" si="2"/>
        <v>39.310312500000002</v>
      </c>
      <c r="AU8" s="682">
        <f t="shared" si="2"/>
        <v>33.413765625000003</v>
      </c>
      <c r="AV8" s="682">
        <f t="shared" si="2"/>
        <v>0</v>
      </c>
      <c r="AW8" s="682">
        <f t="shared" si="2"/>
        <v>0</v>
      </c>
      <c r="AX8" s="682">
        <f t="shared" si="2"/>
        <v>5.8237500000000004</v>
      </c>
      <c r="AY8" s="682">
        <f t="shared" si="2"/>
        <v>30</v>
      </c>
      <c r="AZ8" s="682" t="e">
        <f t="shared" si="2"/>
        <v>#VALUE!</v>
      </c>
      <c r="BA8" s="682">
        <f t="shared" si="2"/>
        <v>8.7356250000000006</v>
      </c>
      <c r="BB8" s="682">
        <f t="shared" si="2"/>
        <v>7.4252812500000012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858" t="s">
        <v>67</v>
      </c>
      <c r="CA8" s="858" t="s">
        <v>224</v>
      </c>
    </row>
    <row r="9" spans="1:79" x14ac:dyDescent="0.25">
      <c r="R9" s="393">
        <f>R7+R8</f>
        <v>402.4412142857143</v>
      </c>
      <c r="S9" s="393">
        <f>S7+S8</f>
        <v>201.91189285714287</v>
      </c>
    </row>
    <row r="10" spans="1:79" x14ac:dyDescent="0.25">
      <c r="P10" s="1059">
        <v>45536</v>
      </c>
    </row>
    <row r="12" spans="1:79" x14ac:dyDescent="0.25"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861">
        <v>31179</v>
      </c>
      <c r="T14" s="861"/>
      <c r="V14" s="1127" t="s">
        <v>192</v>
      </c>
      <c r="W14" s="1128"/>
      <c r="X14" s="861">
        <v>32613</v>
      </c>
      <c r="Y14" s="861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861">
        <v>270</v>
      </c>
      <c r="T15" s="861" t="s">
        <v>227</v>
      </c>
      <c r="V15" s="1127" t="s">
        <v>193</v>
      </c>
      <c r="W15" s="1128"/>
      <c r="X15" s="861">
        <v>270</v>
      </c>
      <c r="Y15" s="861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9.2794642857142851</v>
      </c>
      <c r="T16" s="861"/>
      <c r="V16" s="1127" t="s">
        <v>195</v>
      </c>
      <c r="W16" s="1128"/>
      <c r="X16" s="596">
        <f>X14*X15/907200</f>
        <v>9.7062500000000007</v>
      </c>
      <c r="Y16" s="861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3.711785714285714</v>
      </c>
      <c r="T17" s="861">
        <v>40</v>
      </c>
      <c r="V17" s="1132" t="s">
        <v>9</v>
      </c>
      <c r="W17" s="1133"/>
      <c r="X17" s="592">
        <f>X16/100*40</f>
        <v>3.8825000000000003</v>
      </c>
      <c r="Y17" s="861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2.7838392857142855</v>
      </c>
      <c r="T18" s="861">
        <v>30</v>
      </c>
      <c r="V18" s="1132" t="s">
        <v>10</v>
      </c>
      <c r="W18" s="1133"/>
      <c r="X18" s="592">
        <f>X16/100*30</f>
        <v>2.9118750000000002</v>
      </c>
      <c r="Y18" s="861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0.46397321428571425</v>
      </c>
      <c r="T19" s="861">
        <v>5</v>
      </c>
      <c r="V19" s="1132" t="s">
        <v>11</v>
      </c>
      <c r="W19" s="1133"/>
      <c r="X19" s="592">
        <f>X16/100*5</f>
        <v>0.48531250000000004</v>
      </c>
      <c r="Y19" s="861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0.46397321428571425</v>
      </c>
      <c r="T20" s="861">
        <v>5</v>
      </c>
      <c r="V20" s="1132" t="s">
        <v>12</v>
      </c>
      <c r="W20" s="1133"/>
      <c r="X20" s="592">
        <f>X16/100*5</f>
        <v>0.48531250000000004</v>
      </c>
      <c r="Y20" s="861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1.3919196428571428</v>
      </c>
      <c r="T21" s="861">
        <v>15</v>
      </c>
      <c r="V21" s="1132" t="s">
        <v>99</v>
      </c>
      <c r="W21" s="1133"/>
      <c r="X21" s="592">
        <f>X16/100*15</f>
        <v>1.4559375000000001</v>
      </c>
      <c r="Y21" s="861">
        <v>15</v>
      </c>
      <c r="AA21" s="1129">
        <f>AA20*30</f>
        <v>448.9776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0.18558928571428571</v>
      </c>
      <c r="T22" s="861">
        <v>2</v>
      </c>
      <c r="V22" s="1132" t="s">
        <v>100</v>
      </c>
      <c r="W22" s="1133"/>
      <c r="X22" s="592">
        <f>X16/100*2</f>
        <v>0.19412500000000002</v>
      </c>
      <c r="Y22" s="861">
        <v>2</v>
      </c>
      <c r="AA22" s="1129">
        <f>AA21/100*3</f>
        <v>13.469328000000001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0.27838392857142857</v>
      </c>
      <c r="T23" s="861">
        <v>3</v>
      </c>
      <c r="V23" s="1132" t="s">
        <v>101</v>
      </c>
      <c r="W23" s="1133"/>
      <c r="X23" s="592">
        <f>X16/100*3</f>
        <v>0.29118750000000004</v>
      </c>
      <c r="Y23" s="861">
        <v>3</v>
      </c>
    </row>
    <row r="24" spans="17:35" x14ac:dyDescent="0.25">
      <c r="Q24" s="1140" t="s">
        <v>89</v>
      </c>
      <c r="R24" s="1141"/>
      <c r="S24" s="596">
        <f>SUM(S17:S23)</f>
        <v>9.2794642857142868</v>
      </c>
      <c r="T24" s="861">
        <f>SUM(T17:T23)</f>
        <v>100</v>
      </c>
      <c r="V24" s="1140" t="s">
        <v>89</v>
      </c>
      <c r="W24" s="1141"/>
      <c r="X24" s="596">
        <f>SUM(X17:X23)</f>
        <v>9.7062500000000007</v>
      </c>
      <c r="Y24" s="861">
        <f>SUM(Y17:Y23)</f>
        <v>100</v>
      </c>
      <c r="AA24">
        <v>3.25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863"/>
      <c r="AH29" s="863"/>
    </row>
    <row r="30" spans="17:35" x14ac:dyDescent="0.25">
      <c r="R30" s="1147" t="s">
        <v>86</v>
      </c>
      <c r="S30" s="1147"/>
      <c r="T30" s="1148">
        <f>U7</f>
        <v>77.947499999999991</v>
      </c>
      <c r="U30" s="1148"/>
      <c r="V30" s="1148">
        <f>V7</f>
        <v>33.40607142857143</v>
      </c>
      <c r="W30" s="1148"/>
      <c r="X30" s="393"/>
      <c r="AA30" s="1147" t="s">
        <v>86</v>
      </c>
      <c r="AB30" s="1147"/>
      <c r="AC30" s="1148">
        <f>U8</f>
        <v>81.532500000000013</v>
      </c>
      <c r="AD30" s="1148"/>
      <c r="AE30" s="1148">
        <f>V8</f>
        <v>34.942500000000003</v>
      </c>
      <c r="AF30" s="1148"/>
      <c r="AG30" s="865"/>
      <c r="AH30" s="865"/>
    </row>
    <row r="31" spans="17:35" x14ac:dyDescent="0.25">
      <c r="R31" s="1147" t="s">
        <v>87</v>
      </c>
      <c r="S31" s="1147"/>
      <c r="T31" s="1148">
        <f>Y7</f>
        <v>58.460625</v>
      </c>
      <c r="U31" s="1148"/>
      <c r="V31" s="1148">
        <f>Z7</f>
        <v>25.054553571428571</v>
      </c>
      <c r="W31" s="1148"/>
      <c r="X31" s="393"/>
      <c r="AA31" s="1147" t="s">
        <v>87</v>
      </c>
      <c r="AB31" s="1147"/>
      <c r="AC31" s="1148">
        <f>Y8</f>
        <v>61.149374999999999</v>
      </c>
      <c r="AD31" s="1148"/>
      <c r="AE31" s="1148">
        <f>Z8</f>
        <v>26.206875</v>
      </c>
      <c r="AF31" s="1148"/>
      <c r="AG31" s="865"/>
      <c r="AH31" s="865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864"/>
      <c r="AH32" s="864"/>
    </row>
    <row r="33" spans="18:34" x14ac:dyDescent="0.25">
      <c r="R33" s="1147" t="s">
        <v>202</v>
      </c>
      <c r="S33" s="1147"/>
      <c r="T33" s="1151">
        <v>4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864"/>
      <c r="AH33" s="864"/>
    </row>
    <row r="34" spans="18:34" x14ac:dyDescent="0.25">
      <c r="R34" s="1147" t="s">
        <v>90</v>
      </c>
      <c r="S34" s="1147"/>
      <c r="T34" s="1153">
        <f>T35-T32-T33</f>
        <v>48.424058035714282</v>
      </c>
      <c r="U34" s="1154"/>
      <c r="V34" s="1153">
        <f>V35-V32-V33</f>
        <v>35.320314732142855</v>
      </c>
      <c r="W34" s="1154"/>
      <c r="AA34" s="1155" t="s">
        <v>90</v>
      </c>
      <c r="AB34" s="1156"/>
      <c r="AC34" s="1153">
        <f>AC35-AC32-AC33</f>
        <v>52.92715625000001</v>
      </c>
      <c r="AD34" s="1157"/>
      <c r="AE34" s="1153">
        <f>AE35-AE33-AE32</f>
        <v>36.981578125000006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60.424058035714282</v>
      </c>
      <c r="U35" s="1162"/>
      <c r="V35" s="1161">
        <f>SUM(AD7,AJ7,AU7)</f>
        <v>40.320314732142855</v>
      </c>
      <c r="W35" s="1162"/>
      <c r="AA35" s="1147" t="s">
        <v>90</v>
      </c>
      <c r="AB35" s="1147"/>
      <c r="AC35" s="1161">
        <f>SUM(AC8,AI8,AT8,BB8)</f>
        <v>62.92715625000001</v>
      </c>
      <c r="AD35" s="1162"/>
      <c r="AE35" s="1161">
        <f>SUM(AD8,AJ8,AU8)</f>
        <v>41.981578125000006</v>
      </c>
      <c r="AF35" s="1162"/>
      <c r="AG35" s="866"/>
      <c r="AH35" s="866"/>
    </row>
    <row r="36" spans="18:34" x14ac:dyDescent="0.25">
      <c r="R36" s="1159"/>
      <c r="S36" s="1159"/>
      <c r="T36" s="1160">
        <f>SUM(T30:U34)</f>
        <v>196.83218303571425</v>
      </c>
      <c r="U36" s="1160"/>
      <c r="V36" s="1160">
        <f>SUM(V30,V31,V32,V33,V34)</f>
        <v>98.780939732142855</v>
      </c>
      <c r="W36" s="1160"/>
      <c r="X36" s="393"/>
      <c r="AA36" s="1159"/>
      <c r="AB36" s="1159"/>
      <c r="AC36" s="1160">
        <f>SUM(AC30:AD34)</f>
        <v>205.60903125000004</v>
      </c>
      <c r="AD36" s="1160"/>
      <c r="AE36" s="1160">
        <f>SUM(AE30,AE31,AE32,AE33,AE34)</f>
        <v>103.13095312500002</v>
      </c>
      <c r="AF36" s="1160"/>
      <c r="AG36" s="862"/>
      <c r="AH36" s="862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98.780939732142855</v>
      </c>
      <c r="X38" s="393"/>
    </row>
    <row r="46" spans="18:34" x14ac:dyDescent="0.25">
      <c r="T46" s="619" t="s">
        <v>90</v>
      </c>
      <c r="U46" s="854">
        <v>0</v>
      </c>
      <c r="V46" s="854">
        <v>53</v>
      </c>
      <c r="W46" s="854">
        <v>37</v>
      </c>
      <c r="X46" s="854">
        <v>720.28599999999994</v>
      </c>
    </row>
    <row r="47" spans="18:34" x14ac:dyDescent="0.25">
      <c r="T47" s="619" t="s">
        <v>86</v>
      </c>
      <c r="U47" s="854">
        <v>0</v>
      </c>
      <c r="V47" s="854">
        <v>82</v>
      </c>
      <c r="W47" s="854">
        <v>35</v>
      </c>
      <c r="X47" s="854">
        <v>2.7</v>
      </c>
    </row>
    <row r="48" spans="18:34" x14ac:dyDescent="0.25">
      <c r="T48" s="619" t="s">
        <v>87</v>
      </c>
      <c r="U48" s="854">
        <v>0</v>
      </c>
      <c r="V48" s="854">
        <v>61</v>
      </c>
      <c r="W48" s="854">
        <v>26</v>
      </c>
      <c r="X48" s="854">
        <v>1.7</v>
      </c>
    </row>
    <row r="49" spans="20:24" x14ac:dyDescent="0.25">
      <c r="T49" s="619" t="s">
        <v>201</v>
      </c>
      <c r="U49" s="854">
        <v>0</v>
      </c>
      <c r="V49" s="854">
        <v>7</v>
      </c>
      <c r="W49" s="854">
        <v>5</v>
      </c>
      <c r="X49" s="854">
        <v>0.08</v>
      </c>
    </row>
    <row r="50" spans="20:24" x14ac:dyDescent="0.25">
      <c r="T50" s="619" t="s">
        <v>202</v>
      </c>
      <c r="U50" s="854">
        <v>0</v>
      </c>
      <c r="V50" s="854">
        <v>3</v>
      </c>
      <c r="W50" s="854">
        <v>0</v>
      </c>
      <c r="X50" s="854">
        <v>0.05</v>
      </c>
    </row>
    <row r="51" spans="20:24" x14ac:dyDescent="0.25">
      <c r="U51">
        <f>SUM(U46:U50)</f>
        <v>0</v>
      </c>
      <c r="V51">
        <f t="shared" ref="V51:X51" si="3">SUM(V46:V50)</f>
        <v>206</v>
      </c>
      <c r="W51">
        <f t="shared" si="3"/>
        <v>103</v>
      </c>
      <c r="X51">
        <f t="shared" si="3"/>
        <v>724.81600000000003</v>
      </c>
    </row>
  </sheetData>
  <mergeCells count="124"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1"/>
  <sheetViews>
    <sheetView topLeftCell="N4" zoomScale="85" zoomScaleNormal="85" workbookViewId="0">
      <selection activeCell="N23" sqref="A1:XFD1048576"/>
    </sheetView>
  </sheetViews>
  <sheetFormatPr defaultRowHeight="15" x14ac:dyDescent="0.25"/>
  <cols>
    <col min="2" max="2" width="17.85546875" customWidth="1"/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892" t="s">
        <v>17</v>
      </c>
      <c r="R2" s="892" t="s">
        <v>18</v>
      </c>
      <c r="S2" s="892" t="s">
        <v>19</v>
      </c>
      <c r="T2" s="893" t="s">
        <v>20</v>
      </c>
      <c r="U2" s="893" t="s">
        <v>21</v>
      </c>
      <c r="V2" s="893" t="s">
        <v>22</v>
      </c>
      <c r="W2" s="893">
        <v>45</v>
      </c>
      <c r="X2" s="894" t="s">
        <v>24</v>
      </c>
      <c r="Y2" s="894" t="s">
        <v>25</v>
      </c>
      <c r="Z2" s="894" t="s">
        <v>26</v>
      </c>
      <c r="AA2" s="894" t="s">
        <v>27</v>
      </c>
      <c r="AB2" s="895" t="s">
        <v>28</v>
      </c>
      <c r="AC2" s="895" t="s">
        <v>29</v>
      </c>
      <c r="AD2" s="895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890" t="s">
        <v>31</v>
      </c>
      <c r="AJ2" s="890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887" t="s">
        <v>102</v>
      </c>
      <c r="AT2" s="887" t="s">
        <v>103</v>
      </c>
      <c r="AU2" s="887" t="s">
        <v>104</v>
      </c>
      <c r="AV2" s="887" t="s">
        <v>105</v>
      </c>
      <c r="AW2" s="887" t="s">
        <v>106</v>
      </c>
      <c r="AX2" s="891" t="s">
        <v>107</v>
      </c>
      <c r="AY2" s="891" t="s">
        <v>108</v>
      </c>
      <c r="AZ2" s="891" t="s">
        <v>109</v>
      </c>
      <c r="BA2" s="891" t="s">
        <v>110</v>
      </c>
      <c r="BB2" s="891" t="s">
        <v>111</v>
      </c>
      <c r="BC2" s="891" t="s">
        <v>112</v>
      </c>
      <c r="BD2" s="891" t="s">
        <v>113</v>
      </c>
      <c r="BE2" s="891" t="s">
        <v>114</v>
      </c>
      <c r="BF2" s="891" t="s">
        <v>115</v>
      </c>
      <c r="BG2" s="729" t="s">
        <v>116</v>
      </c>
      <c r="BH2" s="730" t="s">
        <v>117</v>
      </c>
      <c r="BI2" s="891" t="s">
        <v>118</v>
      </c>
      <c r="BJ2" s="885" t="s">
        <v>14</v>
      </c>
      <c r="BK2" s="885" t="s">
        <v>167</v>
      </c>
      <c r="BL2" s="885" t="s">
        <v>39</v>
      </c>
      <c r="BM2" s="885" t="s">
        <v>40</v>
      </c>
      <c r="BN2" s="885" t="s">
        <v>41</v>
      </c>
      <c r="BO2" s="885" t="s">
        <v>43</v>
      </c>
      <c r="BP2" s="885" t="s">
        <v>44</v>
      </c>
      <c r="BQ2" s="885" t="s">
        <v>46</v>
      </c>
      <c r="BR2" s="886" t="s">
        <v>47</v>
      </c>
      <c r="BS2" s="886" t="s">
        <v>48</v>
      </c>
      <c r="BT2" s="887" t="s">
        <v>49</v>
      </c>
      <c r="BU2" s="887" t="s">
        <v>50</v>
      </c>
      <c r="BV2" s="886" t="s">
        <v>131</v>
      </c>
      <c r="BW2" s="886" t="s">
        <v>132</v>
      </c>
      <c r="BX2" s="888" t="s">
        <v>172</v>
      </c>
      <c r="BY2" s="888" t="s">
        <v>173</v>
      </c>
      <c r="BZ2" s="889" t="s">
        <v>216</v>
      </c>
      <c r="CA2" s="889" t="s">
        <v>217</v>
      </c>
    </row>
    <row r="3" spans="1:79" ht="90.75" thickBot="1" x14ac:dyDescent="0.3">
      <c r="A3" s="896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888" t="s">
        <v>120</v>
      </c>
      <c r="BY3" s="888" t="s">
        <v>174</v>
      </c>
      <c r="BZ3" s="889" t="s">
        <v>120</v>
      </c>
      <c r="CA3" s="889" t="s">
        <v>222</v>
      </c>
    </row>
    <row r="4" spans="1:79" ht="32.25" thickBot="1" x14ac:dyDescent="0.3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899">
        <v>28960</v>
      </c>
      <c r="Q4" s="438">
        <f>SUM(T4,X4,AB4,AS4,AX4,BA4)</f>
        <v>8.8807910052910053</v>
      </c>
      <c r="R4" s="438">
        <f>SUM(U4,Y4,AC4,AI4,AT4,BB4)</f>
        <v>6.6081918253968253</v>
      </c>
      <c r="S4" s="438">
        <f>SUM(V4,Z4,AD4,AJ4,AU4)</f>
        <v>3.31605130952381</v>
      </c>
      <c r="T4" s="453">
        <f>S17</f>
        <v>3.7392804232804231</v>
      </c>
      <c r="U4" s="453">
        <f>T4/100*70</f>
        <v>2.617496296296296</v>
      </c>
      <c r="V4" s="453">
        <f>T4/100*30</f>
        <v>1.1217841269841269</v>
      </c>
      <c r="W4" s="453">
        <v>0</v>
      </c>
      <c r="X4" s="454">
        <f>S18</f>
        <v>2.8044603174603173</v>
      </c>
      <c r="Y4" s="454">
        <f>X4/100*70</f>
        <v>1.9631222222222222</v>
      </c>
      <c r="Z4" s="454">
        <f>X4/100*30</f>
        <v>0.84133809523809522</v>
      </c>
      <c r="AA4" s="454">
        <v>0</v>
      </c>
      <c r="AB4" s="455">
        <f>S19</f>
        <v>0.46741005291005289</v>
      </c>
      <c r="AC4" s="455">
        <f>AB4/100*70</f>
        <v>0.327187037037037</v>
      </c>
      <c r="AD4" s="455">
        <f>AB4/100*30</f>
        <v>0.14022301587301586</v>
      </c>
      <c r="AE4" s="877">
        <v>2</v>
      </c>
      <c r="AF4" s="878">
        <v>500</v>
      </c>
      <c r="AG4" s="878">
        <v>0</v>
      </c>
      <c r="AH4" s="878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1.4022301587301587</v>
      </c>
      <c r="AT4" s="457">
        <f>AS4/100*90</f>
        <v>1.2620071428571429</v>
      </c>
      <c r="AU4" s="457">
        <f>AT4/100*85</f>
        <v>1.0727060714285714</v>
      </c>
      <c r="AV4" s="457">
        <v>0</v>
      </c>
      <c r="AW4" s="457">
        <v>0</v>
      </c>
      <c r="AX4" s="458">
        <f>S22</f>
        <v>0.18696402116402117</v>
      </c>
      <c r="AY4" s="469">
        <v>4</v>
      </c>
      <c r="AZ4" s="459" t="s">
        <v>65</v>
      </c>
      <c r="BA4" s="460">
        <f>S23</f>
        <v>0.28044603174603178</v>
      </c>
      <c r="BB4" s="458">
        <f>BA4/100*85</f>
        <v>0.23837912698412703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1.1217841269841269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898" t="s">
        <v>67</v>
      </c>
      <c r="CA4" s="898" t="s">
        <v>223</v>
      </c>
    </row>
    <row r="5" spans="1:79" ht="32.25" thickBot="1" x14ac:dyDescent="0.3">
      <c r="A5" s="50">
        <v>50</v>
      </c>
      <c r="B5" s="897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9.2892407407407429</v>
      </c>
      <c r="R5" s="438">
        <f>SUM(U5,Y5,AC5,AI5,AT5,BB5)</f>
        <v>6.9029205555555553</v>
      </c>
      <c r="S5" s="438">
        <f>SUM(V5,Z5,AD5,AJ5,AU5)</f>
        <v>3.4621258333333333</v>
      </c>
      <c r="T5" s="453">
        <f>X17</f>
        <v>3.9112592592592592</v>
      </c>
      <c r="U5" s="453">
        <f>T5/100*70</f>
        <v>2.7378814814814816</v>
      </c>
      <c r="V5" s="453">
        <f>T5/100*30</f>
        <v>1.1733777777777779</v>
      </c>
      <c r="W5" s="345">
        <v>0</v>
      </c>
      <c r="X5" s="454">
        <f>X18</f>
        <v>2.9334444444444445</v>
      </c>
      <c r="Y5" s="454">
        <f>X5/100*70</f>
        <v>2.0534111111111111</v>
      </c>
      <c r="Z5" s="454">
        <f>X5/100*30</f>
        <v>0.88003333333333333</v>
      </c>
      <c r="AA5" s="346">
        <v>0</v>
      </c>
      <c r="AB5" s="455">
        <f>X19</f>
        <v>0.4889074074074074</v>
      </c>
      <c r="AC5" s="455">
        <f>AB5/100*70</f>
        <v>0.3422351851851852</v>
      </c>
      <c r="AD5" s="455">
        <f>AB5/100*30</f>
        <v>0.14667222222222223</v>
      </c>
      <c r="AE5" s="877">
        <v>0</v>
      </c>
      <c r="AF5" s="878">
        <v>0</v>
      </c>
      <c r="AG5" s="878">
        <v>0</v>
      </c>
      <c r="AH5" s="878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1.4667222222222223</v>
      </c>
      <c r="AT5" s="457">
        <f>AS5/100*90</f>
        <v>1.3200499999999999</v>
      </c>
      <c r="AU5" s="457">
        <f>AT5/100*85</f>
        <v>1.1220424999999998</v>
      </c>
      <c r="AV5" s="349">
        <v>0</v>
      </c>
      <c r="AW5" s="349">
        <v>0</v>
      </c>
      <c r="AX5" s="458">
        <f>X22</f>
        <v>0.19556296296296297</v>
      </c>
      <c r="AY5" s="350">
        <v>1</v>
      </c>
      <c r="AZ5" s="459" t="s">
        <v>65</v>
      </c>
      <c r="BA5" s="458">
        <f>X23</f>
        <v>0.29334444444444446</v>
      </c>
      <c r="BB5" s="824">
        <f>BA5/100*85</f>
        <v>0.2493427777777778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1.1733777777777779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898" t="s">
        <v>67</v>
      </c>
      <c r="CA5" s="898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31.5" x14ac:dyDescent="0.25">
      <c r="A7" s="50">
        <v>60</v>
      </c>
      <c r="B7" s="897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900">
        <f t="shared" si="0"/>
        <v>28960</v>
      </c>
      <c r="Q7" s="394">
        <f>SUM(T7,X7,AB7,AS7,AX7,BA7)</f>
        <v>266.42373015873017</v>
      </c>
      <c r="R7" s="394">
        <f>SUM(U7,Y7,AC7,AI7,AT7,BB7)</f>
        <v>198.24575476190475</v>
      </c>
      <c r="S7" s="394">
        <f>SUM(V7,Z7,AD7,AJ7,AU7)</f>
        <v>99.481539285714291</v>
      </c>
      <c r="T7" s="527">
        <f>T4*30</f>
        <v>112.1784126984127</v>
      </c>
      <c r="U7" s="527">
        <f t="shared" ref="U7:AD8" si="1">U4*30</f>
        <v>78.524888888888881</v>
      </c>
      <c r="V7" s="527">
        <f t="shared" si="1"/>
        <v>33.653523809523804</v>
      </c>
      <c r="W7" s="527">
        <f t="shared" si="1"/>
        <v>0</v>
      </c>
      <c r="X7" s="527">
        <f t="shared" si="1"/>
        <v>84.133809523809518</v>
      </c>
      <c r="Y7" s="527">
        <f t="shared" si="1"/>
        <v>58.893666666666668</v>
      </c>
      <c r="Z7" s="527">
        <f t="shared" si="1"/>
        <v>25.240142857142857</v>
      </c>
      <c r="AA7" s="527">
        <f t="shared" si="1"/>
        <v>0</v>
      </c>
      <c r="AB7" s="527">
        <f t="shared" si="1"/>
        <v>14.022301587301587</v>
      </c>
      <c r="AC7" s="527">
        <f t="shared" si="1"/>
        <v>9.8156111111111102</v>
      </c>
      <c r="AD7" s="527">
        <f t="shared" si="1"/>
        <v>4.2066904761904755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42.066904761904759</v>
      </c>
      <c r="AT7" s="682">
        <f t="shared" ref="AT7:BB8" si="2">AT4*30</f>
        <v>37.860214285714285</v>
      </c>
      <c r="AU7" s="682">
        <f t="shared" si="2"/>
        <v>32.181182142857146</v>
      </c>
      <c r="AV7" s="682">
        <f t="shared" si="2"/>
        <v>0</v>
      </c>
      <c r="AW7" s="682">
        <f t="shared" si="2"/>
        <v>0</v>
      </c>
      <c r="AX7" s="682">
        <f t="shared" si="2"/>
        <v>5.6089206349206346</v>
      </c>
      <c r="AY7" s="682">
        <f t="shared" si="2"/>
        <v>120</v>
      </c>
      <c r="AZ7" s="682" t="e">
        <f t="shared" si="2"/>
        <v>#VALUE!</v>
      </c>
      <c r="BA7" s="682">
        <f t="shared" si="2"/>
        <v>8.4133809523809528</v>
      </c>
      <c r="BB7" s="682">
        <f t="shared" si="2"/>
        <v>7.1513738095238111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898" t="s">
        <v>67</v>
      </c>
      <c r="CA7" s="898" t="s">
        <v>223</v>
      </c>
    </row>
    <row r="8" spans="1:79" ht="31.5" x14ac:dyDescent="0.25">
      <c r="A8" s="50">
        <v>50</v>
      </c>
      <c r="B8" s="897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278.67722222222221</v>
      </c>
      <c r="R8" s="394">
        <f>SUM(U8,Y8,AC8,AI8,AT8,BB8)</f>
        <v>207.08761666666666</v>
      </c>
      <c r="S8" s="394">
        <f>SUM(V8,Z8,AD8,AJ8,AU8)</f>
        <v>103.863775</v>
      </c>
      <c r="T8" s="527">
        <f>T5*30</f>
        <v>117.33777777777777</v>
      </c>
      <c r="U8" s="527">
        <f t="shared" si="1"/>
        <v>82.13644444444445</v>
      </c>
      <c r="V8" s="527">
        <f t="shared" si="1"/>
        <v>35.201333333333338</v>
      </c>
      <c r="W8" s="527">
        <f t="shared" si="1"/>
        <v>0</v>
      </c>
      <c r="X8" s="527">
        <f t="shared" si="1"/>
        <v>88.00333333333333</v>
      </c>
      <c r="Y8" s="527">
        <f t="shared" si="1"/>
        <v>61.602333333333334</v>
      </c>
      <c r="Z8" s="527">
        <f t="shared" si="1"/>
        <v>26.401</v>
      </c>
      <c r="AA8" s="527">
        <f t="shared" si="1"/>
        <v>0</v>
      </c>
      <c r="AB8" s="527">
        <f t="shared" si="1"/>
        <v>14.667222222222222</v>
      </c>
      <c r="AC8" s="527">
        <f t="shared" si="1"/>
        <v>10.267055555555556</v>
      </c>
      <c r="AD8" s="527">
        <f t="shared" si="1"/>
        <v>4.4001666666666672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44.001666666666665</v>
      </c>
      <c r="AT8" s="682">
        <f t="shared" si="2"/>
        <v>39.601500000000001</v>
      </c>
      <c r="AU8" s="682">
        <f t="shared" si="2"/>
        <v>33.661274999999996</v>
      </c>
      <c r="AV8" s="682">
        <f t="shared" si="2"/>
        <v>0</v>
      </c>
      <c r="AW8" s="682">
        <f t="shared" si="2"/>
        <v>0</v>
      </c>
      <c r="AX8" s="682">
        <f t="shared" si="2"/>
        <v>5.866888888888889</v>
      </c>
      <c r="AY8" s="682">
        <f t="shared" si="2"/>
        <v>30</v>
      </c>
      <c r="AZ8" s="682" t="e">
        <f t="shared" si="2"/>
        <v>#VALUE!</v>
      </c>
      <c r="BA8" s="682">
        <f t="shared" si="2"/>
        <v>8.8003333333333345</v>
      </c>
      <c r="BB8" s="682">
        <f t="shared" si="2"/>
        <v>7.4802833333333343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898" t="s">
        <v>67</v>
      </c>
      <c r="CA8" s="898" t="s">
        <v>224</v>
      </c>
    </row>
    <row r="9" spans="1:79" x14ac:dyDescent="0.25">
      <c r="R9" s="393">
        <f>R7+R8</f>
        <v>405.33337142857141</v>
      </c>
      <c r="S9" s="393">
        <f>S7+S8</f>
        <v>203.3453142857143</v>
      </c>
    </row>
    <row r="12" spans="1:79" x14ac:dyDescent="0.25"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O13" s="1059">
        <v>45566</v>
      </c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879">
        <v>31179</v>
      </c>
      <c r="T14" s="879"/>
      <c r="V14" s="1127" t="s">
        <v>192</v>
      </c>
      <c r="W14" s="1128"/>
      <c r="X14" s="879">
        <v>32613</v>
      </c>
      <c r="Y14" s="879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879">
        <v>272</v>
      </c>
      <c r="T15" s="879" t="s">
        <v>227</v>
      </c>
      <c r="V15" s="1127" t="s">
        <v>193</v>
      </c>
      <c r="W15" s="1128"/>
      <c r="X15" s="879">
        <v>272</v>
      </c>
      <c r="Y15" s="879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9.3482010582010577</v>
      </c>
      <c r="T16" s="879"/>
      <c r="V16" s="1127" t="s">
        <v>195</v>
      </c>
      <c r="W16" s="1128"/>
      <c r="X16" s="596">
        <f>X14*X15/907200</f>
        <v>9.7781481481481478</v>
      </c>
      <c r="Y16" s="879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3.7392804232804231</v>
      </c>
      <c r="T17" s="879">
        <v>40</v>
      </c>
      <c r="V17" s="1132" t="s">
        <v>9</v>
      </c>
      <c r="W17" s="1133"/>
      <c r="X17" s="592">
        <f>X16/100*40</f>
        <v>3.9112592592592592</v>
      </c>
      <c r="Y17" s="879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2.8044603174603173</v>
      </c>
      <c r="T18" s="879">
        <v>30</v>
      </c>
      <c r="V18" s="1132" t="s">
        <v>10</v>
      </c>
      <c r="W18" s="1133"/>
      <c r="X18" s="592">
        <f>X16/100*30</f>
        <v>2.9334444444444445</v>
      </c>
      <c r="Y18" s="879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0.46741005291005289</v>
      </c>
      <c r="T19" s="879">
        <v>5</v>
      </c>
      <c r="V19" s="1132" t="s">
        <v>11</v>
      </c>
      <c r="W19" s="1133"/>
      <c r="X19" s="592">
        <f>X16/100*5</f>
        <v>0.4889074074074074</v>
      </c>
      <c r="Y19" s="879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0.46741005291005289</v>
      </c>
      <c r="T20" s="879">
        <v>5</v>
      </c>
      <c r="V20" s="1132" t="s">
        <v>12</v>
      </c>
      <c r="W20" s="1133"/>
      <c r="X20" s="592">
        <f>X16/100*5</f>
        <v>0.4889074074074074</v>
      </c>
      <c r="Y20" s="879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1.4022301587301587</v>
      </c>
      <c r="T21" s="879">
        <v>15</v>
      </c>
      <c r="V21" s="1132" t="s">
        <v>99</v>
      </c>
      <c r="W21" s="1133"/>
      <c r="X21" s="592">
        <f>X16/100*15</f>
        <v>1.4667222222222223</v>
      </c>
      <c r="Y21" s="879">
        <v>15</v>
      </c>
      <c r="AA21" s="1129">
        <f>AA20*30</f>
        <v>448.9776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0.18696402116402117</v>
      </c>
      <c r="T22" s="879">
        <v>2</v>
      </c>
      <c r="V22" s="1132" t="s">
        <v>100</v>
      </c>
      <c r="W22" s="1133"/>
      <c r="X22" s="592">
        <f>X16/100*2</f>
        <v>0.19556296296296297</v>
      </c>
      <c r="Y22" s="879">
        <v>2</v>
      </c>
      <c r="AA22" s="1129">
        <f>AA21/100*3</f>
        <v>13.469328000000001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0.28044603174603178</v>
      </c>
      <c r="T23" s="879">
        <v>3</v>
      </c>
      <c r="V23" s="1132" t="s">
        <v>101</v>
      </c>
      <c r="W23" s="1133"/>
      <c r="X23" s="592">
        <f>X16/100*3</f>
        <v>0.29334444444444446</v>
      </c>
      <c r="Y23" s="879">
        <v>3</v>
      </c>
    </row>
    <row r="24" spans="17:35" x14ac:dyDescent="0.25">
      <c r="Q24" s="1140" t="s">
        <v>89</v>
      </c>
      <c r="R24" s="1141"/>
      <c r="S24" s="596">
        <f>SUM(S17:S23)</f>
        <v>9.3482010582010577</v>
      </c>
      <c r="T24" s="879">
        <f>SUM(T17:T23)</f>
        <v>100</v>
      </c>
      <c r="V24" s="1140" t="s">
        <v>89</v>
      </c>
      <c r="W24" s="1141"/>
      <c r="X24" s="596">
        <f>SUM(X17:X23)</f>
        <v>9.7781481481481496</v>
      </c>
      <c r="Y24" s="879">
        <f>SUM(Y17:Y23)</f>
        <v>100</v>
      </c>
      <c r="AA24">
        <v>0.12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884"/>
      <c r="AH29" s="884"/>
    </row>
    <row r="30" spans="17:35" x14ac:dyDescent="0.25">
      <c r="R30" s="1147" t="s">
        <v>86</v>
      </c>
      <c r="S30" s="1147"/>
      <c r="T30" s="1148">
        <f>U7</f>
        <v>78.524888888888881</v>
      </c>
      <c r="U30" s="1148"/>
      <c r="V30" s="1148">
        <f>V7</f>
        <v>33.653523809523804</v>
      </c>
      <c r="W30" s="1148"/>
      <c r="X30" s="393"/>
      <c r="AA30" s="1147" t="s">
        <v>86</v>
      </c>
      <c r="AB30" s="1147"/>
      <c r="AC30" s="1148">
        <f>U8</f>
        <v>82.13644444444445</v>
      </c>
      <c r="AD30" s="1148"/>
      <c r="AE30" s="1148">
        <f>V8</f>
        <v>35.201333333333338</v>
      </c>
      <c r="AF30" s="1148"/>
      <c r="AG30" s="883"/>
      <c r="AH30" s="883"/>
    </row>
    <row r="31" spans="17:35" x14ac:dyDescent="0.25">
      <c r="R31" s="1147" t="s">
        <v>87</v>
      </c>
      <c r="S31" s="1147"/>
      <c r="T31" s="1148">
        <f>Y7</f>
        <v>58.893666666666668</v>
      </c>
      <c r="U31" s="1148"/>
      <c r="V31" s="1148">
        <f>Z7</f>
        <v>25.240142857142857</v>
      </c>
      <c r="W31" s="1148"/>
      <c r="X31" s="393"/>
      <c r="AA31" s="1147" t="s">
        <v>87</v>
      </c>
      <c r="AB31" s="1147"/>
      <c r="AC31" s="1148">
        <f>Y8</f>
        <v>61.602333333333334</v>
      </c>
      <c r="AD31" s="1148"/>
      <c r="AE31" s="1148">
        <f>Z8</f>
        <v>26.401</v>
      </c>
      <c r="AF31" s="1148"/>
      <c r="AG31" s="883"/>
      <c r="AH31" s="883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882"/>
      <c r="AH32" s="882"/>
    </row>
    <row r="33" spans="18:34" x14ac:dyDescent="0.25">
      <c r="R33" s="1147" t="s">
        <v>202</v>
      </c>
      <c r="S33" s="1147"/>
      <c r="T33" s="1151">
        <v>4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882"/>
      <c r="AH33" s="882"/>
    </row>
    <row r="34" spans="18:34" x14ac:dyDescent="0.25">
      <c r="R34" s="1147" t="s">
        <v>90</v>
      </c>
      <c r="S34" s="1147"/>
      <c r="T34" s="1153">
        <f>T35-T32-T33</f>
        <v>48.827199206349206</v>
      </c>
      <c r="U34" s="1154"/>
      <c r="V34" s="1153">
        <f>V35-V32-V33</f>
        <v>35.587872619047623</v>
      </c>
      <c r="W34" s="1154"/>
      <c r="AA34" s="1155" t="s">
        <v>90</v>
      </c>
      <c r="AB34" s="1156"/>
      <c r="AC34" s="1153">
        <f>AC35-AC32-AC33</f>
        <v>53.348838888888892</v>
      </c>
      <c r="AD34" s="1157"/>
      <c r="AE34" s="1153">
        <f>AE35-AE33-AE32</f>
        <v>37.261441666666663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60.827199206349206</v>
      </c>
      <c r="U35" s="1162"/>
      <c r="V35" s="1161">
        <f>SUM(AD7,AJ7,AU7)</f>
        <v>40.587872619047623</v>
      </c>
      <c r="W35" s="1162"/>
      <c r="AA35" s="1147" t="s">
        <v>90</v>
      </c>
      <c r="AB35" s="1147"/>
      <c r="AC35" s="1161">
        <f>SUM(AC8,AI8,AT8,BB8)</f>
        <v>63.348838888888892</v>
      </c>
      <c r="AD35" s="1162"/>
      <c r="AE35" s="1161">
        <f>SUM(AD8,AJ8,AU8)</f>
        <v>42.261441666666663</v>
      </c>
      <c r="AF35" s="1162"/>
      <c r="AG35" s="881"/>
      <c r="AH35" s="881"/>
    </row>
    <row r="36" spans="18:34" x14ac:dyDescent="0.25">
      <c r="R36" s="1159"/>
      <c r="S36" s="1159"/>
      <c r="T36" s="1160">
        <f>SUM(T30:U34)</f>
        <v>198.24575476190475</v>
      </c>
      <c r="U36" s="1160"/>
      <c r="V36" s="1160">
        <f>SUM(V30,V31,V32,V33,V34)</f>
        <v>99.481539285714291</v>
      </c>
      <c r="W36" s="1160"/>
      <c r="X36" s="393"/>
      <c r="AA36" s="1159"/>
      <c r="AB36" s="1159"/>
      <c r="AC36" s="1160">
        <f>SUM(AC30:AD34)</f>
        <v>207.08761666666669</v>
      </c>
      <c r="AD36" s="1160"/>
      <c r="AE36" s="1160">
        <f>SUM(AE30,AE31,AE32,AE33,AE34)</f>
        <v>103.863775</v>
      </c>
      <c r="AF36" s="1160"/>
      <c r="AG36" s="880"/>
      <c r="AH36" s="880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99.481539285714291</v>
      </c>
      <c r="X38" s="393"/>
    </row>
    <row r="46" spans="18:34" x14ac:dyDescent="0.25">
      <c r="T46" s="901" t="s">
        <v>231</v>
      </c>
      <c r="U46" s="901">
        <v>0</v>
      </c>
      <c r="V46" s="901">
        <v>53</v>
      </c>
      <c r="W46" s="901">
        <v>0</v>
      </c>
      <c r="X46" s="901">
        <v>757.28599999999994</v>
      </c>
    </row>
    <row r="47" spans="18:34" x14ac:dyDescent="0.25">
      <c r="T47" s="901" t="s">
        <v>232</v>
      </c>
      <c r="U47" s="901">
        <v>0</v>
      </c>
      <c r="V47" s="901">
        <v>82</v>
      </c>
      <c r="W47" s="901">
        <v>0</v>
      </c>
      <c r="X47" s="901">
        <v>37.700000000000003</v>
      </c>
    </row>
    <row r="48" spans="18:34" x14ac:dyDescent="0.25">
      <c r="T48" s="901" t="s">
        <v>233</v>
      </c>
      <c r="U48" s="901">
        <v>0</v>
      </c>
      <c r="V48" s="901">
        <v>62</v>
      </c>
      <c r="W48" s="901">
        <v>0</v>
      </c>
      <c r="X48" s="901">
        <v>27.7</v>
      </c>
    </row>
    <row r="49" spans="20:24" ht="60" x14ac:dyDescent="0.25">
      <c r="T49" s="901" t="s">
        <v>234</v>
      </c>
      <c r="U49" s="901">
        <v>0</v>
      </c>
      <c r="V49" s="901">
        <v>7</v>
      </c>
      <c r="W49" s="901">
        <v>0</v>
      </c>
      <c r="X49" s="901">
        <v>5.08</v>
      </c>
    </row>
    <row r="50" spans="20:24" x14ac:dyDescent="0.25">
      <c r="T50" s="901" t="s">
        <v>235</v>
      </c>
      <c r="U50" s="901">
        <v>0</v>
      </c>
      <c r="V50" s="901">
        <v>3</v>
      </c>
      <c r="W50" s="901">
        <v>0</v>
      </c>
      <c r="X50" s="901">
        <v>0.05</v>
      </c>
    </row>
    <row r="51" spans="20:24" x14ac:dyDescent="0.25">
      <c r="U51">
        <f>SUM(U46:U50)</f>
        <v>0</v>
      </c>
      <c r="V51">
        <f t="shared" ref="V51:X51" si="3">SUM(V46:V50)</f>
        <v>207</v>
      </c>
      <c r="W51">
        <f t="shared" si="3"/>
        <v>0</v>
      </c>
      <c r="X51">
        <f t="shared" si="3"/>
        <v>827.81600000000003</v>
      </c>
    </row>
  </sheetData>
  <mergeCells count="124"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2"/>
  <sheetViews>
    <sheetView topLeftCell="P24" workbookViewId="0">
      <selection activeCell="P42" sqref="A1:XFD1048576"/>
    </sheetView>
  </sheetViews>
  <sheetFormatPr defaultRowHeight="15" x14ac:dyDescent="0.25"/>
  <cols>
    <col min="2" max="2" width="17.85546875" customWidth="1"/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915" t="s">
        <v>17</v>
      </c>
      <c r="R2" s="915" t="s">
        <v>18</v>
      </c>
      <c r="S2" s="915" t="s">
        <v>19</v>
      </c>
      <c r="T2" s="916" t="s">
        <v>20</v>
      </c>
      <c r="U2" s="916" t="s">
        <v>21</v>
      </c>
      <c r="V2" s="916" t="s">
        <v>22</v>
      </c>
      <c r="W2" s="916">
        <v>45</v>
      </c>
      <c r="X2" s="917" t="s">
        <v>24</v>
      </c>
      <c r="Y2" s="917" t="s">
        <v>25</v>
      </c>
      <c r="Z2" s="917" t="s">
        <v>26</v>
      </c>
      <c r="AA2" s="917" t="s">
        <v>27</v>
      </c>
      <c r="AB2" s="918" t="s">
        <v>28</v>
      </c>
      <c r="AC2" s="918" t="s">
        <v>29</v>
      </c>
      <c r="AD2" s="918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913" t="s">
        <v>31</v>
      </c>
      <c r="AJ2" s="913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910" t="s">
        <v>102</v>
      </c>
      <c r="AT2" s="910" t="s">
        <v>103</v>
      </c>
      <c r="AU2" s="910" t="s">
        <v>104</v>
      </c>
      <c r="AV2" s="910" t="s">
        <v>105</v>
      </c>
      <c r="AW2" s="910" t="s">
        <v>106</v>
      </c>
      <c r="AX2" s="914" t="s">
        <v>107</v>
      </c>
      <c r="AY2" s="914" t="s">
        <v>108</v>
      </c>
      <c r="AZ2" s="914" t="s">
        <v>109</v>
      </c>
      <c r="BA2" s="914" t="s">
        <v>110</v>
      </c>
      <c r="BB2" s="914" t="s">
        <v>111</v>
      </c>
      <c r="BC2" s="914" t="s">
        <v>112</v>
      </c>
      <c r="BD2" s="914" t="s">
        <v>113</v>
      </c>
      <c r="BE2" s="914" t="s">
        <v>114</v>
      </c>
      <c r="BF2" s="914" t="s">
        <v>115</v>
      </c>
      <c r="BG2" s="729" t="s">
        <v>116</v>
      </c>
      <c r="BH2" s="730" t="s">
        <v>117</v>
      </c>
      <c r="BI2" s="914" t="s">
        <v>118</v>
      </c>
      <c r="BJ2" s="908" t="s">
        <v>14</v>
      </c>
      <c r="BK2" s="908" t="s">
        <v>167</v>
      </c>
      <c r="BL2" s="908" t="s">
        <v>39</v>
      </c>
      <c r="BM2" s="908" t="s">
        <v>40</v>
      </c>
      <c r="BN2" s="908" t="s">
        <v>41</v>
      </c>
      <c r="BO2" s="908" t="s">
        <v>43</v>
      </c>
      <c r="BP2" s="908" t="s">
        <v>44</v>
      </c>
      <c r="BQ2" s="908" t="s">
        <v>46</v>
      </c>
      <c r="BR2" s="909" t="s">
        <v>47</v>
      </c>
      <c r="BS2" s="909" t="s">
        <v>48</v>
      </c>
      <c r="BT2" s="910" t="s">
        <v>49</v>
      </c>
      <c r="BU2" s="910" t="s">
        <v>50</v>
      </c>
      <c r="BV2" s="909" t="s">
        <v>131</v>
      </c>
      <c r="BW2" s="909" t="s">
        <v>132</v>
      </c>
      <c r="BX2" s="911" t="s">
        <v>172</v>
      </c>
      <c r="BY2" s="911" t="s">
        <v>173</v>
      </c>
      <c r="BZ2" s="912" t="s">
        <v>216</v>
      </c>
      <c r="CA2" s="912" t="s">
        <v>217</v>
      </c>
    </row>
    <row r="3" spans="1:79" ht="90.75" thickBot="1" x14ac:dyDescent="0.3">
      <c r="A3" s="919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911" t="s">
        <v>120</v>
      </c>
      <c r="BY3" s="911" t="s">
        <v>174</v>
      </c>
      <c r="BZ3" s="912" t="s">
        <v>120</v>
      </c>
      <c r="CA3" s="912" t="s">
        <v>222</v>
      </c>
    </row>
    <row r="4" spans="1:79" ht="29.25" thickBot="1" x14ac:dyDescent="0.3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922">
        <v>28960</v>
      </c>
      <c r="Q4" s="438">
        <f>SUM(T4,X4,AB4,AS4,AX4,BA4)</f>
        <v>8.9787409060846581</v>
      </c>
      <c r="R4" s="438">
        <f>SUM(U4,Y4,AC4,AI4,AT4,BB4)</f>
        <v>6.6788704117063498</v>
      </c>
      <c r="S4" s="438">
        <f>SUM(V4,Z4,AD4,AJ4,AU4)</f>
        <v>3.3510812872023812</v>
      </c>
      <c r="T4" s="453">
        <f>S17</f>
        <v>3.7805224867724867</v>
      </c>
      <c r="U4" s="453">
        <f>T4/100*70</f>
        <v>2.646365740740741</v>
      </c>
      <c r="V4" s="453">
        <f>T4/100*30</f>
        <v>1.1341567460317461</v>
      </c>
      <c r="W4" s="453">
        <v>0</v>
      </c>
      <c r="X4" s="454">
        <f>S18</f>
        <v>2.835391865079365</v>
      </c>
      <c r="Y4" s="454">
        <f>X4/100*70</f>
        <v>1.9847743055555556</v>
      </c>
      <c r="Z4" s="454">
        <f>X4/100*30</f>
        <v>0.85061755952380946</v>
      </c>
      <c r="AA4" s="454">
        <v>0</v>
      </c>
      <c r="AB4" s="455">
        <f>S19</f>
        <v>0.47256531084656084</v>
      </c>
      <c r="AC4" s="455">
        <f>AB4/100*70</f>
        <v>0.33079571759259263</v>
      </c>
      <c r="AD4" s="455">
        <f>AB4/100*30</f>
        <v>0.14176959325396826</v>
      </c>
      <c r="AE4" s="877">
        <v>2</v>
      </c>
      <c r="AF4" s="878">
        <v>500</v>
      </c>
      <c r="AG4" s="878">
        <v>0</v>
      </c>
      <c r="AH4" s="878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1.4176959325396825</v>
      </c>
      <c r="AT4" s="457">
        <f>AS4/100*90</f>
        <v>1.2759263392857143</v>
      </c>
      <c r="AU4" s="457">
        <f>AT4/100*85</f>
        <v>1.0845373883928571</v>
      </c>
      <c r="AV4" s="457">
        <v>0</v>
      </c>
      <c r="AW4" s="457">
        <v>0</v>
      </c>
      <c r="AX4" s="458">
        <f>S22</f>
        <v>0.18902612433862434</v>
      </c>
      <c r="AY4" s="469">
        <v>4</v>
      </c>
      <c r="AZ4" s="459" t="s">
        <v>65</v>
      </c>
      <c r="BA4" s="460">
        <f>S23</f>
        <v>0.28353918650793652</v>
      </c>
      <c r="BB4" s="458">
        <f>BA4/100*85</f>
        <v>0.24100830853174607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1.1341567460317461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921" t="s">
        <v>67</v>
      </c>
      <c r="CA4" s="921" t="s">
        <v>223</v>
      </c>
    </row>
    <row r="5" spans="1:79" ht="29.25" thickBot="1" x14ac:dyDescent="0.3">
      <c r="A5" s="50">
        <v>50</v>
      </c>
      <c r="B5" s="920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9.3916956018518523</v>
      </c>
      <c r="R5" s="438">
        <f>SUM(U5,Y5,AC5,AI5,AT5,BB5)</f>
        <v>6.9768498263888894</v>
      </c>
      <c r="S5" s="438">
        <f>SUM(V5,Z5,AD5,AJ5,AU5)</f>
        <v>3.4987669270833335</v>
      </c>
      <c r="T5" s="453">
        <f>X17</f>
        <v>3.9543981481481483</v>
      </c>
      <c r="U5" s="453">
        <f>T5/100*70</f>
        <v>2.7680787037037038</v>
      </c>
      <c r="V5" s="453">
        <f>T5/100*30</f>
        <v>1.1863194444444445</v>
      </c>
      <c r="W5" s="345">
        <v>0</v>
      </c>
      <c r="X5" s="454">
        <f>X18</f>
        <v>2.9657986111111114</v>
      </c>
      <c r="Y5" s="454">
        <f>X5/100*70</f>
        <v>2.0760590277777782</v>
      </c>
      <c r="Z5" s="454">
        <f>X5/100*30</f>
        <v>0.88973958333333347</v>
      </c>
      <c r="AA5" s="346">
        <v>0</v>
      </c>
      <c r="AB5" s="455">
        <f>X19</f>
        <v>0.49429976851851853</v>
      </c>
      <c r="AC5" s="455">
        <f>AB5/100*70</f>
        <v>0.34600983796296297</v>
      </c>
      <c r="AD5" s="455">
        <f>AB5/100*30</f>
        <v>0.14828993055555556</v>
      </c>
      <c r="AE5" s="877">
        <v>0</v>
      </c>
      <c r="AF5" s="878">
        <v>0</v>
      </c>
      <c r="AG5" s="878">
        <v>0</v>
      </c>
      <c r="AH5" s="878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1.4828993055555557</v>
      </c>
      <c r="AT5" s="457">
        <f>AS5/100*90</f>
        <v>1.3346093750000001</v>
      </c>
      <c r="AU5" s="457">
        <f>AT5/100*85</f>
        <v>1.13441796875</v>
      </c>
      <c r="AV5" s="349">
        <v>0</v>
      </c>
      <c r="AW5" s="349">
        <v>0</v>
      </c>
      <c r="AX5" s="458">
        <f>X22</f>
        <v>0.19771990740740741</v>
      </c>
      <c r="AY5" s="350">
        <v>1</v>
      </c>
      <c r="AZ5" s="459" t="s">
        <v>65</v>
      </c>
      <c r="BA5" s="458">
        <f>X23</f>
        <v>0.29657986111111112</v>
      </c>
      <c r="BB5" s="824">
        <f>BA5/100*85</f>
        <v>0.25209288194444446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1.1863194444444445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921" t="s">
        <v>67</v>
      </c>
      <c r="CA5" s="921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28.5" x14ac:dyDescent="0.25">
      <c r="A7" s="50">
        <v>60</v>
      </c>
      <c r="B7" s="920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923">
        <f t="shared" si="0"/>
        <v>28960</v>
      </c>
      <c r="Q7" s="394">
        <f>SUM(T7,X7,AB7,AS7,AX7,BA7)</f>
        <v>269.3622271825397</v>
      </c>
      <c r="R7" s="394">
        <f>SUM(U7,Y7,AC7,AI7,AT7,BB7)</f>
        <v>200.36611235119048</v>
      </c>
      <c r="S7" s="394">
        <f>SUM(V7,Z7,AD7,AJ7,AU7)</f>
        <v>100.53243861607143</v>
      </c>
      <c r="T7" s="527">
        <f>T4*30</f>
        <v>113.41567460317461</v>
      </c>
      <c r="U7" s="527">
        <f t="shared" ref="U7:AD8" si="1">U4*30</f>
        <v>79.390972222222231</v>
      </c>
      <c r="V7" s="527">
        <f t="shared" si="1"/>
        <v>34.024702380952384</v>
      </c>
      <c r="W7" s="527">
        <f t="shared" si="1"/>
        <v>0</v>
      </c>
      <c r="X7" s="527">
        <f t="shared" si="1"/>
        <v>85.061755952380949</v>
      </c>
      <c r="Y7" s="527">
        <f t="shared" si="1"/>
        <v>59.54322916666667</v>
      </c>
      <c r="Z7" s="527">
        <f t="shared" si="1"/>
        <v>25.518526785714283</v>
      </c>
      <c r="AA7" s="527">
        <f t="shared" si="1"/>
        <v>0</v>
      </c>
      <c r="AB7" s="527">
        <f t="shared" si="1"/>
        <v>14.176959325396826</v>
      </c>
      <c r="AC7" s="527">
        <f t="shared" si="1"/>
        <v>9.9238715277777789</v>
      </c>
      <c r="AD7" s="527">
        <f t="shared" si="1"/>
        <v>4.253087797619048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42.530877976190474</v>
      </c>
      <c r="AT7" s="682">
        <f t="shared" ref="AT7:BB8" si="2">AT4*30</f>
        <v>38.277790178571429</v>
      </c>
      <c r="AU7" s="682">
        <f t="shared" si="2"/>
        <v>32.536121651785713</v>
      </c>
      <c r="AV7" s="682">
        <f t="shared" si="2"/>
        <v>0</v>
      </c>
      <c r="AW7" s="682">
        <f t="shared" si="2"/>
        <v>0</v>
      </c>
      <c r="AX7" s="682">
        <f t="shared" si="2"/>
        <v>5.6707837301587301</v>
      </c>
      <c r="AY7" s="682">
        <f t="shared" si="2"/>
        <v>120</v>
      </c>
      <c r="AZ7" s="682" t="e">
        <f t="shared" si="2"/>
        <v>#VALUE!</v>
      </c>
      <c r="BA7" s="682">
        <f t="shared" si="2"/>
        <v>8.506175595238096</v>
      </c>
      <c r="BB7" s="682">
        <f t="shared" si="2"/>
        <v>7.2302492559523817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921" t="s">
        <v>67</v>
      </c>
      <c r="CA7" s="921" t="s">
        <v>223</v>
      </c>
    </row>
    <row r="8" spans="1:79" ht="28.5" x14ac:dyDescent="0.25">
      <c r="A8" s="50">
        <v>50</v>
      </c>
      <c r="B8" s="920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281.75086805555554</v>
      </c>
      <c r="R8" s="394">
        <f>SUM(U8,Y8,AC8,AI8,AT8,BB8)</f>
        <v>209.30549479166672</v>
      </c>
      <c r="S8" s="394">
        <f>SUM(V8,Z8,AD8,AJ8,AU8)</f>
        <v>104.9630078125</v>
      </c>
      <c r="T8" s="527">
        <f>T5*30</f>
        <v>118.63194444444444</v>
      </c>
      <c r="U8" s="527">
        <f t="shared" si="1"/>
        <v>83.04236111111112</v>
      </c>
      <c r="V8" s="527">
        <f t="shared" si="1"/>
        <v>35.589583333333337</v>
      </c>
      <c r="W8" s="527">
        <f t="shared" si="1"/>
        <v>0</v>
      </c>
      <c r="X8" s="527">
        <f t="shared" si="1"/>
        <v>88.973958333333343</v>
      </c>
      <c r="Y8" s="527">
        <f t="shared" si="1"/>
        <v>62.281770833333347</v>
      </c>
      <c r="Z8" s="527">
        <f t="shared" si="1"/>
        <v>26.692187500000003</v>
      </c>
      <c r="AA8" s="527">
        <f t="shared" si="1"/>
        <v>0</v>
      </c>
      <c r="AB8" s="527">
        <f t="shared" si="1"/>
        <v>14.828993055555555</v>
      </c>
      <c r="AC8" s="527">
        <f t="shared" si="1"/>
        <v>10.38029513888889</v>
      </c>
      <c r="AD8" s="527">
        <f t="shared" si="1"/>
        <v>4.4486979166666671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44.486979166666671</v>
      </c>
      <c r="AT8" s="682">
        <f t="shared" si="2"/>
        <v>40.038281250000004</v>
      </c>
      <c r="AU8" s="682">
        <f t="shared" si="2"/>
        <v>34.0325390625</v>
      </c>
      <c r="AV8" s="682">
        <f t="shared" si="2"/>
        <v>0</v>
      </c>
      <c r="AW8" s="682">
        <f t="shared" si="2"/>
        <v>0</v>
      </c>
      <c r="AX8" s="682">
        <f t="shared" si="2"/>
        <v>5.9315972222222229</v>
      </c>
      <c r="AY8" s="682">
        <f t="shared" si="2"/>
        <v>30</v>
      </c>
      <c r="AZ8" s="682" t="e">
        <f t="shared" si="2"/>
        <v>#VALUE!</v>
      </c>
      <c r="BA8" s="682">
        <f t="shared" si="2"/>
        <v>8.8973958333333343</v>
      </c>
      <c r="BB8" s="682">
        <f t="shared" si="2"/>
        <v>7.562786458333334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921" t="s">
        <v>67</v>
      </c>
      <c r="CA8" s="921" t="s">
        <v>224</v>
      </c>
    </row>
    <row r="9" spans="1:79" x14ac:dyDescent="0.25">
      <c r="R9" s="393">
        <f>R7+R8</f>
        <v>409.67160714285717</v>
      </c>
      <c r="S9" s="393">
        <f>S7+S8</f>
        <v>205.49544642857143</v>
      </c>
    </row>
    <row r="11" spans="1:79" x14ac:dyDescent="0.25">
      <c r="P11" s="1059">
        <v>45597</v>
      </c>
    </row>
    <row r="12" spans="1:79" x14ac:dyDescent="0.25"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902">
        <v>31179</v>
      </c>
      <c r="T14" s="902"/>
      <c r="V14" s="1127" t="s">
        <v>192</v>
      </c>
      <c r="W14" s="1128"/>
      <c r="X14" s="902">
        <v>32613</v>
      </c>
      <c r="Y14" s="902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902">
        <v>275</v>
      </c>
      <c r="T15" s="902" t="s">
        <v>227</v>
      </c>
      <c r="V15" s="1127" t="s">
        <v>193</v>
      </c>
      <c r="W15" s="1128"/>
      <c r="X15" s="902">
        <v>275</v>
      </c>
      <c r="Y15" s="902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9.4513062169312168</v>
      </c>
      <c r="T16" s="902"/>
      <c r="V16" s="1127" t="s">
        <v>195</v>
      </c>
      <c r="W16" s="1128"/>
      <c r="X16" s="596">
        <f>X14*X15/907200</f>
        <v>9.8859953703703702</v>
      </c>
      <c r="Y16" s="902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3.7805224867724867</v>
      </c>
      <c r="T17" s="902">
        <v>40</v>
      </c>
      <c r="V17" s="1132" t="s">
        <v>9</v>
      </c>
      <c r="W17" s="1133"/>
      <c r="X17" s="592">
        <f>X16/100*40</f>
        <v>3.9543981481481483</v>
      </c>
      <c r="Y17" s="902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2.835391865079365</v>
      </c>
      <c r="T18" s="902">
        <v>30</v>
      </c>
      <c r="V18" s="1132" t="s">
        <v>10</v>
      </c>
      <c r="W18" s="1133"/>
      <c r="X18" s="592">
        <f>X16/100*30</f>
        <v>2.9657986111111114</v>
      </c>
      <c r="Y18" s="902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0.47256531084656084</v>
      </c>
      <c r="T19" s="902">
        <v>5</v>
      </c>
      <c r="V19" s="1132" t="s">
        <v>11</v>
      </c>
      <c r="W19" s="1133"/>
      <c r="X19" s="592">
        <f>X16/100*5</f>
        <v>0.49429976851851853</v>
      </c>
      <c r="Y19" s="902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0.47256531084656084</v>
      </c>
      <c r="T20" s="902">
        <v>5</v>
      </c>
      <c r="V20" s="1132" t="s">
        <v>12</v>
      </c>
      <c r="W20" s="1133"/>
      <c r="X20" s="592">
        <f>X16/100*5</f>
        <v>0.49429976851851853</v>
      </c>
      <c r="Y20" s="902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1.4176959325396825</v>
      </c>
      <c r="T21" s="902">
        <v>15</v>
      </c>
      <c r="V21" s="1132" t="s">
        <v>99</v>
      </c>
      <c r="W21" s="1133"/>
      <c r="X21" s="592">
        <f>X16/100*15</f>
        <v>1.4828993055555557</v>
      </c>
      <c r="Y21" s="902">
        <v>15</v>
      </c>
      <c r="AA21" s="1129">
        <f>AA20*30</f>
        <v>448.9776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0.18902612433862434</v>
      </c>
      <c r="T22" s="902">
        <v>2</v>
      </c>
      <c r="V22" s="1132" t="s">
        <v>100</v>
      </c>
      <c r="W22" s="1133"/>
      <c r="X22" s="592">
        <f>X16/100*2</f>
        <v>0.19771990740740741</v>
      </c>
      <c r="Y22" s="902">
        <v>2</v>
      </c>
      <c r="AA22" s="1129">
        <f>AA21/100*3</f>
        <v>13.469328000000001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0.28353918650793652</v>
      </c>
      <c r="T23" s="902">
        <v>3</v>
      </c>
      <c r="V23" s="1132" t="s">
        <v>101</v>
      </c>
      <c r="W23" s="1133"/>
      <c r="X23" s="592">
        <f>X16/100*3</f>
        <v>0.29657986111111112</v>
      </c>
      <c r="Y23" s="902">
        <v>3</v>
      </c>
    </row>
    <row r="24" spans="17:35" x14ac:dyDescent="0.25">
      <c r="Q24" s="1140" t="s">
        <v>89</v>
      </c>
      <c r="R24" s="1141"/>
      <c r="S24" s="596">
        <f>SUM(S17:S23)</f>
        <v>9.4513062169312185</v>
      </c>
      <c r="T24" s="902">
        <f>SUM(T17:T23)</f>
        <v>100</v>
      </c>
      <c r="V24" s="1140" t="s">
        <v>89</v>
      </c>
      <c r="W24" s="1141"/>
      <c r="X24" s="596">
        <f>SUM(X17:X23)</f>
        <v>9.885995370370372</v>
      </c>
      <c r="Y24" s="902">
        <f>SUM(Y17:Y23)</f>
        <v>100</v>
      </c>
      <c r="AA24">
        <v>0.12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907"/>
      <c r="AH29" s="907"/>
    </row>
    <row r="30" spans="17:35" x14ac:dyDescent="0.25">
      <c r="R30" s="1147" t="s">
        <v>86</v>
      </c>
      <c r="S30" s="1147"/>
      <c r="T30" s="1148">
        <f>U7</f>
        <v>79.390972222222231</v>
      </c>
      <c r="U30" s="1148"/>
      <c r="V30" s="1148">
        <f>V7</f>
        <v>34.024702380952384</v>
      </c>
      <c r="W30" s="1148"/>
      <c r="X30" s="393"/>
      <c r="AA30" s="1147" t="s">
        <v>86</v>
      </c>
      <c r="AB30" s="1147"/>
      <c r="AC30" s="1148">
        <f>U8</f>
        <v>83.04236111111112</v>
      </c>
      <c r="AD30" s="1148"/>
      <c r="AE30" s="1148">
        <f>V8</f>
        <v>35.589583333333337</v>
      </c>
      <c r="AF30" s="1148"/>
      <c r="AG30" s="906"/>
      <c r="AH30" s="906"/>
    </row>
    <row r="31" spans="17:35" x14ac:dyDescent="0.25">
      <c r="R31" s="1147" t="s">
        <v>87</v>
      </c>
      <c r="S31" s="1147"/>
      <c r="T31" s="1148">
        <f>Y7</f>
        <v>59.54322916666667</v>
      </c>
      <c r="U31" s="1148"/>
      <c r="V31" s="1148">
        <f>Z7</f>
        <v>25.518526785714283</v>
      </c>
      <c r="W31" s="1148"/>
      <c r="X31" s="393"/>
      <c r="AA31" s="1147" t="s">
        <v>87</v>
      </c>
      <c r="AB31" s="1147"/>
      <c r="AC31" s="1148">
        <f>Y8</f>
        <v>62.281770833333347</v>
      </c>
      <c r="AD31" s="1148"/>
      <c r="AE31" s="1148">
        <f>Z8</f>
        <v>26.692187500000003</v>
      </c>
      <c r="AF31" s="1148"/>
      <c r="AG31" s="906"/>
      <c r="AH31" s="906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905"/>
      <c r="AH32" s="905"/>
    </row>
    <row r="33" spans="18:34" x14ac:dyDescent="0.25">
      <c r="R33" s="1147" t="s">
        <v>202</v>
      </c>
      <c r="S33" s="1147"/>
      <c r="T33" s="1151">
        <v>4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905"/>
      <c r="AH33" s="905"/>
    </row>
    <row r="34" spans="18:34" x14ac:dyDescent="0.25">
      <c r="R34" s="1147" t="s">
        <v>90</v>
      </c>
      <c r="S34" s="1147"/>
      <c r="T34" s="1153">
        <f>T35-T32-T33</f>
        <v>49.431910962301586</v>
      </c>
      <c r="U34" s="1154"/>
      <c r="V34" s="1153">
        <f>V35-V32-V33</f>
        <v>35.989209449404761</v>
      </c>
      <c r="W34" s="1154"/>
      <c r="AA34" s="1155" t="s">
        <v>90</v>
      </c>
      <c r="AB34" s="1156"/>
      <c r="AC34" s="1153">
        <f>AC35-AC32-AC33</f>
        <v>53.981362847222229</v>
      </c>
      <c r="AD34" s="1157"/>
      <c r="AE34" s="1153">
        <f>AE35-AE33-AE32</f>
        <v>37.68123697916667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61.431910962301586</v>
      </c>
      <c r="U35" s="1162"/>
      <c r="V35" s="1161">
        <f>SUM(AD7,AJ7,AU7)</f>
        <v>40.989209449404761</v>
      </c>
      <c r="W35" s="1162"/>
      <c r="AA35" s="1147" t="s">
        <v>90</v>
      </c>
      <c r="AB35" s="1147"/>
      <c r="AC35" s="1161">
        <f>SUM(AC8,AI8,AT8,BB8)</f>
        <v>63.981362847222229</v>
      </c>
      <c r="AD35" s="1162"/>
      <c r="AE35" s="1161">
        <f>SUM(AD8,AJ8,AU8)</f>
        <v>42.68123697916667</v>
      </c>
      <c r="AF35" s="1162"/>
      <c r="AG35" s="904"/>
      <c r="AH35" s="904"/>
    </row>
    <row r="36" spans="18:34" x14ac:dyDescent="0.25">
      <c r="R36" s="1159"/>
      <c r="S36" s="1159"/>
      <c r="T36" s="1160">
        <f>SUM(T30:U34)</f>
        <v>200.36611235119051</v>
      </c>
      <c r="U36" s="1160"/>
      <c r="V36" s="1160">
        <f>SUM(V30,V31,V32,V33,V34)</f>
        <v>100.53243861607143</v>
      </c>
      <c r="W36" s="1160"/>
      <c r="X36" s="393"/>
      <c r="AA36" s="1159"/>
      <c r="AB36" s="1159"/>
      <c r="AC36" s="1160">
        <f>SUM(AC30:AD34)</f>
        <v>209.30549479166672</v>
      </c>
      <c r="AD36" s="1160"/>
      <c r="AE36" s="1160">
        <f>SUM(AE30,AE31,AE32,AE33,AE34)</f>
        <v>104.96300781250001</v>
      </c>
      <c r="AF36" s="1160"/>
      <c r="AG36" s="903"/>
      <c r="AH36" s="903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100.53243861607143</v>
      </c>
      <c r="X38" s="393"/>
    </row>
    <row r="44" spans="18:34" x14ac:dyDescent="0.25">
      <c r="T44" s="924" t="s">
        <v>203</v>
      </c>
      <c r="U44" s="925" t="s">
        <v>228</v>
      </c>
      <c r="V44" s="925" t="s">
        <v>205</v>
      </c>
      <c r="W44" s="925" t="s">
        <v>206</v>
      </c>
      <c r="X44" s="924" t="s">
        <v>207</v>
      </c>
    </row>
    <row r="45" spans="18:34" x14ac:dyDescent="0.25">
      <c r="T45" s="619" t="s">
        <v>90</v>
      </c>
      <c r="U45" s="854">
        <v>0</v>
      </c>
      <c r="V45" s="854">
        <v>54</v>
      </c>
      <c r="W45" s="854">
        <v>38</v>
      </c>
      <c r="X45" s="854">
        <v>720.28599999999994</v>
      </c>
    </row>
    <row r="46" spans="18:34" x14ac:dyDescent="0.25">
      <c r="T46" s="619" t="s">
        <v>86</v>
      </c>
      <c r="U46" s="854">
        <v>0</v>
      </c>
      <c r="V46" s="854">
        <v>83</v>
      </c>
      <c r="W46" s="854">
        <v>36</v>
      </c>
      <c r="X46" s="854">
        <v>2.7</v>
      </c>
    </row>
    <row r="47" spans="18:34" x14ac:dyDescent="0.25">
      <c r="T47" s="619" t="s">
        <v>87</v>
      </c>
      <c r="U47" s="854">
        <v>0</v>
      </c>
      <c r="V47" s="854">
        <v>62</v>
      </c>
      <c r="W47" s="854">
        <v>27</v>
      </c>
      <c r="X47" s="854">
        <v>1.7</v>
      </c>
    </row>
    <row r="48" spans="18:34" x14ac:dyDescent="0.25">
      <c r="T48" s="619" t="s">
        <v>201</v>
      </c>
      <c r="U48" s="854">
        <v>0</v>
      </c>
      <c r="V48" s="854">
        <v>7</v>
      </c>
      <c r="W48" s="854">
        <v>5</v>
      </c>
      <c r="X48" s="854">
        <v>0.48</v>
      </c>
    </row>
    <row r="49" spans="20:24" x14ac:dyDescent="0.25">
      <c r="T49" s="619" t="s">
        <v>202</v>
      </c>
      <c r="U49" s="854">
        <v>0</v>
      </c>
      <c r="V49" s="854">
        <v>3</v>
      </c>
      <c r="W49" s="854">
        <v>0</v>
      </c>
      <c r="X49" s="854">
        <v>1.45</v>
      </c>
    </row>
    <row r="50" spans="20:24" x14ac:dyDescent="0.25">
      <c r="T50" s="901"/>
      <c r="U50" s="901">
        <f>SUM(U45:U49)</f>
        <v>0</v>
      </c>
      <c r="V50" s="901">
        <f t="shared" ref="V50:X50" si="3">SUM(V45:V49)</f>
        <v>209</v>
      </c>
      <c r="W50" s="901">
        <f t="shared" si="3"/>
        <v>106</v>
      </c>
      <c r="X50" s="901">
        <f t="shared" si="3"/>
        <v>726.6160000000001</v>
      </c>
    </row>
    <row r="51" spans="20:24" x14ac:dyDescent="0.25">
      <c r="W51" s="854"/>
    </row>
    <row r="52" spans="20:24" x14ac:dyDescent="0.25">
      <c r="W52" s="854"/>
    </row>
  </sheetData>
  <mergeCells count="124"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2"/>
  <sheetViews>
    <sheetView topLeftCell="K13" workbookViewId="0">
      <selection activeCell="L17" sqref="A1:XFD1048576"/>
    </sheetView>
  </sheetViews>
  <sheetFormatPr defaultRowHeight="15" x14ac:dyDescent="0.25"/>
  <cols>
    <col min="2" max="2" width="17.85546875" customWidth="1"/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939" t="s">
        <v>17</v>
      </c>
      <c r="R2" s="939" t="s">
        <v>18</v>
      </c>
      <c r="S2" s="939" t="s">
        <v>19</v>
      </c>
      <c r="T2" s="940" t="s">
        <v>20</v>
      </c>
      <c r="U2" s="940" t="s">
        <v>21</v>
      </c>
      <c r="V2" s="940" t="s">
        <v>22</v>
      </c>
      <c r="W2" s="940">
        <v>45</v>
      </c>
      <c r="X2" s="941" t="s">
        <v>24</v>
      </c>
      <c r="Y2" s="941" t="s">
        <v>25</v>
      </c>
      <c r="Z2" s="941" t="s">
        <v>26</v>
      </c>
      <c r="AA2" s="941" t="s">
        <v>27</v>
      </c>
      <c r="AB2" s="942" t="s">
        <v>28</v>
      </c>
      <c r="AC2" s="942" t="s">
        <v>29</v>
      </c>
      <c r="AD2" s="942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937" t="s">
        <v>31</v>
      </c>
      <c r="AJ2" s="937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934" t="s">
        <v>102</v>
      </c>
      <c r="AT2" s="934" t="s">
        <v>103</v>
      </c>
      <c r="AU2" s="934" t="s">
        <v>104</v>
      </c>
      <c r="AV2" s="934" t="s">
        <v>105</v>
      </c>
      <c r="AW2" s="934" t="s">
        <v>106</v>
      </c>
      <c r="AX2" s="938" t="s">
        <v>107</v>
      </c>
      <c r="AY2" s="938" t="s">
        <v>108</v>
      </c>
      <c r="AZ2" s="938" t="s">
        <v>109</v>
      </c>
      <c r="BA2" s="938" t="s">
        <v>110</v>
      </c>
      <c r="BB2" s="938" t="s">
        <v>111</v>
      </c>
      <c r="BC2" s="938" t="s">
        <v>112</v>
      </c>
      <c r="BD2" s="938" t="s">
        <v>113</v>
      </c>
      <c r="BE2" s="938" t="s">
        <v>114</v>
      </c>
      <c r="BF2" s="938" t="s">
        <v>115</v>
      </c>
      <c r="BG2" s="729" t="s">
        <v>116</v>
      </c>
      <c r="BH2" s="730" t="s">
        <v>117</v>
      </c>
      <c r="BI2" s="938" t="s">
        <v>118</v>
      </c>
      <c r="BJ2" s="932" t="s">
        <v>14</v>
      </c>
      <c r="BK2" s="932" t="s">
        <v>167</v>
      </c>
      <c r="BL2" s="932" t="s">
        <v>39</v>
      </c>
      <c r="BM2" s="932" t="s">
        <v>40</v>
      </c>
      <c r="BN2" s="932" t="s">
        <v>41</v>
      </c>
      <c r="BO2" s="932" t="s">
        <v>43</v>
      </c>
      <c r="BP2" s="932" t="s">
        <v>44</v>
      </c>
      <c r="BQ2" s="932" t="s">
        <v>46</v>
      </c>
      <c r="BR2" s="933" t="s">
        <v>47</v>
      </c>
      <c r="BS2" s="933" t="s">
        <v>48</v>
      </c>
      <c r="BT2" s="934" t="s">
        <v>49</v>
      </c>
      <c r="BU2" s="934" t="s">
        <v>50</v>
      </c>
      <c r="BV2" s="933" t="s">
        <v>131</v>
      </c>
      <c r="BW2" s="933" t="s">
        <v>132</v>
      </c>
      <c r="BX2" s="935" t="s">
        <v>172</v>
      </c>
      <c r="BY2" s="935" t="s">
        <v>173</v>
      </c>
      <c r="BZ2" s="936" t="s">
        <v>216</v>
      </c>
      <c r="CA2" s="936" t="s">
        <v>217</v>
      </c>
    </row>
    <row r="3" spans="1:79" ht="90.75" thickBot="1" x14ac:dyDescent="0.3">
      <c r="A3" s="943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935" t="s">
        <v>120</v>
      </c>
      <c r="BY3" s="935" t="s">
        <v>174</v>
      </c>
      <c r="BZ3" s="936" t="s">
        <v>120</v>
      </c>
      <c r="CA3" s="936" t="s">
        <v>222</v>
      </c>
    </row>
    <row r="4" spans="1:79" ht="29.25" thickBot="1" x14ac:dyDescent="0.3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946">
        <v>28960</v>
      </c>
      <c r="Q4" s="438">
        <f>SUM(T4,X4,AB4,AS4,AX4,BA4)</f>
        <v>9.0440408399470904</v>
      </c>
      <c r="R4" s="438">
        <f>SUM(U4,Y4,AC4,AI4,AT4,BB4)</f>
        <v>6.7259894692460316</v>
      </c>
      <c r="S4" s="438">
        <f>SUM(V4,Z4,AD4,AJ4,AU4)</f>
        <v>3.3744346056547618</v>
      </c>
      <c r="T4" s="453">
        <f>S17</f>
        <v>3.8080171957671958</v>
      </c>
      <c r="U4" s="453">
        <f>T4/100*70</f>
        <v>2.6656120370370373</v>
      </c>
      <c r="V4" s="453">
        <f>T4/100*30</f>
        <v>1.1424051587301587</v>
      </c>
      <c r="W4" s="453">
        <v>0</v>
      </c>
      <c r="X4" s="454">
        <f>S18</f>
        <v>2.8560128968253968</v>
      </c>
      <c r="Y4" s="454">
        <f>X4/100*70</f>
        <v>1.9992090277777776</v>
      </c>
      <c r="Z4" s="454">
        <f>X4/100*30</f>
        <v>0.85680386904761896</v>
      </c>
      <c r="AA4" s="454">
        <v>0</v>
      </c>
      <c r="AB4" s="455">
        <f>S19</f>
        <v>0.47600214947089947</v>
      </c>
      <c r="AC4" s="455">
        <f>AB4/100*70</f>
        <v>0.33320150462962966</v>
      </c>
      <c r="AD4" s="455">
        <f>AB4/100*30</f>
        <v>0.14280064484126984</v>
      </c>
      <c r="AE4" s="877">
        <v>2</v>
      </c>
      <c r="AF4" s="878">
        <v>500</v>
      </c>
      <c r="AG4" s="878">
        <v>0</v>
      </c>
      <c r="AH4" s="878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1.4280064484126984</v>
      </c>
      <c r="AT4" s="457">
        <f>AS4/100*90</f>
        <v>1.2852058035714284</v>
      </c>
      <c r="AU4" s="457">
        <f>AT4/100*85</f>
        <v>1.0924249330357143</v>
      </c>
      <c r="AV4" s="457">
        <v>0</v>
      </c>
      <c r="AW4" s="457">
        <v>0</v>
      </c>
      <c r="AX4" s="458">
        <f>S22</f>
        <v>0.1904008597883598</v>
      </c>
      <c r="AY4" s="469">
        <v>4</v>
      </c>
      <c r="AZ4" s="459" t="s">
        <v>65</v>
      </c>
      <c r="BA4" s="460">
        <f>S23</f>
        <v>0.28560128968253973</v>
      </c>
      <c r="BB4" s="458">
        <f>BA4/100*85</f>
        <v>0.24276109623015876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1.1424051587301587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945" t="s">
        <v>67</v>
      </c>
      <c r="CA4" s="945" t="s">
        <v>223</v>
      </c>
    </row>
    <row r="5" spans="1:79" ht="29.25" thickBot="1" x14ac:dyDescent="0.3">
      <c r="A5" s="50">
        <v>50</v>
      </c>
      <c r="B5" s="944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9.4599988425925954</v>
      </c>
      <c r="R5" s="438">
        <f>SUM(U5,Y5,AC5,AI5,AT5,BB5)</f>
        <v>7.0261360069444452</v>
      </c>
      <c r="S5" s="438">
        <f>SUM(V5,Z5,AD5,AJ5,AU5)</f>
        <v>3.5231943229166669</v>
      </c>
      <c r="T5" s="453">
        <f>X17</f>
        <v>3.9831574074074076</v>
      </c>
      <c r="U5" s="453">
        <f>T5/100*70</f>
        <v>2.7882101851851853</v>
      </c>
      <c r="V5" s="453">
        <f>T5/100*30</f>
        <v>1.1949472222222222</v>
      </c>
      <c r="W5" s="345">
        <v>0</v>
      </c>
      <c r="X5" s="454">
        <f>X18</f>
        <v>2.9873680555555557</v>
      </c>
      <c r="Y5" s="454">
        <f>X5/100*70</f>
        <v>2.0911576388888888</v>
      </c>
      <c r="Z5" s="454">
        <f>X5/100*30</f>
        <v>0.89621041666666668</v>
      </c>
      <c r="AA5" s="346">
        <v>0</v>
      </c>
      <c r="AB5" s="455">
        <f>X19</f>
        <v>0.49789467592592596</v>
      </c>
      <c r="AC5" s="455">
        <f>AB5/100*70</f>
        <v>0.34852627314814816</v>
      </c>
      <c r="AD5" s="455">
        <f>AB5/100*30</f>
        <v>0.14936840277777777</v>
      </c>
      <c r="AE5" s="877">
        <v>0</v>
      </c>
      <c r="AF5" s="878">
        <v>0</v>
      </c>
      <c r="AG5" s="878">
        <v>0</v>
      </c>
      <c r="AH5" s="878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1.4936840277777779</v>
      </c>
      <c r="AT5" s="457">
        <f>AS5/100*90</f>
        <v>1.3443156250000001</v>
      </c>
      <c r="AU5" s="457">
        <f>AT5/100*85</f>
        <v>1.1426682812500002</v>
      </c>
      <c r="AV5" s="349">
        <v>0</v>
      </c>
      <c r="AW5" s="349">
        <v>0</v>
      </c>
      <c r="AX5" s="458">
        <f>X22</f>
        <v>0.19915787037037039</v>
      </c>
      <c r="AY5" s="350">
        <v>1</v>
      </c>
      <c r="AZ5" s="459" t="s">
        <v>65</v>
      </c>
      <c r="BA5" s="458">
        <f>X23</f>
        <v>0.2987368055555556</v>
      </c>
      <c r="BB5" s="824">
        <f>BA5/100*85</f>
        <v>0.25392628472222228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1.1949472222222222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945" t="s">
        <v>67</v>
      </c>
      <c r="CA5" s="945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28.5" x14ac:dyDescent="0.25">
      <c r="A7" s="50">
        <v>60</v>
      </c>
      <c r="B7" s="944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947">
        <f t="shared" si="0"/>
        <v>28960</v>
      </c>
      <c r="Q7" s="394">
        <f>SUM(T7,X7,AB7,AS7,AX7,BA7)</f>
        <v>271.32122519841272</v>
      </c>
      <c r="R7" s="394">
        <f>SUM(U7,Y7,AC7,AI7,AT7,BB7)</f>
        <v>201.77968407738095</v>
      </c>
      <c r="S7" s="394">
        <f>SUM(V7,Z7,AD7,AJ7,AU7)</f>
        <v>101.23303816964285</v>
      </c>
      <c r="T7" s="527">
        <f>T4*30</f>
        <v>114.24051587301588</v>
      </c>
      <c r="U7" s="527">
        <f t="shared" ref="U7:AD8" si="1">U4*30</f>
        <v>79.968361111111122</v>
      </c>
      <c r="V7" s="527">
        <f t="shared" si="1"/>
        <v>34.272154761904758</v>
      </c>
      <c r="W7" s="527">
        <f t="shared" si="1"/>
        <v>0</v>
      </c>
      <c r="X7" s="527">
        <f t="shared" si="1"/>
        <v>85.680386904761903</v>
      </c>
      <c r="Y7" s="527">
        <f t="shared" si="1"/>
        <v>59.976270833333331</v>
      </c>
      <c r="Z7" s="527">
        <f t="shared" si="1"/>
        <v>25.704116071428569</v>
      </c>
      <c r="AA7" s="527">
        <f t="shared" si="1"/>
        <v>0</v>
      </c>
      <c r="AB7" s="527">
        <f t="shared" si="1"/>
        <v>14.280064484126985</v>
      </c>
      <c r="AC7" s="527">
        <f t="shared" si="1"/>
        <v>9.9960451388888902</v>
      </c>
      <c r="AD7" s="527">
        <f t="shared" si="1"/>
        <v>4.2840193452380948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42.840193452380952</v>
      </c>
      <c r="AT7" s="682">
        <f t="shared" ref="AT7:BB8" si="2">AT4*30</f>
        <v>38.556174107142851</v>
      </c>
      <c r="AU7" s="682">
        <f t="shared" si="2"/>
        <v>32.772747991071427</v>
      </c>
      <c r="AV7" s="682">
        <f t="shared" si="2"/>
        <v>0</v>
      </c>
      <c r="AW7" s="682">
        <f t="shared" si="2"/>
        <v>0</v>
      </c>
      <c r="AX7" s="682">
        <f t="shared" si="2"/>
        <v>5.7120257936507937</v>
      </c>
      <c r="AY7" s="682">
        <f t="shared" si="2"/>
        <v>120</v>
      </c>
      <c r="AZ7" s="682" t="e">
        <f t="shared" si="2"/>
        <v>#VALUE!</v>
      </c>
      <c r="BA7" s="682">
        <f t="shared" si="2"/>
        <v>8.5680386904761914</v>
      </c>
      <c r="BB7" s="682">
        <f t="shared" si="2"/>
        <v>7.2828328869047629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945" t="s">
        <v>67</v>
      </c>
      <c r="CA7" s="945" t="s">
        <v>223</v>
      </c>
    </row>
    <row r="8" spans="1:79" ht="28.5" x14ac:dyDescent="0.25">
      <c r="A8" s="50">
        <v>50</v>
      </c>
      <c r="B8" s="944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283.7999652777778</v>
      </c>
      <c r="R8" s="394">
        <f>SUM(U8,Y8,AC8,AI8,AT8,BB8)</f>
        <v>210.78408020833334</v>
      </c>
      <c r="S8" s="394">
        <f>SUM(V8,Z8,AD8,AJ8,AU8)</f>
        <v>105.69582968750001</v>
      </c>
      <c r="T8" s="527">
        <f>T5*30</f>
        <v>119.49472222222224</v>
      </c>
      <c r="U8" s="527">
        <f t="shared" si="1"/>
        <v>83.646305555555557</v>
      </c>
      <c r="V8" s="527">
        <f t="shared" si="1"/>
        <v>35.848416666666665</v>
      </c>
      <c r="W8" s="527">
        <f t="shared" si="1"/>
        <v>0</v>
      </c>
      <c r="X8" s="527">
        <f t="shared" si="1"/>
        <v>89.62104166666667</v>
      </c>
      <c r="Y8" s="527">
        <f t="shared" si="1"/>
        <v>62.734729166666668</v>
      </c>
      <c r="Z8" s="527">
        <f t="shared" si="1"/>
        <v>26.886312499999999</v>
      </c>
      <c r="AA8" s="527">
        <f t="shared" si="1"/>
        <v>0</v>
      </c>
      <c r="AB8" s="527">
        <f t="shared" si="1"/>
        <v>14.93684027777778</v>
      </c>
      <c r="AC8" s="527">
        <f t="shared" si="1"/>
        <v>10.455788194444445</v>
      </c>
      <c r="AD8" s="527">
        <f t="shared" si="1"/>
        <v>4.4810520833333332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44.810520833333335</v>
      </c>
      <c r="AT8" s="682">
        <f t="shared" si="2"/>
        <v>40.329468750000004</v>
      </c>
      <c r="AU8" s="682">
        <f t="shared" si="2"/>
        <v>34.280048437500007</v>
      </c>
      <c r="AV8" s="682">
        <f t="shared" si="2"/>
        <v>0</v>
      </c>
      <c r="AW8" s="682">
        <f t="shared" si="2"/>
        <v>0</v>
      </c>
      <c r="AX8" s="682">
        <f t="shared" si="2"/>
        <v>5.9747361111111115</v>
      </c>
      <c r="AY8" s="682">
        <f t="shared" si="2"/>
        <v>30</v>
      </c>
      <c r="AZ8" s="682" t="e">
        <f t="shared" si="2"/>
        <v>#VALUE!</v>
      </c>
      <c r="BA8" s="682">
        <f t="shared" si="2"/>
        <v>8.9621041666666681</v>
      </c>
      <c r="BB8" s="682">
        <f t="shared" si="2"/>
        <v>7.6177885416666689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945" t="s">
        <v>67</v>
      </c>
      <c r="CA8" s="945" t="s">
        <v>224</v>
      </c>
    </row>
    <row r="9" spans="1:79" x14ac:dyDescent="0.25">
      <c r="R9" s="393">
        <f>R8+R7</f>
        <v>412.56376428571429</v>
      </c>
      <c r="S9" s="393">
        <f>S8+S7</f>
        <v>206.92886785714285</v>
      </c>
    </row>
    <row r="12" spans="1:79" x14ac:dyDescent="0.25">
      <c r="L12" s="1059">
        <v>45658</v>
      </c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926">
        <v>31179</v>
      </c>
      <c r="T14" s="926"/>
      <c r="V14" s="1127" t="s">
        <v>192</v>
      </c>
      <c r="W14" s="1128"/>
      <c r="X14" s="926">
        <v>32613</v>
      </c>
      <c r="Y14" s="926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926">
        <v>277</v>
      </c>
      <c r="T15" s="926" t="s">
        <v>227</v>
      </c>
      <c r="V15" s="1127" t="s">
        <v>193</v>
      </c>
      <c r="W15" s="1128"/>
      <c r="X15" s="926">
        <v>277</v>
      </c>
      <c r="Y15" s="926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9.5200429894179894</v>
      </c>
      <c r="T16" s="926"/>
      <c r="V16" s="1127" t="s">
        <v>195</v>
      </c>
      <c r="W16" s="1128"/>
      <c r="X16" s="596">
        <f>X14*X15/907200</f>
        <v>9.9578935185185191</v>
      </c>
      <c r="Y16" s="926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3.8080171957671958</v>
      </c>
      <c r="T17" s="926">
        <v>40</v>
      </c>
      <c r="V17" s="1132" t="s">
        <v>9</v>
      </c>
      <c r="W17" s="1133"/>
      <c r="X17" s="592">
        <f>X16/100*40</f>
        <v>3.9831574074074076</v>
      </c>
      <c r="Y17" s="926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2.8560128968253968</v>
      </c>
      <c r="T18" s="926">
        <v>30</v>
      </c>
      <c r="V18" s="1132" t="s">
        <v>10</v>
      </c>
      <c r="W18" s="1133"/>
      <c r="X18" s="592">
        <f>X16/100*30</f>
        <v>2.9873680555555557</v>
      </c>
      <c r="Y18" s="926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0.47600214947089947</v>
      </c>
      <c r="T19" s="926">
        <v>5</v>
      </c>
      <c r="V19" s="1132" t="s">
        <v>11</v>
      </c>
      <c r="W19" s="1133"/>
      <c r="X19" s="592">
        <f>X16/100*5</f>
        <v>0.49789467592592596</v>
      </c>
      <c r="Y19" s="926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0.47600214947089947</v>
      </c>
      <c r="T20" s="926">
        <v>5</v>
      </c>
      <c r="V20" s="1132" t="s">
        <v>12</v>
      </c>
      <c r="W20" s="1133"/>
      <c r="X20" s="592">
        <f>X16/100*5</f>
        <v>0.49789467592592596</v>
      </c>
      <c r="Y20" s="926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1.4280064484126984</v>
      </c>
      <c r="T21" s="926">
        <v>15</v>
      </c>
      <c r="V21" s="1132" t="s">
        <v>99</v>
      </c>
      <c r="W21" s="1133"/>
      <c r="X21" s="592">
        <f>X16/100*15</f>
        <v>1.4936840277777779</v>
      </c>
      <c r="Y21" s="926">
        <v>15</v>
      </c>
      <c r="AA21" s="1129">
        <f>AA20*30</f>
        <v>448.9776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0.1904008597883598</v>
      </c>
      <c r="T22" s="926">
        <v>2</v>
      </c>
      <c r="V22" s="1132" t="s">
        <v>100</v>
      </c>
      <c r="W22" s="1133"/>
      <c r="X22" s="592">
        <f>X16/100*2</f>
        <v>0.19915787037037039</v>
      </c>
      <c r="Y22" s="926">
        <v>2</v>
      </c>
      <c r="AA22" s="1129">
        <f>AA21/100*2</f>
        <v>8.979552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0.28560128968253973</v>
      </c>
      <c r="T23" s="926">
        <v>3</v>
      </c>
      <c r="V23" s="1132" t="s">
        <v>101</v>
      </c>
      <c r="W23" s="1133"/>
      <c r="X23" s="592">
        <f>X16/100*3</f>
        <v>0.2987368055555556</v>
      </c>
      <c r="Y23" s="926">
        <v>3</v>
      </c>
    </row>
    <row r="24" spans="17:35" x14ac:dyDescent="0.25">
      <c r="Q24" s="1140" t="s">
        <v>89</v>
      </c>
      <c r="R24" s="1141"/>
      <c r="S24" s="596">
        <f>SUM(S17:S23)</f>
        <v>9.5200429894179894</v>
      </c>
      <c r="T24" s="926">
        <f>SUM(T17:T23)</f>
        <v>100</v>
      </c>
      <c r="V24" s="1140" t="s">
        <v>89</v>
      </c>
      <c r="W24" s="1141"/>
      <c r="X24" s="596">
        <f>SUM(X17:X23)</f>
        <v>9.9578935185185209</v>
      </c>
      <c r="Y24" s="926">
        <f>SUM(Y17:Y23)</f>
        <v>100</v>
      </c>
      <c r="AA24">
        <v>0.12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931"/>
      <c r="AH29" s="931"/>
    </row>
    <row r="30" spans="17:35" x14ac:dyDescent="0.25">
      <c r="R30" s="1147" t="s">
        <v>86</v>
      </c>
      <c r="S30" s="1147"/>
      <c r="T30" s="1148">
        <f>U7</f>
        <v>79.968361111111122</v>
      </c>
      <c r="U30" s="1148"/>
      <c r="V30" s="1148">
        <f>V7</f>
        <v>34.272154761904758</v>
      </c>
      <c r="W30" s="1148"/>
      <c r="X30" s="393"/>
      <c r="AA30" s="1147" t="s">
        <v>86</v>
      </c>
      <c r="AB30" s="1147"/>
      <c r="AC30" s="1148">
        <f>U8</f>
        <v>83.646305555555557</v>
      </c>
      <c r="AD30" s="1148"/>
      <c r="AE30" s="1148">
        <f>V8</f>
        <v>35.848416666666665</v>
      </c>
      <c r="AF30" s="1148"/>
      <c r="AG30" s="930"/>
      <c r="AH30" s="930"/>
    </row>
    <row r="31" spans="17:35" x14ac:dyDescent="0.25">
      <c r="R31" s="1147" t="s">
        <v>87</v>
      </c>
      <c r="S31" s="1147"/>
      <c r="T31" s="1148">
        <f>Y7</f>
        <v>59.976270833333331</v>
      </c>
      <c r="U31" s="1148"/>
      <c r="V31" s="1148">
        <f>Z7</f>
        <v>25.704116071428569</v>
      </c>
      <c r="W31" s="1148"/>
      <c r="X31" s="393"/>
      <c r="AA31" s="1147" t="s">
        <v>87</v>
      </c>
      <c r="AB31" s="1147"/>
      <c r="AC31" s="1148">
        <f>Y8</f>
        <v>62.734729166666668</v>
      </c>
      <c r="AD31" s="1148"/>
      <c r="AE31" s="1148">
        <f>Z8</f>
        <v>26.886312499999999</v>
      </c>
      <c r="AF31" s="1148"/>
      <c r="AG31" s="930"/>
      <c r="AH31" s="930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929"/>
      <c r="AH32" s="929"/>
    </row>
    <row r="33" spans="18:34" x14ac:dyDescent="0.25">
      <c r="R33" s="1147" t="s">
        <v>202</v>
      </c>
      <c r="S33" s="1147"/>
      <c r="T33" s="1151">
        <v>8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929"/>
      <c r="AH33" s="929"/>
    </row>
    <row r="34" spans="18:34" x14ac:dyDescent="0.25">
      <c r="R34" s="1147" t="s">
        <v>90</v>
      </c>
      <c r="S34" s="1147"/>
      <c r="T34" s="1153">
        <f>T35-T32-T33</f>
        <v>45.835052132936504</v>
      </c>
      <c r="U34" s="1154"/>
      <c r="V34" s="1153">
        <f>V35-V32-V33</f>
        <v>36.256767336309522</v>
      </c>
      <c r="W34" s="1154"/>
      <c r="AA34" s="1155" t="s">
        <v>90</v>
      </c>
      <c r="AB34" s="1156"/>
      <c r="AC34" s="1153">
        <f>AC35-AC32-AC33</f>
        <v>54.403045486111111</v>
      </c>
      <c r="AD34" s="1157"/>
      <c r="AE34" s="1153">
        <f>AE35-AE33-AE32</f>
        <v>37.961100520833341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61.835052132936504</v>
      </c>
      <c r="U35" s="1162"/>
      <c r="V35" s="1161">
        <f>SUM(AD7,AJ7,AU7)</f>
        <v>41.256767336309522</v>
      </c>
      <c r="W35" s="1162"/>
      <c r="AA35" s="1147" t="s">
        <v>90</v>
      </c>
      <c r="AB35" s="1147"/>
      <c r="AC35" s="1161">
        <f>SUM(AC8,AI8,AT8,BB8)</f>
        <v>64.403045486111111</v>
      </c>
      <c r="AD35" s="1162"/>
      <c r="AE35" s="1161">
        <f>SUM(AD8,AJ8,AU8)</f>
        <v>42.961100520833341</v>
      </c>
      <c r="AF35" s="1162"/>
      <c r="AG35" s="928"/>
      <c r="AH35" s="928"/>
    </row>
    <row r="36" spans="18:34" x14ac:dyDescent="0.25">
      <c r="R36" s="1159"/>
      <c r="S36" s="1159"/>
      <c r="T36" s="1160">
        <f>SUM(T30:U34)</f>
        <v>201.77968407738095</v>
      </c>
      <c r="U36" s="1160"/>
      <c r="V36" s="1160">
        <f>SUM(V30,V31,V32,V33,V34)</f>
        <v>101.23303816964285</v>
      </c>
      <c r="W36" s="1160"/>
      <c r="X36" s="393"/>
      <c r="AA36" s="1159"/>
      <c r="AB36" s="1159"/>
      <c r="AC36" s="1160">
        <f>SUM(AC30:AD34)</f>
        <v>210.78408020833336</v>
      </c>
      <c r="AD36" s="1160"/>
      <c r="AE36" s="1160">
        <f>SUM(AE30,AE31,AE32,AE33,AE34)</f>
        <v>105.69582968750001</v>
      </c>
      <c r="AF36" s="1160"/>
      <c r="AG36" s="927"/>
      <c r="AH36" s="927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101.23303816964285</v>
      </c>
      <c r="X38" s="393"/>
    </row>
    <row r="44" spans="18:34" x14ac:dyDescent="0.25">
      <c r="T44" s="619"/>
      <c r="U44" s="854"/>
      <c r="V44" s="854"/>
      <c r="W44" s="854"/>
      <c r="X44" s="854"/>
    </row>
    <row r="45" spans="18:34" x14ac:dyDescent="0.25">
      <c r="T45" s="619"/>
      <c r="U45" s="854"/>
      <c r="V45" s="854"/>
      <c r="W45" s="854"/>
      <c r="X45" s="854"/>
    </row>
    <row r="46" spans="18:34" x14ac:dyDescent="0.25">
      <c r="T46" s="619"/>
      <c r="U46" s="854"/>
      <c r="V46" s="854"/>
      <c r="W46" s="854"/>
      <c r="X46" s="854"/>
      <c r="AC46" s="619" t="s">
        <v>90</v>
      </c>
      <c r="AD46" s="854">
        <v>0</v>
      </c>
      <c r="AE46" s="854">
        <v>50</v>
      </c>
      <c r="AF46" s="854">
        <v>36</v>
      </c>
      <c r="AG46" s="854">
        <v>1200</v>
      </c>
    </row>
    <row r="47" spans="18:34" x14ac:dyDescent="0.25">
      <c r="T47" s="619"/>
      <c r="U47" s="854"/>
      <c r="V47" s="854"/>
      <c r="W47" s="854"/>
      <c r="X47" s="854"/>
      <c r="AC47" s="619" t="s">
        <v>86</v>
      </c>
      <c r="AD47" s="854">
        <v>0</v>
      </c>
      <c r="AE47" s="854">
        <v>80</v>
      </c>
      <c r="AF47" s="854">
        <v>34</v>
      </c>
      <c r="AG47" s="854">
        <v>0</v>
      </c>
    </row>
    <row r="48" spans="18:34" x14ac:dyDescent="0.25">
      <c r="T48" s="619"/>
      <c r="U48" s="854"/>
      <c r="V48" s="854"/>
      <c r="W48" s="854"/>
      <c r="X48" s="854"/>
      <c r="AC48" s="619" t="s">
        <v>87</v>
      </c>
      <c r="AD48" s="854">
        <v>0</v>
      </c>
      <c r="AE48" s="854">
        <v>60</v>
      </c>
      <c r="AF48" s="854">
        <v>26</v>
      </c>
      <c r="AG48" s="854">
        <v>0</v>
      </c>
    </row>
    <row r="49" spans="20:33" x14ac:dyDescent="0.25">
      <c r="T49" s="619"/>
      <c r="U49" s="854"/>
      <c r="V49" s="854"/>
      <c r="W49" s="854"/>
      <c r="X49" s="854"/>
      <c r="AC49" s="619" t="s">
        <v>201</v>
      </c>
      <c r="AD49" s="854">
        <v>0</v>
      </c>
      <c r="AE49" s="854">
        <v>8</v>
      </c>
      <c r="AF49" s="854">
        <v>5</v>
      </c>
      <c r="AG49" s="854">
        <v>0</v>
      </c>
    </row>
    <row r="50" spans="20:33" x14ac:dyDescent="0.25">
      <c r="T50" s="901"/>
      <c r="U50" s="901"/>
      <c r="V50" s="901"/>
      <c r="W50" s="901"/>
      <c r="X50" s="901"/>
      <c r="AC50" s="619" t="s">
        <v>202</v>
      </c>
      <c r="AD50" s="854">
        <v>0</v>
      </c>
      <c r="AE50" s="854">
        <v>4</v>
      </c>
      <c r="AF50" s="854">
        <v>0</v>
      </c>
      <c r="AG50" s="854">
        <v>0</v>
      </c>
    </row>
    <row r="51" spans="20:33" x14ac:dyDescent="0.25">
      <c r="W51" s="854"/>
      <c r="AD51">
        <f>SUM(AD46:AD50)</f>
        <v>0</v>
      </c>
      <c r="AE51">
        <f t="shared" ref="AE51:AG51" si="3">SUM(AE46:AE50)</f>
        <v>202</v>
      </c>
      <c r="AF51">
        <f t="shared" si="3"/>
        <v>101</v>
      </c>
      <c r="AG51">
        <f t="shared" si="3"/>
        <v>1200</v>
      </c>
    </row>
    <row r="52" spans="20:33" x14ac:dyDescent="0.25">
      <c r="W52" s="854"/>
    </row>
  </sheetData>
  <mergeCells count="124"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2"/>
  <sheetViews>
    <sheetView topLeftCell="O7" workbookViewId="0">
      <selection activeCell="O25" sqref="A1:XFD1048576"/>
    </sheetView>
  </sheetViews>
  <sheetFormatPr defaultRowHeight="15" x14ac:dyDescent="0.25"/>
  <cols>
    <col min="2" max="2" width="17.85546875" customWidth="1"/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961" t="s">
        <v>17</v>
      </c>
      <c r="R2" s="961" t="s">
        <v>18</v>
      </c>
      <c r="S2" s="961" t="s">
        <v>19</v>
      </c>
      <c r="T2" s="962" t="s">
        <v>20</v>
      </c>
      <c r="U2" s="962" t="s">
        <v>21</v>
      </c>
      <c r="V2" s="962" t="s">
        <v>22</v>
      </c>
      <c r="W2" s="962">
        <v>45</v>
      </c>
      <c r="X2" s="963" t="s">
        <v>24</v>
      </c>
      <c r="Y2" s="963" t="s">
        <v>25</v>
      </c>
      <c r="Z2" s="963" t="s">
        <v>26</v>
      </c>
      <c r="AA2" s="963" t="s">
        <v>27</v>
      </c>
      <c r="AB2" s="964" t="s">
        <v>28</v>
      </c>
      <c r="AC2" s="964" t="s">
        <v>29</v>
      </c>
      <c r="AD2" s="964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959" t="s">
        <v>31</v>
      </c>
      <c r="AJ2" s="959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956" t="s">
        <v>102</v>
      </c>
      <c r="AT2" s="956" t="s">
        <v>103</v>
      </c>
      <c r="AU2" s="956" t="s">
        <v>104</v>
      </c>
      <c r="AV2" s="956" t="s">
        <v>105</v>
      </c>
      <c r="AW2" s="956" t="s">
        <v>106</v>
      </c>
      <c r="AX2" s="960" t="s">
        <v>107</v>
      </c>
      <c r="AY2" s="960" t="s">
        <v>108</v>
      </c>
      <c r="AZ2" s="960" t="s">
        <v>109</v>
      </c>
      <c r="BA2" s="960" t="s">
        <v>110</v>
      </c>
      <c r="BB2" s="960" t="s">
        <v>111</v>
      </c>
      <c r="BC2" s="960" t="s">
        <v>112</v>
      </c>
      <c r="BD2" s="960" t="s">
        <v>113</v>
      </c>
      <c r="BE2" s="960" t="s">
        <v>114</v>
      </c>
      <c r="BF2" s="960" t="s">
        <v>115</v>
      </c>
      <c r="BG2" s="729" t="s">
        <v>116</v>
      </c>
      <c r="BH2" s="730" t="s">
        <v>117</v>
      </c>
      <c r="BI2" s="960" t="s">
        <v>118</v>
      </c>
      <c r="BJ2" s="954" t="s">
        <v>14</v>
      </c>
      <c r="BK2" s="954" t="s">
        <v>167</v>
      </c>
      <c r="BL2" s="954" t="s">
        <v>39</v>
      </c>
      <c r="BM2" s="954" t="s">
        <v>40</v>
      </c>
      <c r="BN2" s="954" t="s">
        <v>41</v>
      </c>
      <c r="BO2" s="954" t="s">
        <v>43</v>
      </c>
      <c r="BP2" s="954" t="s">
        <v>44</v>
      </c>
      <c r="BQ2" s="954" t="s">
        <v>46</v>
      </c>
      <c r="BR2" s="955" t="s">
        <v>47</v>
      </c>
      <c r="BS2" s="955" t="s">
        <v>48</v>
      </c>
      <c r="BT2" s="956" t="s">
        <v>49</v>
      </c>
      <c r="BU2" s="956" t="s">
        <v>50</v>
      </c>
      <c r="BV2" s="955" t="s">
        <v>131</v>
      </c>
      <c r="BW2" s="955" t="s">
        <v>132</v>
      </c>
      <c r="BX2" s="957" t="s">
        <v>172</v>
      </c>
      <c r="BY2" s="957" t="s">
        <v>173</v>
      </c>
      <c r="BZ2" s="958" t="s">
        <v>216</v>
      </c>
      <c r="CA2" s="958" t="s">
        <v>217</v>
      </c>
    </row>
    <row r="3" spans="1:79" ht="90.75" thickBot="1" x14ac:dyDescent="0.3">
      <c r="A3" s="965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957" t="s">
        <v>120</v>
      </c>
      <c r="BY3" s="957" t="s">
        <v>174</v>
      </c>
      <c r="BZ3" s="958" t="s">
        <v>120</v>
      </c>
      <c r="CA3" s="958" t="s">
        <v>222</v>
      </c>
    </row>
    <row r="4" spans="1:79" ht="29.25" thickBot="1" x14ac:dyDescent="0.3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968">
        <v>28960</v>
      </c>
      <c r="Q4" s="438">
        <f>SUM(T4,X4,AB4,AS4,AX4,BA4)</f>
        <v>9.1419907407407432</v>
      </c>
      <c r="R4" s="438">
        <f>SUM(U4,Y4,AC4,AI4,AT4,BB4)</f>
        <v>6.7966680555555561</v>
      </c>
      <c r="S4" s="438">
        <f>SUM(V4,Z4,AD4,AJ4,AU4)</f>
        <v>3.4094645833333335</v>
      </c>
      <c r="T4" s="453">
        <f>S17</f>
        <v>3.8492592592592594</v>
      </c>
      <c r="U4" s="453">
        <f>T4/100*70</f>
        <v>2.6944814814814815</v>
      </c>
      <c r="V4" s="453">
        <f>T4/100*30</f>
        <v>1.1547777777777777</v>
      </c>
      <c r="W4" s="453">
        <v>0</v>
      </c>
      <c r="X4" s="454">
        <f>S18</f>
        <v>2.8869444444444445</v>
      </c>
      <c r="Y4" s="454">
        <f>X4/100*70</f>
        <v>2.020861111111111</v>
      </c>
      <c r="Z4" s="454">
        <f>X4/100*30</f>
        <v>0.86608333333333332</v>
      </c>
      <c r="AA4" s="454">
        <v>0</v>
      </c>
      <c r="AB4" s="455">
        <f>S19</f>
        <v>0.48115740740740742</v>
      </c>
      <c r="AC4" s="455">
        <f>AB4/100*70</f>
        <v>0.33681018518518518</v>
      </c>
      <c r="AD4" s="455">
        <f>AB4/100*30</f>
        <v>0.14434722222222221</v>
      </c>
      <c r="AE4" s="877">
        <v>2</v>
      </c>
      <c r="AF4" s="878">
        <v>500</v>
      </c>
      <c r="AG4" s="878">
        <v>0</v>
      </c>
      <c r="AH4" s="878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1.4434722222222223</v>
      </c>
      <c r="AT4" s="457">
        <f>AS4/100*90</f>
        <v>1.2991250000000001</v>
      </c>
      <c r="AU4" s="457">
        <f>AT4/100*85</f>
        <v>1.1042562500000002</v>
      </c>
      <c r="AV4" s="457">
        <v>0</v>
      </c>
      <c r="AW4" s="457">
        <v>0</v>
      </c>
      <c r="AX4" s="458">
        <f>S22</f>
        <v>0.19246296296296297</v>
      </c>
      <c r="AY4" s="469">
        <v>4</v>
      </c>
      <c r="AZ4" s="459" t="s">
        <v>65</v>
      </c>
      <c r="BA4" s="460">
        <f>S23</f>
        <v>0.28869444444444448</v>
      </c>
      <c r="BB4" s="458">
        <f>BA4/100*85</f>
        <v>0.24539027777777778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1.1547777777777777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967" t="s">
        <v>67</v>
      </c>
      <c r="CA4" s="967" t="s">
        <v>223</v>
      </c>
    </row>
    <row r="5" spans="1:79" ht="29.25" thickBot="1" x14ac:dyDescent="0.3">
      <c r="A5" s="50">
        <v>50</v>
      </c>
      <c r="B5" s="966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9.562453703703703</v>
      </c>
      <c r="R5" s="438">
        <f>SUM(U5,Y5,AC5,AI5,AT5,BB5)</f>
        <v>7.1000652777777784</v>
      </c>
      <c r="S5" s="438">
        <f>SUM(V5,Z5,AD5,AJ5,AU5)</f>
        <v>3.5598354166666675</v>
      </c>
      <c r="T5" s="453">
        <f>X17</f>
        <v>4.0262962962962963</v>
      </c>
      <c r="U5" s="453">
        <f>T5/100*70</f>
        <v>2.8184074074074075</v>
      </c>
      <c r="V5" s="453">
        <f>T5/100*30</f>
        <v>1.207888888888889</v>
      </c>
      <c r="W5" s="345">
        <v>0</v>
      </c>
      <c r="X5" s="454">
        <f>X18</f>
        <v>3.0197222222222226</v>
      </c>
      <c r="Y5" s="454">
        <f>X5/100*70</f>
        <v>2.1138055555555559</v>
      </c>
      <c r="Z5" s="454">
        <f>X5/100*30</f>
        <v>0.90591666666666681</v>
      </c>
      <c r="AA5" s="346">
        <v>0</v>
      </c>
      <c r="AB5" s="455">
        <f>X19</f>
        <v>0.50328703703703703</v>
      </c>
      <c r="AC5" s="455">
        <f>AB5/100*70</f>
        <v>0.35230092592592593</v>
      </c>
      <c r="AD5" s="455">
        <f>AB5/100*30</f>
        <v>0.15098611111111113</v>
      </c>
      <c r="AE5" s="877">
        <v>0</v>
      </c>
      <c r="AF5" s="878">
        <v>0</v>
      </c>
      <c r="AG5" s="878">
        <v>0</v>
      </c>
      <c r="AH5" s="878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1.5098611111111113</v>
      </c>
      <c r="AT5" s="457">
        <f>AS5/100*90</f>
        <v>1.3588750000000003</v>
      </c>
      <c r="AU5" s="457">
        <f>AT5/100*85</f>
        <v>1.1550437500000004</v>
      </c>
      <c r="AV5" s="349">
        <v>0</v>
      </c>
      <c r="AW5" s="349">
        <v>0</v>
      </c>
      <c r="AX5" s="458">
        <f>X22</f>
        <v>0.20131481481481484</v>
      </c>
      <c r="AY5" s="350">
        <v>1</v>
      </c>
      <c r="AZ5" s="459" t="s">
        <v>65</v>
      </c>
      <c r="BA5" s="458">
        <f>X23</f>
        <v>0.30197222222222225</v>
      </c>
      <c r="BB5" s="824">
        <f>BA5/100*85</f>
        <v>0.25667638888888894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1.207888888888889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967" t="s">
        <v>67</v>
      </c>
      <c r="CA5" s="967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28.5" x14ac:dyDescent="0.25">
      <c r="A7" s="50">
        <v>60</v>
      </c>
      <c r="B7" s="966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969">
        <f t="shared" si="0"/>
        <v>28960</v>
      </c>
      <c r="Q7" s="394">
        <f>SUM(T7,X7,AB7,AS7,AX7,BA7)</f>
        <v>274.25972222222225</v>
      </c>
      <c r="R7" s="394">
        <f>SUM(U7,Y7,AC7,AI7,AT7,BB7)</f>
        <v>203.90004166666665</v>
      </c>
      <c r="S7" s="394">
        <f>SUM(V7,Z7,AD7,AJ7,AU7)</f>
        <v>102.28393750000001</v>
      </c>
      <c r="T7" s="527">
        <f>T4*30</f>
        <v>115.47777777777779</v>
      </c>
      <c r="U7" s="527">
        <f t="shared" ref="U7:AD8" si="1">U4*30</f>
        <v>80.834444444444443</v>
      </c>
      <c r="V7" s="527">
        <f t="shared" si="1"/>
        <v>34.643333333333331</v>
      </c>
      <c r="W7" s="527">
        <f t="shared" si="1"/>
        <v>0</v>
      </c>
      <c r="X7" s="527">
        <f t="shared" si="1"/>
        <v>86.608333333333334</v>
      </c>
      <c r="Y7" s="527">
        <f t="shared" si="1"/>
        <v>60.625833333333333</v>
      </c>
      <c r="Z7" s="527">
        <f t="shared" si="1"/>
        <v>25.982499999999998</v>
      </c>
      <c r="AA7" s="527">
        <f t="shared" si="1"/>
        <v>0</v>
      </c>
      <c r="AB7" s="527">
        <f t="shared" si="1"/>
        <v>14.434722222222224</v>
      </c>
      <c r="AC7" s="527">
        <f t="shared" si="1"/>
        <v>10.104305555555555</v>
      </c>
      <c r="AD7" s="527">
        <f t="shared" si="1"/>
        <v>4.3304166666666664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43.304166666666667</v>
      </c>
      <c r="AT7" s="682">
        <f t="shared" ref="AT7:BB8" si="2">AT4*30</f>
        <v>38.973750000000003</v>
      </c>
      <c r="AU7" s="682">
        <f t="shared" si="2"/>
        <v>33.127687500000008</v>
      </c>
      <c r="AV7" s="682">
        <f t="shared" si="2"/>
        <v>0</v>
      </c>
      <c r="AW7" s="682">
        <f t="shared" si="2"/>
        <v>0</v>
      </c>
      <c r="AX7" s="682">
        <f t="shared" si="2"/>
        <v>5.7738888888888891</v>
      </c>
      <c r="AY7" s="682">
        <f t="shared" si="2"/>
        <v>120</v>
      </c>
      <c r="AZ7" s="682" t="e">
        <f t="shared" si="2"/>
        <v>#VALUE!</v>
      </c>
      <c r="BA7" s="682">
        <f t="shared" si="2"/>
        <v>8.6608333333333345</v>
      </c>
      <c r="BB7" s="682">
        <f t="shared" si="2"/>
        <v>7.3617083333333335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967" t="s">
        <v>67</v>
      </c>
      <c r="CA7" s="967" t="s">
        <v>223</v>
      </c>
    </row>
    <row r="8" spans="1:79" ht="28.5" x14ac:dyDescent="0.25">
      <c r="A8" s="50">
        <v>50</v>
      </c>
      <c r="B8" s="966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286.87361111111113</v>
      </c>
      <c r="R8" s="394">
        <f>SUM(U8,Y8,AC8,AI8,AT8,BB8)</f>
        <v>213.00195833333336</v>
      </c>
      <c r="S8" s="394">
        <f>SUM(V8,Z8,AD8,AJ8,AU8)</f>
        <v>106.79506250000003</v>
      </c>
      <c r="T8" s="527">
        <f>T5*30</f>
        <v>120.78888888888889</v>
      </c>
      <c r="U8" s="527">
        <f t="shared" si="1"/>
        <v>84.552222222222227</v>
      </c>
      <c r="V8" s="527">
        <f t="shared" si="1"/>
        <v>36.236666666666672</v>
      </c>
      <c r="W8" s="527">
        <f t="shared" si="1"/>
        <v>0</v>
      </c>
      <c r="X8" s="527">
        <f t="shared" si="1"/>
        <v>90.591666666666683</v>
      </c>
      <c r="Y8" s="527">
        <f t="shared" si="1"/>
        <v>63.414166666666681</v>
      </c>
      <c r="Z8" s="527">
        <f t="shared" si="1"/>
        <v>27.177500000000006</v>
      </c>
      <c r="AA8" s="527">
        <f t="shared" si="1"/>
        <v>0</v>
      </c>
      <c r="AB8" s="527">
        <f t="shared" si="1"/>
        <v>15.098611111111111</v>
      </c>
      <c r="AC8" s="527">
        <f t="shared" si="1"/>
        <v>10.569027777777778</v>
      </c>
      <c r="AD8" s="527">
        <f t="shared" si="1"/>
        <v>4.529583333333334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45.295833333333341</v>
      </c>
      <c r="AT8" s="682">
        <f t="shared" si="2"/>
        <v>40.766250000000007</v>
      </c>
      <c r="AU8" s="682">
        <f t="shared" si="2"/>
        <v>34.65131250000001</v>
      </c>
      <c r="AV8" s="682">
        <f t="shared" si="2"/>
        <v>0</v>
      </c>
      <c r="AW8" s="682">
        <f t="shared" si="2"/>
        <v>0</v>
      </c>
      <c r="AX8" s="682">
        <f t="shared" si="2"/>
        <v>6.0394444444444453</v>
      </c>
      <c r="AY8" s="682">
        <f t="shared" si="2"/>
        <v>30</v>
      </c>
      <c r="AZ8" s="682" t="e">
        <f t="shared" si="2"/>
        <v>#VALUE!</v>
      </c>
      <c r="BA8" s="682">
        <f t="shared" si="2"/>
        <v>9.0591666666666679</v>
      </c>
      <c r="BB8" s="682">
        <f t="shared" si="2"/>
        <v>7.7002916666666685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967" t="s">
        <v>67</v>
      </c>
      <c r="CA8" s="967" t="s">
        <v>224</v>
      </c>
    </row>
    <row r="9" spans="1:79" x14ac:dyDescent="0.25">
      <c r="R9" s="393">
        <f>R8+R7</f>
        <v>416.90200000000004</v>
      </c>
      <c r="S9" s="393">
        <f>S8+S7</f>
        <v>209.07900000000004</v>
      </c>
    </row>
    <row r="11" spans="1:79" x14ac:dyDescent="0.25">
      <c r="O11" s="1059">
        <v>45689</v>
      </c>
    </row>
    <row r="12" spans="1:79" x14ac:dyDescent="0.25"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948">
        <v>31179</v>
      </c>
      <c r="T14" s="948"/>
      <c r="V14" s="1127" t="s">
        <v>192</v>
      </c>
      <c r="W14" s="1128"/>
      <c r="X14" s="948">
        <v>32613</v>
      </c>
      <c r="Y14" s="948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948">
        <v>280</v>
      </c>
      <c r="T15" s="948" t="s">
        <v>227</v>
      </c>
      <c r="V15" s="1127" t="s">
        <v>193</v>
      </c>
      <c r="W15" s="1128"/>
      <c r="X15" s="948">
        <v>280</v>
      </c>
      <c r="Y15" s="948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9.6231481481481485</v>
      </c>
      <c r="T16" s="948"/>
      <c r="V16" s="1127" t="s">
        <v>195</v>
      </c>
      <c r="W16" s="1128"/>
      <c r="X16" s="596">
        <f>X14*X15/907200</f>
        <v>10.065740740740742</v>
      </c>
      <c r="Y16" s="948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3.8492592592592594</v>
      </c>
      <c r="T17" s="948">
        <v>40</v>
      </c>
      <c r="V17" s="1132" t="s">
        <v>9</v>
      </c>
      <c r="W17" s="1133"/>
      <c r="X17" s="592">
        <f>X16/100*40</f>
        <v>4.0262962962962963</v>
      </c>
      <c r="Y17" s="948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2.8869444444444445</v>
      </c>
      <c r="T18" s="948">
        <v>30</v>
      </c>
      <c r="V18" s="1132" t="s">
        <v>10</v>
      </c>
      <c r="W18" s="1133"/>
      <c r="X18" s="592">
        <f>X16/100*30</f>
        <v>3.0197222222222226</v>
      </c>
      <c r="Y18" s="948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0.48115740740740742</v>
      </c>
      <c r="T19" s="948">
        <v>5</v>
      </c>
      <c r="V19" s="1132" t="s">
        <v>11</v>
      </c>
      <c r="W19" s="1133"/>
      <c r="X19" s="592">
        <f>X16/100*5</f>
        <v>0.50328703703703703</v>
      </c>
      <c r="Y19" s="948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0.48115740740740742</v>
      </c>
      <c r="T20" s="948">
        <v>5</v>
      </c>
      <c r="V20" s="1132" t="s">
        <v>12</v>
      </c>
      <c r="W20" s="1133"/>
      <c r="X20" s="592">
        <f>X16/100*5</f>
        <v>0.50328703703703703</v>
      </c>
      <c r="Y20" s="948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1.4434722222222223</v>
      </c>
      <c r="T21" s="948">
        <v>15</v>
      </c>
      <c r="V21" s="1132" t="s">
        <v>99</v>
      </c>
      <c r="W21" s="1133"/>
      <c r="X21" s="592">
        <f>X16/100*15</f>
        <v>1.5098611111111113</v>
      </c>
      <c r="Y21" s="948">
        <v>15</v>
      </c>
      <c r="AA21" s="1129">
        <f>AA20*30</f>
        <v>448.9776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0.19246296296296297</v>
      </c>
      <c r="T22" s="948">
        <v>2</v>
      </c>
      <c r="V22" s="1132" t="s">
        <v>100</v>
      </c>
      <c r="W22" s="1133"/>
      <c r="X22" s="592">
        <f>X16/100*2</f>
        <v>0.20131481481481484</v>
      </c>
      <c r="Y22" s="948">
        <v>2</v>
      </c>
      <c r="AA22" s="1129">
        <f>AA21/100*2</f>
        <v>8.979552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0.28869444444444448</v>
      </c>
      <c r="T23" s="948">
        <v>3</v>
      </c>
      <c r="V23" s="1132" t="s">
        <v>101</v>
      </c>
      <c r="W23" s="1133"/>
      <c r="X23" s="592">
        <f>X16/100*3</f>
        <v>0.30197222222222225</v>
      </c>
      <c r="Y23" s="948">
        <v>3</v>
      </c>
    </row>
    <row r="24" spans="17:35" x14ac:dyDescent="0.25">
      <c r="Q24" s="1140" t="s">
        <v>89</v>
      </c>
      <c r="R24" s="1141"/>
      <c r="S24" s="596">
        <f>SUM(S17:S23)</f>
        <v>9.6231481481481502</v>
      </c>
      <c r="T24" s="948">
        <f>SUM(T17:T23)</f>
        <v>100</v>
      </c>
      <c r="V24" s="1140" t="s">
        <v>89</v>
      </c>
      <c r="W24" s="1141"/>
      <c r="X24" s="596">
        <f>SUM(X17:X23)</f>
        <v>10.06574074074074</v>
      </c>
      <c r="Y24" s="948">
        <f>SUM(Y17:Y23)</f>
        <v>100</v>
      </c>
      <c r="AA24">
        <v>0.12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953"/>
      <c r="AH29" s="953"/>
    </row>
    <row r="30" spans="17:35" x14ac:dyDescent="0.25">
      <c r="R30" s="1147" t="s">
        <v>86</v>
      </c>
      <c r="S30" s="1147"/>
      <c r="T30" s="1148">
        <f>U7</f>
        <v>80.834444444444443</v>
      </c>
      <c r="U30" s="1148"/>
      <c r="V30" s="1148">
        <f>V7</f>
        <v>34.643333333333331</v>
      </c>
      <c r="W30" s="1148"/>
      <c r="X30" s="393"/>
      <c r="AA30" s="1147" t="s">
        <v>86</v>
      </c>
      <c r="AB30" s="1147"/>
      <c r="AC30" s="1148">
        <f>U8</f>
        <v>84.552222222222227</v>
      </c>
      <c r="AD30" s="1148"/>
      <c r="AE30" s="1148">
        <f>V8</f>
        <v>36.236666666666672</v>
      </c>
      <c r="AF30" s="1148"/>
      <c r="AG30" s="952"/>
      <c r="AH30" s="952"/>
    </row>
    <row r="31" spans="17:35" x14ac:dyDescent="0.25">
      <c r="R31" s="1147" t="s">
        <v>87</v>
      </c>
      <c r="S31" s="1147"/>
      <c r="T31" s="1148">
        <f>Y7</f>
        <v>60.625833333333333</v>
      </c>
      <c r="U31" s="1148"/>
      <c r="V31" s="1148">
        <f>Z7</f>
        <v>25.982499999999998</v>
      </c>
      <c r="W31" s="1148"/>
      <c r="X31" s="393"/>
      <c r="AA31" s="1147" t="s">
        <v>87</v>
      </c>
      <c r="AB31" s="1147"/>
      <c r="AC31" s="1148">
        <f>Y8</f>
        <v>63.414166666666681</v>
      </c>
      <c r="AD31" s="1148"/>
      <c r="AE31" s="1148">
        <f>Z8</f>
        <v>27.177500000000006</v>
      </c>
      <c r="AF31" s="1148"/>
      <c r="AG31" s="952"/>
      <c r="AH31" s="952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951"/>
      <c r="AH32" s="951"/>
    </row>
    <row r="33" spans="18:34" x14ac:dyDescent="0.25">
      <c r="R33" s="1147" t="s">
        <v>202</v>
      </c>
      <c r="S33" s="1147"/>
      <c r="T33" s="1151">
        <v>8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951"/>
      <c r="AH33" s="951"/>
    </row>
    <row r="34" spans="18:34" x14ac:dyDescent="0.25">
      <c r="R34" s="1147" t="s">
        <v>90</v>
      </c>
      <c r="S34" s="1147"/>
      <c r="T34" s="1153">
        <f>T35-T32-T33</f>
        <v>46.439763888888891</v>
      </c>
      <c r="U34" s="1154"/>
      <c r="V34" s="1153">
        <f>V35-V32-V33</f>
        <v>36.658104166666675</v>
      </c>
      <c r="W34" s="1154"/>
      <c r="AA34" s="1155" t="s">
        <v>90</v>
      </c>
      <c r="AB34" s="1156"/>
      <c r="AC34" s="1153">
        <f>AC35-AC32-AC33</f>
        <v>55.035569444444448</v>
      </c>
      <c r="AD34" s="1157"/>
      <c r="AE34" s="1153">
        <f>AE35-AE33-AE32</f>
        <v>38.380895833333341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62.439763888888891</v>
      </c>
      <c r="U35" s="1162"/>
      <c r="V35" s="1161">
        <f>SUM(AD7,AJ7,AU7)</f>
        <v>41.658104166666675</v>
      </c>
      <c r="W35" s="1162"/>
      <c r="AA35" s="1147" t="s">
        <v>90</v>
      </c>
      <c r="AB35" s="1147"/>
      <c r="AC35" s="1161">
        <f>SUM(AC8,AI8,AT8,BB8)</f>
        <v>65.035569444444448</v>
      </c>
      <c r="AD35" s="1162"/>
      <c r="AE35" s="1161">
        <f>SUM(AD8,AJ8,AU8)</f>
        <v>43.380895833333341</v>
      </c>
      <c r="AF35" s="1162"/>
      <c r="AG35" s="950"/>
      <c r="AH35" s="950"/>
    </row>
    <row r="36" spans="18:34" x14ac:dyDescent="0.25">
      <c r="R36" s="1159"/>
      <c r="S36" s="1159"/>
      <c r="T36" s="1160">
        <f>SUM(T30:U34)</f>
        <v>203.90004166666665</v>
      </c>
      <c r="U36" s="1160"/>
      <c r="V36" s="1160">
        <f>SUM(V30,V31,V32,V33,V34)</f>
        <v>102.28393750000001</v>
      </c>
      <c r="W36" s="1160"/>
      <c r="X36" s="393"/>
      <c r="AA36" s="1159"/>
      <c r="AB36" s="1159"/>
      <c r="AC36" s="1160">
        <f>SUM(AC30:AD34)</f>
        <v>213.00195833333333</v>
      </c>
      <c r="AD36" s="1160"/>
      <c r="AE36" s="1160">
        <f>SUM(AE30,AE31,AE32,AE33,AE34)</f>
        <v>106.79506250000001</v>
      </c>
      <c r="AF36" s="1160"/>
      <c r="AG36" s="949"/>
      <c r="AH36" s="949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102.28393750000001</v>
      </c>
      <c r="X38" s="393"/>
    </row>
    <row r="44" spans="18:34" x14ac:dyDescent="0.25">
      <c r="T44" s="619"/>
      <c r="U44" s="854"/>
      <c r="V44" s="854"/>
      <c r="W44" s="854"/>
      <c r="X44" s="854"/>
    </row>
    <row r="45" spans="18:34" x14ac:dyDescent="0.25">
      <c r="T45" s="619"/>
      <c r="U45" s="854"/>
      <c r="V45" s="854"/>
      <c r="W45" s="854"/>
      <c r="X45" s="854"/>
    </row>
    <row r="46" spans="18:34" x14ac:dyDescent="0.25">
      <c r="T46" s="619"/>
      <c r="U46" s="854"/>
      <c r="V46" s="854"/>
      <c r="W46" s="854"/>
      <c r="X46" s="854"/>
      <c r="AC46" s="619" t="s">
        <v>90</v>
      </c>
      <c r="AD46" s="854">
        <v>0</v>
      </c>
      <c r="AE46" s="854">
        <v>55</v>
      </c>
      <c r="AF46" s="854">
        <v>38</v>
      </c>
      <c r="AG46" s="854">
        <v>720.28599999999994</v>
      </c>
    </row>
    <row r="47" spans="18:34" x14ac:dyDescent="0.25">
      <c r="T47" s="619"/>
      <c r="U47" s="854"/>
      <c r="V47" s="854"/>
      <c r="W47" s="854"/>
      <c r="X47" s="854"/>
      <c r="AC47" s="619" t="s">
        <v>86</v>
      </c>
      <c r="AD47" s="854">
        <v>0</v>
      </c>
      <c r="AE47" s="854">
        <v>85</v>
      </c>
      <c r="AF47" s="854">
        <v>36</v>
      </c>
      <c r="AG47" s="854">
        <v>2.7</v>
      </c>
    </row>
    <row r="48" spans="18:34" x14ac:dyDescent="0.25">
      <c r="T48" s="619"/>
      <c r="U48" s="854"/>
      <c r="V48" s="854"/>
      <c r="W48" s="854"/>
      <c r="X48" s="854"/>
      <c r="AC48" s="619" t="s">
        <v>87</v>
      </c>
      <c r="AD48" s="854">
        <v>0</v>
      </c>
      <c r="AE48" s="854">
        <v>63</v>
      </c>
      <c r="AF48" s="854">
        <v>27</v>
      </c>
      <c r="AG48" s="854">
        <v>1.7</v>
      </c>
    </row>
    <row r="49" spans="20:33" x14ac:dyDescent="0.25">
      <c r="T49" s="619"/>
      <c r="U49" s="854"/>
      <c r="V49" s="854"/>
      <c r="W49" s="854"/>
      <c r="X49" s="854"/>
      <c r="AC49" s="619" t="s">
        <v>201</v>
      </c>
      <c r="AD49" s="854">
        <v>0</v>
      </c>
      <c r="AE49" s="854">
        <v>7</v>
      </c>
      <c r="AF49" s="854">
        <v>5</v>
      </c>
      <c r="AG49" s="854">
        <v>0.08</v>
      </c>
    </row>
    <row r="50" spans="20:33" x14ac:dyDescent="0.25">
      <c r="T50" s="901"/>
      <c r="U50" s="901"/>
      <c r="V50" s="901"/>
      <c r="W50" s="901"/>
      <c r="X50" s="901"/>
      <c r="AC50" s="619" t="s">
        <v>202</v>
      </c>
      <c r="AD50" s="854">
        <v>0</v>
      </c>
      <c r="AE50" s="854">
        <v>3</v>
      </c>
      <c r="AF50" s="854">
        <v>0</v>
      </c>
      <c r="AG50" s="854">
        <v>0.05</v>
      </c>
    </row>
    <row r="51" spans="20:33" x14ac:dyDescent="0.25">
      <c r="W51" s="854"/>
      <c r="AD51">
        <f>SUM(AD46:AD50)</f>
        <v>0</v>
      </c>
      <c r="AE51">
        <f t="shared" ref="AE51:AG51" si="3">SUM(AE46:AE50)</f>
        <v>213</v>
      </c>
      <c r="AF51">
        <f t="shared" si="3"/>
        <v>106</v>
      </c>
      <c r="AG51">
        <f t="shared" si="3"/>
        <v>724.81600000000003</v>
      </c>
    </row>
    <row r="52" spans="20:33" x14ac:dyDescent="0.25">
      <c r="W52" s="854"/>
    </row>
  </sheetData>
  <mergeCells count="124"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4"/>
  <sheetViews>
    <sheetView topLeftCell="N4" workbookViewId="0">
      <selection activeCell="N15" sqref="A1:XFD1048576"/>
    </sheetView>
  </sheetViews>
  <sheetFormatPr defaultRowHeight="15" x14ac:dyDescent="0.25"/>
  <cols>
    <col min="2" max="2" width="17.85546875" customWidth="1"/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970" t="s">
        <v>17</v>
      </c>
      <c r="R2" s="970" t="s">
        <v>18</v>
      </c>
      <c r="S2" s="970" t="s">
        <v>19</v>
      </c>
      <c r="T2" s="971" t="s">
        <v>20</v>
      </c>
      <c r="U2" s="971" t="s">
        <v>21</v>
      </c>
      <c r="V2" s="971" t="s">
        <v>22</v>
      </c>
      <c r="W2" s="971">
        <v>45</v>
      </c>
      <c r="X2" s="972" t="s">
        <v>24</v>
      </c>
      <c r="Y2" s="972" t="s">
        <v>25</v>
      </c>
      <c r="Z2" s="972" t="s">
        <v>26</v>
      </c>
      <c r="AA2" s="972" t="s">
        <v>27</v>
      </c>
      <c r="AB2" s="973" t="s">
        <v>28</v>
      </c>
      <c r="AC2" s="973" t="s">
        <v>29</v>
      </c>
      <c r="AD2" s="973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978" t="s">
        <v>31</v>
      </c>
      <c r="AJ2" s="978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979" t="s">
        <v>102</v>
      </c>
      <c r="AT2" s="979" t="s">
        <v>103</v>
      </c>
      <c r="AU2" s="979" t="s">
        <v>104</v>
      </c>
      <c r="AV2" s="979" t="s">
        <v>105</v>
      </c>
      <c r="AW2" s="979" t="s">
        <v>106</v>
      </c>
      <c r="AX2" s="980" t="s">
        <v>107</v>
      </c>
      <c r="AY2" s="980" t="s">
        <v>108</v>
      </c>
      <c r="AZ2" s="980" t="s">
        <v>109</v>
      </c>
      <c r="BA2" s="980" t="s">
        <v>110</v>
      </c>
      <c r="BB2" s="980" t="s">
        <v>111</v>
      </c>
      <c r="BC2" s="980" t="s">
        <v>112</v>
      </c>
      <c r="BD2" s="980" t="s">
        <v>113</v>
      </c>
      <c r="BE2" s="980" t="s">
        <v>114</v>
      </c>
      <c r="BF2" s="980" t="s">
        <v>115</v>
      </c>
      <c r="BG2" s="729" t="s">
        <v>116</v>
      </c>
      <c r="BH2" s="730" t="s">
        <v>117</v>
      </c>
      <c r="BI2" s="980" t="s">
        <v>118</v>
      </c>
      <c r="BJ2" s="981" t="s">
        <v>14</v>
      </c>
      <c r="BK2" s="981" t="s">
        <v>167</v>
      </c>
      <c r="BL2" s="981" t="s">
        <v>39</v>
      </c>
      <c r="BM2" s="981" t="s">
        <v>40</v>
      </c>
      <c r="BN2" s="981" t="s">
        <v>41</v>
      </c>
      <c r="BO2" s="981" t="s">
        <v>43</v>
      </c>
      <c r="BP2" s="981" t="s">
        <v>44</v>
      </c>
      <c r="BQ2" s="981" t="s">
        <v>46</v>
      </c>
      <c r="BR2" s="975" t="s">
        <v>47</v>
      </c>
      <c r="BS2" s="975" t="s">
        <v>48</v>
      </c>
      <c r="BT2" s="979" t="s">
        <v>49</v>
      </c>
      <c r="BU2" s="979" t="s">
        <v>50</v>
      </c>
      <c r="BV2" s="975" t="s">
        <v>131</v>
      </c>
      <c r="BW2" s="975" t="s">
        <v>132</v>
      </c>
      <c r="BX2" s="976" t="s">
        <v>172</v>
      </c>
      <c r="BY2" s="976" t="s">
        <v>173</v>
      </c>
      <c r="BZ2" s="977" t="s">
        <v>216</v>
      </c>
      <c r="CA2" s="977" t="s">
        <v>217</v>
      </c>
    </row>
    <row r="3" spans="1:79" ht="90.75" thickBot="1" x14ac:dyDescent="0.3">
      <c r="A3" s="974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976" t="s">
        <v>120</v>
      </c>
      <c r="BY3" s="976" t="s">
        <v>174</v>
      </c>
      <c r="BZ3" s="977" t="s">
        <v>120</v>
      </c>
      <c r="CA3" s="977" t="s">
        <v>222</v>
      </c>
    </row>
    <row r="4" spans="1:79" ht="29.25" thickBot="1" x14ac:dyDescent="0.3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990">
        <v>28960</v>
      </c>
      <c r="Q4" s="438">
        <f>SUM(T4,X4,AB4,AS4,AX4,BA4)</f>
        <v>9.3052405753968284</v>
      </c>
      <c r="R4" s="438">
        <f>SUM(U4,Y4,AC4,AI4,AT4,BB4)</f>
        <v>6.9144656994047633</v>
      </c>
      <c r="S4" s="438">
        <f>SUM(V4,Z4,AD4,AJ4,AU4)</f>
        <v>3.4678478794642862</v>
      </c>
      <c r="T4" s="453">
        <f>S17</f>
        <v>3.9179960317460321</v>
      </c>
      <c r="U4" s="453">
        <f>T4/100*70</f>
        <v>2.7425972222222224</v>
      </c>
      <c r="V4" s="453">
        <f>T4/100*30</f>
        <v>1.1753988095238097</v>
      </c>
      <c r="W4" s="453">
        <v>0</v>
      </c>
      <c r="X4" s="454">
        <f>S18</f>
        <v>2.938497023809524</v>
      </c>
      <c r="Y4" s="454">
        <f>X4/100*70</f>
        <v>2.0569479166666671</v>
      </c>
      <c r="Z4" s="454">
        <f>X4/100*30</f>
        <v>0.88154910714285728</v>
      </c>
      <c r="AA4" s="454">
        <v>0</v>
      </c>
      <c r="AB4" s="455">
        <f>S19</f>
        <v>0.48974950396825401</v>
      </c>
      <c r="AC4" s="455">
        <f>AB4/100*70</f>
        <v>0.34282465277777779</v>
      </c>
      <c r="AD4" s="455">
        <f>AB4/100*30</f>
        <v>0.14692485119047621</v>
      </c>
      <c r="AE4" s="877">
        <v>2</v>
      </c>
      <c r="AF4" s="878">
        <v>500</v>
      </c>
      <c r="AG4" s="878">
        <v>0</v>
      </c>
      <c r="AH4" s="878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1.469248511904762</v>
      </c>
      <c r="AT4" s="457">
        <f>AS4/100*90</f>
        <v>1.3223236607142859</v>
      </c>
      <c r="AU4" s="457">
        <f>AT4/100*85</f>
        <v>1.123975111607143</v>
      </c>
      <c r="AV4" s="457">
        <v>0</v>
      </c>
      <c r="AW4" s="457">
        <v>0</v>
      </c>
      <c r="AX4" s="458">
        <f>S22</f>
        <v>0.19589980158730161</v>
      </c>
      <c r="AY4" s="469">
        <v>4</v>
      </c>
      <c r="AZ4" s="459" t="s">
        <v>65</v>
      </c>
      <c r="BA4" s="460">
        <f>S23</f>
        <v>0.29384970238095243</v>
      </c>
      <c r="BB4" s="458">
        <f>BA4/100*85</f>
        <v>0.24977224702380957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1.1753988095238097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989" t="s">
        <v>67</v>
      </c>
      <c r="CA4" s="989" t="s">
        <v>223</v>
      </c>
    </row>
    <row r="5" spans="1:79" ht="29.25" thickBot="1" x14ac:dyDescent="0.3">
      <c r="A5" s="50">
        <v>50</v>
      </c>
      <c r="B5" s="988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9.7332118055555554</v>
      </c>
      <c r="R5" s="438">
        <f>SUM(U5,Y5,AC5,AI5,AT5,BB5)</f>
        <v>7.2232807291666674</v>
      </c>
      <c r="S5" s="438">
        <f>SUM(V5,Z5,AD5,AJ5,AU5)</f>
        <v>3.6209039062500001</v>
      </c>
      <c r="T5" s="453">
        <f>X17</f>
        <v>4.0981944444444443</v>
      </c>
      <c r="U5" s="453">
        <f>T5/100*70</f>
        <v>2.8687361111111112</v>
      </c>
      <c r="V5" s="453">
        <f>T5/100*30</f>
        <v>1.2294583333333333</v>
      </c>
      <c r="W5" s="345">
        <v>0</v>
      </c>
      <c r="X5" s="454">
        <f>X18</f>
        <v>3.0736458333333334</v>
      </c>
      <c r="Y5" s="454">
        <f>X5/100*70</f>
        <v>2.1515520833333333</v>
      </c>
      <c r="Z5" s="454">
        <f>X5/100*30</f>
        <v>0.92209375000000005</v>
      </c>
      <c r="AA5" s="346">
        <v>0</v>
      </c>
      <c r="AB5" s="455">
        <f>X19</f>
        <v>0.51227430555555553</v>
      </c>
      <c r="AC5" s="455">
        <f>AB5/100*70</f>
        <v>0.35859201388888889</v>
      </c>
      <c r="AD5" s="455">
        <f>AB5/100*30</f>
        <v>0.15368229166666666</v>
      </c>
      <c r="AE5" s="877">
        <v>0</v>
      </c>
      <c r="AF5" s="878">
        <v>0</v>
      </c>
      <c r="AG5" s="878">
        <v>0</v>
      </c>
      <c r="AH5" s="878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1.5368229166666667</v>
      </c>
      <c r="AT5" s="457">
        <f>AS5/100*90</f>
        <v>1.383140625</v>
      </c>
      <c r="AU5" s="457">
        <f>AT5/100*85</f>
        <v>1.1756695312500001</v>
      </c>
      <c r="AV5" s="349">
        <v>0</v>
      </c>
      <c r="AW5" s="349">
        <v>0</v>
      </c>
      <c r="AX5" s="458">
        <f>X22</f>
        <v>0.20490972222222223</v>
      </c>
      <c r="AY5" s="350">
        <v>1</v>
      </c>
      <c r="AZ5" s="459" t="s">
        <v>65</v>
      </c>
      <c r="BA5" s="458">
        <f>X23</f>
        <v>0.30736458333333333</v>
      </c>
      <c r="BB5" s="824">
        <f>BA5/100*85</f>
        <v>0.26125989583333331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1.2294583333333333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989" t="s">
        <v>67</v>
      </c>
      <c r="CA5" s="989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28.5" x14ac:dyDescent="0.25">
      <c r="A7" s="50">
        <v>60</v>
      </c>
      <c r="B7" s="988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991">
        <f t="shared" si="0"/>
        <v>28960</v>
      </c>
      <c r="Q7" s="394">
        <f>SUM(T7,X7,AB7,AS7,AX7,BA7)</f>
        <v>279.1572172619048</v>
      </c>
      <c r="R7" s="394">
        <f>SUM(U7,Y7,AC7,AI7,AT7,BB7)</f>
        <v>207.43397098214285</v>
      </c>
      <c r="S7" s="394">
        <f>SUM(V7,Z7,AD7,AJ7,AU7)</f>
        <v>104.03543638392858</v>
      </c>
      <c r="T7" s="527">
        <f>T4*30</f>
        <v>117.53988095238097</v>
      </c>
      <c r="U7" s="527">
        <f t="shared" ref="U7:AD8" si="1">U4*30</f>
        <v>82.27791666666667</v>
      </c>
      <c r="V7" s="527">
        <f t="shared" si="1"/>
        <v>35.261964285714292</v>
      </c>
      <c r="W7" s="527">
        <f t="shared" si="1"/>
        <v>0</v>
      </c>
      <c r="X7" s="527">
        <f t="shared" si="1"/>
        <v>88.15491071428572</v>
      </c>
      <c r="Y7" s="527">
        <f t="shared" si="1"/>
        <v>61.708437500000016</v>
      </c>
      <c r="Z7" s="527">
        <f t="shared" si="1"/>
        <v>26.446473214285717</v>
      </c>
      <c r="AA7" s="527">
        <f t="shared" si="1"/>
        <v>0</v>
      </c>
      <c r="AB7" s="527">
        <f t="shared" si="1"/>
        <v>14.692485119047621</v>
      </c>
      <c r="AC7" s="527">
        <f t="shared" si="1"/>
        <v>10.284739583333334</v>
      </c>
      <c r="AD7" s="527">
        <f t="shared" si="1"/>
        <v>4.4077455357142865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44.07745535714286</v>
      </c>
      <c r="AT7" s="682">
        <f t="shared" ref="AT7:BB8" si="2">AT4*30</f>
        <v>39.669709821428576</v>
      </c>
      <c r="AU7" s="682">
        <f t="shared" si="2"/>
        <v>33.719253348214288</v>
      </c>
      <c r="AV7" s="682">
        <f t="shared" si="2"/>
        <v>0</v>
      </c>
      <c r="AW7" s="682">
        <f t="shared" si="2"/>
        <v>0</v>
      </c>
      <c r="AX7" s="682">
        <f t="shared" si="2"/>
        <v>5.8769940476190481</v>
      </c>
      <c r="AY7" s="682">
        <f t="shared" si="2"/>
        <v>120</v>
      </c>
      <c r="AZ7" s="682" t="e">
        <f t="shared" si="2"/>
        <v>#VALUE!</v>
      </c>
      <c r="BA7" s="682">
        <f t="shared" si="2"/>
        <v>8.815491071428573</v>
      </c>
      <c r="BB7" s="682">
        <f t="shared" si="2"/>
        <v>7.4931674107142872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989" t="s">
        <v>67</v>
      </c>
      <c r="CA7" s="989" t="s">
        <v>223</v>
      </c>
    </row>
    <row r="8" spans="1:79" ht="28.5" x14ac:dyDescent="0.25">
      <c r="A8" s="50">
        <v>50</v>
      </c>
      <c r="B8" s="988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291.99635416666666</v>
      </c>
      <c r="R8" s="394">
        <f>SUM(U8,Y8,AC8,AI8,AT8,BB8)</f>
        <v>216.69842187499998</v>
      </c>
      <c r="S8" s="394">
        <f>SUM(V8,Z8,AD8,AJ8,AU8)</f>
        <v>108.62711718749999</v>
      </c>
      <c r="T8" s="527">
        <f>T5*30</f>
        <v>122.94583333333333</v>
      </c>
      <c r="U8" s="527">
        <f t="shared" si="1"/>
        <v>86.062083333333334</v>
      </c>
      <c r="V8" s="527">
        <f t="shared" si="1"/>
        <v>36.883749999999999</v>
      </c>
      <c r="W8" s="527">
        <f t="shared" si="1"/>
        <v>0</v>
      </c>
      <c r="X8" s="527">
        <f t="shared" si="1"/>
        <v>92.209375000000009</v>
      </c>
      <c r="Y8" s="527">
        <f t="shared" si="1"/>
        <v>64.546562499999993</v>
      </c>
      <c r="Z8" s="527">
        <f t="shared" si="1"/>
        <v>27.662812500000001</v>
      </c>
      <c r="AA8" s="527">
        <f t="shared" si="1"/>
        <v>0</v>
      </c>
      <c r="AB8" s="527">
        <f t="shared" si="1"/>
        <v>15.368229166666666</v>
      </c>
      <c r="AC8" s="527">
        <f t="shared" si="1"/>
        <v>10.757760416666667</v>
      </c>
      <c r="AD8" s="527">
        <f t="shared" si="1"/>
        <v>4.6104687499999999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46.104687500000004</v>
      </c>
      <c r="AT8" s="682">
        <f t="shared" si="2"/>
        <v>41.494218750000002</v>
      </c>
      <c r="AU8" s="682">
        <f t="shared" si="2"/>
        <v>35.270085937499999</v>
      </c>
      <c r="AV8" s="682">
        <f t="shared" si="2"/>
        <v>0</v>
      </c>
      <c r="AW8" s="682">
        <f t="shared" si="2"/>
        <v>0</v>
      </c>
      <c r="AX8" s="682">
        <f t="shared" si="2"/>
        <v>6.1472916666666668</v>
      </c>
      <c r="AY8" s="682">
        <f t="shared" si="2"/>
        <v>30</v>
      </c>
      <c r="AZ8" s="682" t="e">
        <f t="shared" si="2"/>
        <v>#VALUE!</v>
      </c>
      <c r="BA8" s="682">
        <f t="shared" si="2"/>
        <v>9.2209374999999998</v>
      </c>
      <c r="BB8" s="682">
        <f t="shared" si="2"/>
        <v>7.8377968749999996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989" t="s">
        <v>67</v>
      </c>
      <c r="CA8" s="989" t="s">
        <v>224</v>
      </c>
    </row>
    <row r="9" spans="1:79" x14ac:dyDescent="0.25">
      <c r="R9" s="393"/>
      <c r="S9" s="393"/>
    </row>
    <row r="11" spans="1:79" x14ac:dyDescent="0.25">
      <c r="N11" s="1059">
        <v>45717</v>
      </c>
    </row>
    <row r="12" spans="1:79" x14ac:dyDescent="0.25"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985">
        <v>31179</v>
      </c>
      <c r="T14" s="985"/>
      <c r="V14" s="1127" t="s">
        <v>192</v>
      </c>
      <c r="W14" s="1128"/>
      <c r="X14" s="985">
        <v>32613</v>
      </c>
      <c r="Y14" s="985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985">
        <v>285</v>
      </c>
      <c r="T15" s="985" t="s">
        <v>227</v>
      </c>
      <c r="V15" s="1127" t="s">
        <v>193</v>
      </c>
      <c r="W15" s="1128"/>
      <c r="X15" s="985">
        <v>285</v>
      </c>
      <c r="Y15" s="985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9.7949900793650801</v>
      </c>
      <c r="T16" s="985"/>
      <c r="V16" s="1127" t="s">
        <v>195</v>
      </c>
      <c r="W16" s="1128"/>
      <c r="X16" s="596">
        <f>X14*X15/907200</f>
        <v>10.245486111111111</v>
      </c>
      <c r="Y16" s="985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3.9179960317460321</v>
      </c>
      <c r="T17" s="985">
        <v>40</v>
      </c>
      <c r="V17" s="1132" t="s">
        <v>9</v>
      </c>
      <c r="W17" s="1133"/>
      <c r="X17" s="592">
        <f>X16/100*40</f>
        <v>4.0981944444444443</v>
      </c>
      <c r="Y17" s="985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2.938497023809524</v>
      </c>
      <c r="T18" s="985">
        <v>30</v>
      </c>
      <c r="V18" s="1132" t="s">
        <v>10</v>
      </c>
      <c r="W18" s="1133"/>
      <c r="X18" s="592">
        <f>X16/100*30</f>
        <v>3.0736458333333334</v>
      </c>
      <c r="Y18" s="985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0.48974950396825401</v>
      </c>
      <c r="T19" s="985">
        <v>5</v>
      </c>
      <c r="V19" s="1132" t="s">
        <v>11</v>
      </c>
      <c r="W19" s="1133"/>
      <c r="X19" s="592">
        <f>X16/100*5</f>
        <v>0.51227430555555553</v>
      </c>
      <c r="Y19" s="985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0.48974950396825401</v>
      </c>
      <c r="T20" s="985">
        <v>5</v>
      </c>
      <c r="V20" s="1132" t="s">
        <v>12</v>
      </c>
      <c r="W20" s="1133"/>
      <c r="X20" s="592">
        <f>X16/100*5</f>
        <v>0.51227430555555553</v>
      </c>
      <c r="Y20" s="985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1.469248511904762</v>
      </c>
      <c r="T21" s="985">
        <v>15</v>
      </c>
      <c r="V21" s="1132" t="s">
        <v>99</v>
      </c>
      <c r="W21" s="1133"/>
      <c r="X21" s="592">
        <f>X16/100*15</f>
        <v>1.5368229166666667</v>
      </c>
      <c r="Y21" s="985">
        <v>15</v>
      </c>
      <c r="AA21" s="1129">
        <f>AA20*31</f>
        <v>463.94352000000003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0.19589980158730161</v>
      </c>
      <c r="T22" s="985">
        <v>2</v>
      </c>
      <c r="V22" s="1132" t="s">
        <v>100</v>
      </c>
      <c r="W22" s="1133"/>
      <c r="X22" s="592">
        <f>X16/100*2</f>
        <v>0.20490972222222223</v>
      </c>
      <c r="Y22" s="985">
        <v>2</v>
      </c>
      <c r="AA22" s="1129">
        <f>AA21/100*2</f>
        <v>9.2788704000000006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0.29384970238095243</v>
      </c>
      <c r="T23" s="985">
        <v>3</v>
      </c>
      <c r="V23" s="1132" t="s">
        <v>101</v>
      </c>
      <c r="W23" s="1133"/>
      <c r="X23" s="592">
        <f>X16/100*3</f>
        <v>0.30736458333333333</v>
      </c>
      <c r="Y23" s="985">
        <v>3</v>
      </c>
    </row>
    <row r="24" spans="17:35" x14ac:dyDescent="0.25">
      <c r="Q24" s="1140" t="s">
        <v>89</v>
      </c>
      <c r="R24" s="1141"/>
      <c r="S24" s="596">
        <f>SUM(S17:S23)</f>
        <v>9.7949900793650819</v>
      </c>
      <c r="T24" s="985">
        <f>SUM(T17:T23)</f>
        <v>100</v>
      </c>
      <c r="V24" s="1140" t="s">
        <v>89</v>
      </c>
      <c r="W24" s="1141"/>
      <c r="X24" s="596">
        <f>SUM(X17:X23)</f>
        <v>10.245486111111111</v>
      </c>
      <c r="Y24" s="985">
        <f>SUM(Y17:Y23)</f>
        <v>100</v>
      </c>
      <c r="AA24">
        <v>0.12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982"/>
      <c r="AH29" s="982"/>
    </row>
    <row r="30" spans="17:35" x14ac:dyDescent="0.25">
      <c r="R30" s="1147" t="s">
        <v>86</v>
      </c>
      <c r="S30" s="1147"/>
      <c r="T30" s="1148">
        <f>U7</f>
        <v>82.27791666666667</v>
      </c>
      <c r="U30" s="1148"/>
      <c r="V30" s="1148">
        <f>V7</f>
        <v>35.261964285714292</v>
      </c>
      <c r="W30" s="1148"/>
      <c r="X30" s="393"/>
      <c r="AA30" s="1147" t="s">
        <v>86</v>
      </c>
      <c r="AB30" s="1147"/>
      <c r="AC30" s="1148">
        <f>U8</f>
        <v>86.062083333333334</v>
      </c>
      <c r="AD30" s="1148"/>
      <c r="AE30" s="1148">
        <f>V8</f>
        <v>36.883749999999999</v>
      </c>
      <c r="AF30" s="1148"/>
      <c r="AG30" s="983"/>
      <c r="AH30" s="983"/>
    </row>
    <row r="31" spans="17:35" x14ac:dyDescent="0.25">
      <c r="R31" s="1147" t="s">
        <v>87</v>
      </c>
      <c r="S31" s="1147"/>
      <c r="T31" s="1148">
        <f>Y7</f>
        <v>61.708437500000016</v>
      </c>
      <c r="U31" s="1148"/>
      <c r="V31" s="1148">
        <f>Z7</f>
        <v>26.446473214285717</v>
      </c>
      <c r="W31" s="1148"/>
      <c r="X31" s="393"/>
      <c r="AA31" s="1147" t="s">
        <v>87</v>
      </c>
      <c r="AB31" s="1147"/>
      <c r="AC31" s="1148">
        <f>Y8</f>
        <v>64.546562499999993</v>
      </c>
      <c r="AD31" s="1148"/>
      <c r="AE31" s="1148">
        <f>Z8</f>
        <v>27.662812500000001</v>
      </c>
      <c r="AF31" s="1148"/>
      <c r="AG31" s="983"/>
      <c r="AH31" s="983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984"/>
      <c r="AH32" s="984"/>
    </row>
    <row r="33" spans="18:34" x14ac:dyDescent="0.25">
      <c r="R33" s="1147" t="s">
        <v>202</v>
      </c>
      <c r="S33" s="1147"/>
      <c r="T33" s="1151">
        <v>8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984"/>
      <c r="AH33" s="984"/>
    </row>
    <row r="34" spans="18:34" x14ac:dyDescent="0.25">
      <c r="R34" s="1147" t="s">
        <v>90</v>
      </c>
      <c r="S34" s="1147"/>
      <c r="T34" s="1153">
        <f>T35-T32-T33</f>
        <v>47.447616815476195</v>
      </c>
      <c r="U34" s="1154"/>
      <c r="V34" s="1153">
        <f>V35-V32-V33</f>
        <v>37.326998883928574</v>
      </c>
      <c r="W34" s="1154"/>
      <c r="AA34" s="1155" t="s">
        <v>90</v>
      </c>
      <c r="AB34" s="1156"/>
      <c r="AC34" s="1153">
        <f>AC35-AC32-AC33</f>
        <v>56.089776041666667</v>
      </c>
      <c r="AD34" s="1157"/>
      <c r="AE34" s="1153">
        <f>AE35-AE33-AE32</f>
        <v>39.080554687499998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63.447616815476195</v>
      </c>
      <c r="U35" s="1162"/>
      <c r="V35" s="1161">
        <f>SUM(AD7,AJ7,AU7)</f>
        <v>42.326998883928574</v>
      </c>
      <c r="W35" s="1162"/>
      <c r="AA35" s="1147" t="s">
        <v>90</v>
      </c>
      <c r="AB35" s="1147"/>
      <c r="AC35" s="1161">
        <f>SUM(AC8,AI8,AT8,BB8)</f>
        <v>66.089776041666667</v>
      </c>
      <c r="AD35" s="1162"/>
      <c r="AE35" s="1161">
        <f>SUM(AD8,AJ8,AU8)</f>
        <v>44.080554687499998</v>
      </c>
      <c r="AF35" s="1162"/>
      <c r="AG35" s="987"/>
      <c r="AH35" s="987"/>
    </row>
    <row r="36" spans="18:34" x14ac:dyDescent="0.25">
      <c r="R36" s="1159"/>
      <c r="S36" s="1159"/>
      <c r="T36" s="1160">
        <f>SUM(T30:U34)</f>
        <v>207.43397098214285</v>
      </c>
      <c r="U36" s="1160"/>
      <c r="V36" s="1160">
        <f>SUM(V30,V31,V32,V33,V34)</f>
        <v>104.03543638392858</v>
      </c>
      <c r="W36" s="1160"/>
      <c r="X36" s="393"/>
      <c r="AA36" s="1159"/>
      <c r="AB36" s="1159"/>
      <c r="AC36" s="1160">
        <f>SUM(AC30:AD34)</f>
        <v>216.69842187500001</v>
      </c>
      <c r="AD36" s="1160"/>
      <c r="AE36" s="1160">
        <f>SUM(AE30,AE31,AE32,AE33,AE34)</f>
        <v>108.62711718749999</v>
      </c>
      <c r="AF36" s="1160"/>
      <c r="AG36" s="986"/>
      <c r="AH36" s="986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104.03543638392858</v>
      </c>
      <c r="X38" s="393"/>
    </row>
    <row r="44" spans="18:34" x14ac:dyDescent="0.25">
      <c r="T44" s="619"/>
      <c r="U44" s="854"/>
      <c r="V44" s="854"/>
      <c r="W44" s="854"/>
      <c r="X44" s="854"/>
    </row>
    <row r="45" spans="18:34" x14ac:dyDescent="0.25">
      <c r="T45" s="619"/>
      <c r="U45" s="854"/>
      <c r="V45" s="854"/>
      <c r="W45" s="854"/>
      <c r="X45" s="854"/>
    </row>
    <row r="46" spans="18:34" x14ac:dyDescent="0.25">
      <c r="T46" s="619"/>
      <c r="U46" s="854"/>
      <c r="V46" s="854"/>
      <c r="W46" s="854"/>
      <c r="X46" s="854"/>
      <c r="AC46" s="619" t="s">
        <v>90</v>
      </c>
      <c r="AD46" s="854">
        <v>0</v>
      </c>
      <c r="AE46" s="854">
        <v>56</v>
      </c>
      <c r="AF46" s="854">
        <v>39</v>
      </c>
      <c r="AG46" s="854">
        <v>720.28599999999994</v>
      </c>
    </row>
    <row r="47" spans="18:34" x14ac:dyDescent="0.25">
      <c r="T47" s="619"/>
      <c r="U47" s="854"/>
      <c r="V47" s="854"/>
      <c r="W47" s="854"/>
      <c r="X47" s="854"/>
      <c r="AC47" s="619" t="s">
        <v>86</v>
      </c>
      <c r="AD47" s="854">
        <v>0</v>
      </c>
      <c r="AE47" s="854">
        <v>86</v>
      </c>
      <c r="AF47" s="854">
        <v>37</v>
      </c>
      <c r="AG47" s="854">
        <v>2.7</v>
      </c>
    </row>
    <row r="48" spans="18:34" x14ac:dyDescent="0.25">
      <c r="T48" s="619"/>
      <c r="U48" s="854"/>
      <c r="V48" s="854"/>
      <c r="W48" s="854"/>
      <c r="X48" s="854"/>
      <c r="AC48" s="619" t="s">
        <v>87</v>
      </c>
      <c r="AD48" s="854">
        <v>0</v>
      </c>
      <c r="AE48" s="854">
        <v>65</v>
      </c>
      <c r="AF48" s="854">
        <v>28</v>
      </c>
      <c r="AG48" s="854">
        <v>1.7</v>
      </c>
    </row>
    <row r="49" spans="20:33" x14ac:dyDescent="0.25">
      <c r="T49" s="619"/>
      <c r="U49" s="854"/>
      <c r="V49" s="854"/>
      <c r="W49" s="854"/>
      <c r="X49" s="854"/>
      <c r="AC49" s="619" t="s">
        <v>201</v>
      </c>
      <c r="AD49" s="854">
        <v>0</v>
      </c>
      <c r="AE49" s="854">
        <v>7</v>
      </c>
      <c r="AF49" s="854">
        <v>5</v>
      </c>
      <c r="AG49" s="854">
        <v>0.08</v>
      </c>
    </row>
    <row r="50" spans="20:33" x14ac:dyDescent="0.25">
      <c r="T50" s="901"/>
      <c r="U50" s="901"/>
      <c r="V50" s="901"/>
      <c r="W50" s="901"/>
      <c r="X50" s="901"/>
      <c r="AC50" s="619" t="s">
        <v>202</v>
      </c>
      <c r="AD50" s="854">
        <v>0</v>
      </c>
      <c r="AE50" s="854">
        <v>3</v>
      </c>
      <c r="AF50" s="854">
        <v>0</v>
      </c>
      <c r="AG50" s="854">
        <v>0.05</v>
      </c>
    </row>
    <row r="51" spans="20:33" x14ac:dyDescent="0.25">
      <c r="W51" s="854"/>
      <c r="AD51">
        <f>SUM(AD46:AD50)</f>
        <v>0</v>
      </c>
      <c r="AE51">
        <f t="shared" ref="AE51:AG51" si="3">SUM(AE46:AE50)</f>
        <v>217</v>
      </c>
      <c r="AF51">
        <f t="shared" si="3"/>
        <v>109</v>
      </c>
      <c r="AG51">
        <f t="shared" si="3"/>
        <v>724.81600000000003</v>
      </c>
    </row>
    <row r="52" spans="20:33" x14ac:dyDescent="0.25">
      <c r="W52" s="854"/>
    </row>
    <row r="54" spans="20:33" x14ac:dyDescent="0.25">
      <c r="X54" t="s">
        <v>236</v>
      </c>
    </row>
  </sheetData>
  <mergeCells count="124"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</mergeCells>
  <pageMargins left="0.7" right="0.7" top="0.75" bottom="0.75" header="0.3" footer="0.3"/>
  <pageSetup paperSize="9" orientation="portrait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4"/>
  <sheetViews>
    <sheetView topLeftCell="N4" workbookViewId="0">
      <selection activeCell="O14" sqref="A1:XFD1048576"/>
    </sheetView>
  </sheetViews>
  <sheetFormatPr defaultRowHeight="15" x14ac:dyDescent="0.25"/>
  <cols>
    <col min="2" max="2" width="17.85546875" customWidth="1"/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993" t="s">
        <v>17</v>
      </c>
      <c r="R2" s="993" t="s">
        <v>18</v>
      </c>
      <c r="S2" s="993" t="s">
        <v>19</v>
      </c>
      <c r="T2" s="994" t="s">
        <v>20</v>
      </c>
      <c r="U2" s="994" t="s">
        <v>21</v>
      </c>
      <c r="V2" s="994" t="s">
        <v>22</v>
      </c>
      <c r="W2" s="994">
        <v>45</v>
      </c>
      <c r="X2" s="995" t="s">
        <v>24</v>
      </c>
      <c r="Y2" s="995" t="s">
        <v>25</v>
      </c>
      <c r="Z2" s="995" t="s">
        <v>26</v>
      </c>
      <c r="AA2" s="995" t="s">
        <v>27</v>
      </c>
      <c r="AB2" s="996" t="s">
        <v>28</v>
      </c>
      <c r="AC2" s="996" t="s">
        <v>29</v>
      </c>
      <c r="AD2" s="996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1001" t="s">
        <v>31</v>
      </c>
      <c r="AJ2" s="1001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1002" t="s">
        <v>102</v>
      </c>
      <c r="AT2" s="1002" t="s">
        <v>103</v>
      </c>
      <c r="AU2" s="1002" t="s">
        <v>104</v>
      </c>
      <c r="AV2" s="1002" t="s">
        <v>105</v>
      </c>
      <c r="AW2" s="1002" t="s">
        <v>106</v>
      </c>
      <c r="AX2" s="1003" t="s">
        <v>107</v>
      </c>
      <c r="AY2" s="1003" t="s">
        <v>108</v>
      </c>
      <c r="AZ2" s="1003" t="s">
        <v>109</v>
      </c>
      <c r="BA2" s="1003" t="s">
        <v>110</v>
      </c>
      <c r="BB2" s="1003" t="s">
        <v>111</v>
      </c>
      <c r="BC2" s="1003" t="s">
        <v>112</v>
      </c>
      <c r="BD2" s="1003" t="s">
        <v>113</v>
      </c>
      <c r="BE2" s="1003" t="s">
        <v>114</v>
      </c>
      <c r="BF2" s="1003" t="s">
        <v>115</v>
      </c>
      <c r="BG2" s="729" t="s">
        <v>116</v>
      </c>
      <c r="BH2" s="730" t="s">
        <v>117</v>
      </c>
      <c r="BI2" s="1003" t="s">
        <v>118</v>
      </c>
      <c r="BJ2" s="1004" t="s">
        <v>14</v>
      </c>
      <c r="BK2" s="1004" t="s">
        <v>167</v>
      </c>
      <c r="BL2" s="1004" t="s">
        <v>39</v>
      </c>
      <c r="BM2" s="1004" t="s">
        <v>40</v>
      </c>
      <c r="BN2" s="1004" t="s">
        <v>41</v>
      </c>
      <c r="BO2" s="1004" t="s">
        <v>43</v>
      </c>
      <c r="BP2" s="1004" t="s">
        <v>44</v>
      </c>
      <c r="BQ2" s="1004" t="s">
        <v>46</v>
      </c>
      <c r="BR2" s="998" t="s">
        <v>47</v>
      </c>
      <c r="BS2" s="998" t="s">
        <v>48</v>
      </c>
      <c r="BT2" s="1002" t="s">
        <v>49</v>
      </c>
      <c r="BU2" s="1002" t="s">
        <v>50</v>
      </c>
      <c r="BV2" s="998" t="s">
        <v>131</v>
      </c>
      <c r="BW2" s="998" t="s">
        <v>132</v>
      </c>
      <c r="BX2" s="999" t="s">
        <v>172</v>
      </c>
      <c r="BY2" s="999" t="s">
        <v>173</v>
      </c>
      <c r="BZ2" s="1000" t="s">
        <v>216</v>
      </c>
      <c r="CA2" s="1000" t="s">
        <v>217</v>
      </c>
    </row>
    <row r="3" spans="1:79" ht="90.75" thickBot="1" x14ac:dyDescent="0.3">
      <c r="A3" s="997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999" t="s">
        <v>120</v>
      </c>
      <c r="BY3" s="999" t="s">
        <v>174</v>
      </c>
      <c r="BZ3" s="1000" t="s">
        <v>120</v>
      </c>
      <c r="CA3" s="1000" t="s">
        <v>222</v>
      </c>
    </row>
    <row r="4" spans="1:79" ht="29.25" thickBot="1" x14ac:dyDescent="0.3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1013">
        <v>28960</v>
      </c>
      <c r="Q4" s="438">
        <f>SUM(T4,X4,AB4,AS4,AX4,BA4)</f>
        <v>9.1419907407407432</v>
      </c>
      <c r="R4" s="438">
        <f>SUM(U4,Y4,AC4,AI4,AT4,BB4)</f>
        <v>6.7966680555555561</v>
      </c>
      <c r="S4" s="438">
        <f>SUM(V4,Z4,AD4,AJ4,AU4)</f>
        <v>3.4094645833333335</v>
      </c>
      <c r="T4" s="453">
        <f>S17</f>
        <v>3.8492592592592594</v>
      </c>
      <c r="U4" s="453">
        <f>T4/100*70</f>
        <v>2.6944814814814815</v>
      </c>
      <c r="V4" s="453">
        <f>T4/100*30</f>
        <v>1.1547777777777777</v>
      </c>
      <c r="W4" s="453">
        <v>0</v>
      </c>
      <c r="X4" s="454">
        <f>S18</f>
        <v>2.8869444444444445</v>
      </c>
      <c r="Y4" s="454">
        <f>X4/100*70</f>
        <v>2.020861111111111</v>
      </c>
      <c r="Z4" s="454">
        <f>X4/100*30</f>
        <v>0.86608333333333332</v>
      </c>
      <c r="AA4" s="454">
        <v>0</v>
      </c>
      <c r="AB4" s="455">
        <f>S19</f>
        <v>0.48115740740740742</v>
      </c>
      <c r="AC4" s="455">
        <f>AB4/100*70</f>
        <v>0.33681018518518518</v>
      </c>
      <c r="AD4" s="455">
        <f>AB4/100*30</f>
        <v>0.14434722222222221</v>
      </c>
      <c r="AE4" s="877">
        <v>2</v>
      </c>
      <c r="AF4" s="878">
        <v>500</v>
      </c>
      <c r="AG4" s="878">
        <v>0</v>
      </c>
      <c r="AH4" s="878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1.4434722222222223</v>
      </c>
      <c r="AT4" s="457">
        <f>AS4/100*90</f>
        <v>1.2991250000000001</v>
      </c>
      <c r="AU4" s="457">
        <f>AT4/100*85</f>
        <v>1.1042562500000002</v>
      </c>
      <c r="AV4" s="457">
        <v>0</v>
      </c>
      <c r="AW4" s="457">
        <v>0</v>
      </c>
      <c r="AX4" s="458">
        <f>S22</f>
        <v>0.19246296296296297</v>
      </c>
      <c r="AY4" s="469">
        <v>4</v>
      </c>
      <c r="AZ4" s="459" t="s">
        <v>65</v>
      </c>
      <c r="BA4" s="460">
        <f>S23</f>
        <v>0.28869444444444448</v>
      </c>
      <c r="BB4" s="458">
        <f>BA4/100*85</f>
        <v>0.24539027777777778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1.1547777777777777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1012" t="s">
        <v>67</v>
      </c>
      <c r="CA4" s="1012" t="s">
        <v>223</v>
      </c>
    </row>
    <row r="5" spans="1:79" ht="29.25" thickBot="1" x14ac:dyDescent="0.3">
      <c r="A5" s="50">
        <v>50</v>
      </c>
      <c r="B5" s="1011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9.562453703703703</v>
      </c>
      <c r="R5" s="438">
        <f>SUM(U5,Y5,AC5,AI5,AT5,BB5)</f>
        <v>7.1000652777777784</v>
      </c>
      <c r="S5" s="438">
        <f>SUM(V5,Z5,AD5,AJ5,AU5)</f>
        <v>3.5598354166666675</v>
      </c>
      <c r="T5" s="453">
        <f>X17</f>
        <v>4.0262962962962963</v>
      </c>
      <c r="U5" s="453">
        <f>T5/100*70</f>
        <v>2.8184074074074075</v>
      </c>
      <c r="V5" s="453">
        <f>T5/100*30</f>
        <v>1.207888888888889</v>
      </c>
      <c r="W5" s="345">
        <v>0</v>
      </c>
      <c r="X5" s="454">
        <f>X18</f>
        <v>3.0197222222222226</v>
      </c>
      <c r="Y5" s="454">
        <f>X5/100*70</f>
        <v>2.1138055555555559</v>
      </c>
      <c r="Z5" s="454">
        <f>X5/100*30</f>
        <v>0.90591666666666681</v>
      </c>
      <c r="AA5" s="346">
        <v>0</v>
      </c>
      <c r="AB5" s="455">
        <f>X19</f>
        <v>0.50328703703703703</v>
      </c>
      <c r="AC5" s="455">
        <f>AB5/100*70</f>
        <v>0.35230092592592593</v>
      </c>
      <c r="AD5" s="455">
        <f>AB5/100*30</f>
        <v>0.15098611111111113</v>
      </c>
      <c r="AE5" s="877">
        <v>0</v>
      </c>
      <c r="AF5" s="878">
        <v>0</v>
      </c>
      <c r="AG5" s="878">
        <v>0</v>
      </c>
      <c r="AH5" s="878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1.5098611111111113</v>
      </c>
      <c r="AT5" s="457">
        <f>AS5/100*90</f>
        <v>1.3588750000000003</v>
      </c>
      <c r="AU5" s="457">
        <f>AT5/100*85</f>
        <v>1.1550437500000004</v>
      </c>
      <c r="AV5" s="349">
        <v>0</v>
      </c>
      <c r="AW5" s="349">
        <v>0</v>
      </c>
      <c r="AX5" s="458">
        <f>X22</f>
        <v>0.20131481481481484</v>
      </c>
      <c r="AY5" s="350">
        <v>1</v>
      </c>
      <c r="AZ5" s="459" t="s">
        <v>65</v>
      </c>
      <c r="BA5" s="458">
        <f>X23</f>
        <v>0.30197222222222225</v>
      </c>
      <c r="BB5" s="824">
        <f>BA5/100*85</f>
        <v>0.25667638888888894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1.207888888888889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1012" t="s">
        <v>67</v>
      </c>
      <c r="CA5" s="1012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28.5" x14ac:dyDescent="0.25">
      <c r="A7" s="50">
        <v>60</v>
      </c>
      <c r="B7" s="1011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1014">
        <f t="shared" si="0"/>
        <v>28960</v>
      </c>
      <c r="Q7" s="394">
        <f>SUM(T7,X7,AB7,AS7,AX7,BA7)</f>
        <v>274.25972222222225</v>
      </c>
      <c r="R7" s="394">
        <f>SUM(U7,Y7,AC7,AI7,AT7,BB7)</f>
        <v>203.90004166666665</v>
      </c>
      <c r="S7" s="394">
        <f>SUM(V7,Z7,AD7,AJ7,AU7)</f>
        <v>102.28393750000001</v>
      </c>
      <c r="T7" s="527">
        <f>T4*30</f>
        <v>115.47777777777779</v>
      </c>
      <c r="U7" s="527">
        <f t="shared" ref="U7:AD8" si="1">U4*30</f>
        <v>80.834444444444443</v>
      </c>
      <c r="V7" s="527">
        <f t="shared" si="1"/>
        <v>34.643333333333331</v>
      </c>
      <c r="W7" s="527">
        <f t="shared" si="1"/>
        <v>0</v>
      </c>
      <c r="X7" s="527">
        <f t="shared" si="1"/>
        <v>86.608333333333334</v>
      </c>
      <c r="Y7" s="527">
        <f t="shared" si="1"/>
        <v>60.625833333333333</v>
      </c>
      <c r="Z7" s="527">
        <f t="shared" si="1"/>
        <v>25.982499999999998</v>
      </c>
      <c r="AA7" s="527">
        <f t="shared" si="1"/>
        <v>0</v>
      </c>
      <c r="AB7" s="527">
        <f t="shared" si="1"/>
        <v>14.434722222222224</v>
      </c>
      <c r="AC7" s="527">
        <f t="shared" si="1"/>
        <v>10.104305555555555</v>
      </c>
      <c r="AD7" s="527">
        <f t="shared" si="1"/>
        <v>4.3304166666666664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43.304166666666667</v>
      </c>
      <c r="AT7" s="682">
        <f t="shared" ref="AT7:BB8" si="2">AT4*30</f>
        <v>38.973750000000003</v>
      </c>
      <c r="AU7" s="682">
        <f t="shared" si="2"/>
        <v>33.127687500000008</v>
      </c>
      <c r="AV7" s="682">
        <f t="shared" si="2"/>
        <v>0</v>
      </c>
      <c r="AW7" s="682">
        <f t="shared" si="2"/>
        <v>0</v>
      </c>
      <c r="AX7" s="682">
        <f t="shared" si="2"/>
        <v>5.7738888888888891</v>
      </c>
      <c r="AY7" s="682">
        <f t="shared" si="2"/>
        <v>120</v>
      </c>
      <c r="AZ7" s="682" t="e">
        <f t="shared" si="2"/>
        <v>#VALUE!</v>
      </c>
      <c r="BA7" s="682">
        <f t="shared" si="2"/>
        <v>8.6608333333333345</v>
      </c>
      <c r="BB7" s="682">
        <f t="shared" si="2"/>
        <v>7.3617083333333335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1012" t="s">
        <v>67</v>
      </c>
      <c r="CA7" s="1012" t="s">
        <v>223</v>
      </c>
    </row>
    <row r="8" spans="1:79" ht="28.5" x14ac:dyDescent="0.25">
      <c r="A8" s="50">
        <v>50</v>
      </c>
      <c r="B8" s="1011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286.87361111111113</v>
      </c>
      <c r="R8" s="394">
        <f>SUM(U8,Y8,AC8,AI8,AT8,BB8)</f>
        <v>213.00195833333336</v>
      </c>
      <c r="S8" s="394">
        <f>SUM(V8,Z8,AD8,AJ8,AU8)</f>
        <v>106.79506250000003</v>
      </c>
      <c r="T8" s="527">
        <f>T5*30</f>
        <v>120.78888888888889</v>
      </c>
      <c r="U8" s="527">
        <f t="shared" si="1"/>
        <v>84.552222222222227</v>
      </c>
      <c r="V8" s="527">
        <f t="shared" si="1"/>
        <v>36.236666666666672</v>
      </c>
      <c r="W8" s="527">
        <f t="shared" si="1"/>
        <v>0</v>
      </c>
      <c r="X8" s="527">
        <f t="shared" si="1"/>
        <v>90.591666666666683</v>
      </c>
      <c r="Y8" s="527">
        <f t="shared" si="1"/>
        <v>63.414166666666681</v>
      </c>
      <c r="Z8" s="527">
        <f t="shared" si="1"/>
        <v>27.177500000000006</v>
      </c>
      <c r="AA8" s="527">
        <f t="shared" si="1"/>
        <v>0</v>
      </c>
      <c r="AB8" s="527">
        <f t="shared" si="1"/>
        <v>15.098611111111111</v>
      </c>
      <c r="AC8" s="527">
        <f t="shared" si="1"/>
        <v>10.569027777777778</v>
      </c>
      <c r="AD8" s="527">
        <f t="shared" si="1"/>
        <v>4.529583333333334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45.295833333333341</v>
      </c>
      <c r="AT8" s="682">
        <f t="shared" si="2"/>
        <v>40.766250000000007</v>
      </c>
      <c r="AU8" s="682">
        <f t="shared" si="2"/>
        <v>34.65131250000001</v>
      </c>
      <c r="AV8" s="682">
        <f t="shared" si="2"/>
        <v>0</v>
      </c>
      <c r="AW8" s="682">
        <f t="shared" si="2"/>
        <v>0</v>
      </c>
      <c r="AX8" s="682">
        <f t="shared" si="2"/>
        <v>6.0394444444444453</v>
      </c>
      <c r="AY8" s="682">
        <f t="shared" si="2"/>
        <v>30</v>
      </c>
      <c r="AZ8" s="682" t="e">
        <f t="shared" si="2"/>
        <v>#VALUE!</v>
      </c>
      <c r="BA8" s="682">
        <f t="shared" si="2"/>
        <v>9.0591666666666679</v>
      </c>
      <c r="BB8" s="682">
        <f t="shared" si="2"/>
        <v>7.7002916666666685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1012" t="s">
        <v>67</v>
      </c>
      <c r="CA8" s="1012" t="s">
        <v>224</v>
      </c>
    </row>
    <row r="9" spans="1:79" x14ac:dyDescent="0.25">
      <c r="R9" s="393"/>
      <c r="S9" s="393"/>
    </row>
    <row r="11" spans="1:79" x14ac:dyDescent="0.25">
      <c r="N11" s="1059">
        <v>45748</v>
      </c>
    </row>
    <row r="12" spans="1:79" x14ac:dyDescent="0.25"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1008">
        <v>31179</v>
      </c>
      <c r="T14" s="1008"/>
      <c r="V14" s="1127" t="s">
        <v>192</v>
      </c>
      <c r="W14" s="1128"/>
      <c r="X14" s="1008">
        <v>32613</v>
      </c>
      <c r="Y14" s="1008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1008">
        <v>280</v>
      </c>
      <c r="T15" s="1008" t="s">
        <v>227</v>
      </c>
      <c r="V15" s="1127" t="s">
        <v>193</v>
      </c>
      <c r="W15" s="1128"/>
      <c r="X15" s="1008">
        <v>280</v>
      </c>
      <c r="Y15" s="1008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9.6231481481481485</v>
      </c>
      <c r="T16" s="1008"/>
      <c r="V16" s="1127" t="s">
        <v>195</v>
      </c>
      <c r="W16" s="1128"/>
      <c r="X16" s="596">
        <f>X14*X15/907200</f>
        <v>10.065740740740742</v>
      </c>
      <c r="Y16" s="1008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3.8492592592592594</v>
      </c>
      <c r="T17" s="1008">
        <v>40</v>
      </c>
      <c r="V17" s="1132" t="s">
        <v>9</v>
      </c>
      <c r="W17" s="1133"/>
      <c r="X17" s="592">
        <f>X16/100*40</f>
        <v>4.0262962962962963</v>
      </c>
      <c r="Y17" s="1008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2.8869444444444445</v>
      </c>
      <c r="T18" s="1008">
        <v>30</v>
      </c>
      <c r="V18" s="1132" t="s">
        <v>10</v>
      </c>
      <c r="W18" s="1133"/>
      <c r="X18" s="592">
        <f>X16/100*30</f>
        <v>3.0197222222222226</v>
      </c>
      <c r="Y18" s="1008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0.48115740740740742</v>
      </c>
      <c r="T19" s="1008">
        <v>5</v>
      </c>
      <c r="V19" s="1132" t="s">
        <v>11</v>
      </c>
      <c r="W19" s="1133"/>
      <c r="X19" s="592">
        <f>X16/100*5</f>
        <v>0.50328703703703703</v>
      </c>
      <c r="Y19" s="1008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0.48115740740740742</v>
      </c>
      <c r="T20" s="1008">
        <v>5</v>
      </c>
      <c r="V20" s="1132" t="s">
        <v>12</v>
      </c>
      <c r="W20" s="1133"/>
      <c r="X20" s="592">
        <f>X16/100*5</f>
        <v>0.50328703703703703</v>
      </c>
      <c r="Y20" s="1008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1.4434722222222223</v>
      </c>
      <c r="T21" s="1008">
        <v>15</v>
      </c>
      <c r="V21" s="1132" t="s">
        <v>99</v>
      </c>
      <c r="W21" s="1133"/>
      <c r="X21" s="592">
        <f>X16/100*15</f>
        <v>1.5098611111111113</v>
      </c>
      <c r="Y21" s="1008">
        <v>15</v>
      </c>
      <c r="AA21" s="1129">
        <f>AA20*31</f>
        <v>463.94352000000003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0.19246296296296297</v>
      </c>
      <c r="T22" s="1008">
        <v>2</v>
      </c>
      <c r="V22" s="1132" t="s">
        <v>100</v>
      </c>
      <c r="W22" s="1133"/>
      <c r="X22" s="592">
        <f>X16/100*2</f>
        <v>0.20131481481481484</v>
      </c>
      <c r="Y22" s="1008">
        <v>2</v>
      </c>
      <c r="AA22" s="1129">
        <f>AA21/100*2</f>
        <v>9.2788704000000006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0.28869444444444448</v>
      </c>
      <c r="T23" s="1008">
        <v>3</v>
      </c>
      <c r="V23" s="1132" t="s">
        <v>101</v>
      </c>
      <c r="W23" s="1133"/>
      <c r="X23" s="592">
        <f>X16/100*3</f>
        <v>0.30197222222222225</v>
      </c>
      <c r="Y23" s="1008">
        <v>3</v>
      </c>
    </row>
    <row r="24" spans="17:35" x14ac:dyDescent="0.25">
      <c r="Q24" s="1140" t="s">
        <v>89</v>
      </c>
      <c r="R24" s="1141"/>
      <c r="S24" s="596">
        <f>SUM(S17:S23)</f>
        <v>9.6231481481481502</v>
      </c>
      <c r="T24" s="1008">
        <f>SUM(T17:T23)</f>
        <v>100</v>
      </c>
      <c r="V24" s="1140" t="s">
        <v>89</v>
      </c>
      <c r="W24" s="1141"/>
      <c r="X24" s="596">
        <f>SUM(X17:X23)</f>
        <v>10.06574074074074</v>
      </c>
      <c r="Y24" s="1008">
        <f>SUM(Y17:Y23)</f>
        <v>100</v>
      </c>
      <c r="AA24">
        <v>0.12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1005"/>
      <c r="AH29" s="1005"/>
    </row>
    <row r="30" spans="17:35" x14ac:dyDescent="0.25">
      <c r="R30" s="1147" t="s">
        <v>86</v>
      </c>
      <c r="S30" s="1147"/>
      <c r="T30" s="1148">
        <f>U7</f>
        <v>80.834444444444443</v>
      </c>
      <c r="U30" s="1148"/>
      <c r="V30" s="1148">
        <f>V7</f>
        <v>34.643333333333331</v>
      </c>
      <c r="W30" s="1148"/>
      <c r="X30" s="393"/>
      <c r="AA30" s="1147" t="s">
        <v>86</v>
      </c>
      <c r="AB30" s="1147"/>
      <c r="AC30" s="1148">
        <f>U8</f>
        <v>84.552222222222227</v>
      </c>
      <c r="AD30" s="1148"/>
      <c r="AE30" s="1148">
        <f>V8</f>
        <v>36.236666666666672</v>
      </c>
      <c r="AF30" s="1148"/>
      <c r="AG30" s="1006"/>
      <c r="AH30" s="1006"/>
    </row>
    <row r="31" spans="17:35" x14ac:dyDescent="0.25">
      <c r="R31" s="1147" t="s">
        <v>87</v>
      </c>
      <c r="S31" s="1147"/>
      <c r="T31" s="1148">
        <f>Y7</f>
        <v>60.625833333333333</v>
      </c>
      <c r="U31" s="1148"/>
      <c r="V31" s="1148">
        <f>Z7</f>
        <v>25.982499999999998</v>
      </c>
      <c r="W31" s="1148"/>
      <c r="X31" s="393"/>
      <c r="AA31" s="1147" t="s">
        <v>87</v>
      </c>
      <c r="AB31" s="1147"/>
      <c r="AC31" s="1148">
        <f>Y8</f>
        <v>63.414166666666681</v>
      </c>
      <c r="AD31" s="1148"/>
      <c r="AE31" s="1148">
        <f>Z8</f>
        <v>27.177500000000006</v>
      </c>
      <c r="AF31" s="1148"/>
      <c r="AG31" s="1006"/>
      <c r="AH31" s="1006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1007"/>
      <c r="AH32" s="1007"/>
    </row>
    <row r="33" spans="18:34" x14ac:dyDescent="0.25">
      <c r="R33" s="1147" t="s">
        <v>202</v>
      </c>
      <c r="S33" s="1147"/>
      <c r="T33" s="1151">
        <v>8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1007"/>
      <c r="AH33" s="1007"/>
    </row>
    <row r="34" spans="18:34" x14ac:dyDescent="0.25">
      <c r="R34" s="1147" t="s">
        <v>90</v>
      </c>
      <c r="S34" s="1147"/>
      <c r="T34" s="1153">
        <f>T35-T32-T33</f>
        <v>46.439763888888891</v>
      </c>
      <c r="U34" s="1154"/>
      <c r="V34" s="1153">
        <f>V35-V32-V33</f>
        <v>36.658104166666675</v>
      </c>
      <c r="W34" s="1154"/>
      <c r="AA34" s="1155" t="s">
        <v>90</v>
      </c>
      <c r="AB34" s="1156"/>
      <c r="AC34" s="1153">
        <f>AC35-AC32-AC33</f>
        <v>55.035569444444448</v>
      </c>
      <c r="AD34" s="1157"/>
      <c r="AE34" s="1153">
        <f>AE35-AE33-AE32</f>
        <v>38.380895833333341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62.439763888888891</v>
      </c>
      <c r="U35" s="1162"/>
      <c r="V35" s="1161">
        <f>SUM(AD7,AJ7,AU7)</f>
        <v>41.658104166666675</v>
      </c>
      <c r="W35" s="1162"/>
      <c r="AA35" s="1147" t="s">
        <v>90</v>
      </c>
      <c r="AB35" s="1147"/>
      <c r="AC35" s="1161">
        <f>SUM(AC8,AI8,AT8,BB8)</f>
        <v>65.035569444444448</v>
      </c>
      <c r="AD35" s="1162"/>
      <c r="AE35" s="1161">
        <f>SUM(AD8,AJ8,AU8)</f>
        <v>43.380895833333341</v>
      </c>
      <c r="AF35" s="1162"/>
      <c r="AG35" s="1010"/>
      <c r="AH35" s="1010"/>
    </row>
    <row r="36" spans="18:34" x14ac:dyDescent="0.25">
      <c r="R36" s="1159"/>
      <c r="S36" s="1159"/>
      <c r="T36" s="1160">
        <f>SUM(T30:U34)</f>
        <v>203.90004166666665</v>
      </c>
      <c r="U36" s="1160"/>
      <c r="V36" s="1160">
        <f>SUM(V30,V31,V32,V33,V34)</f>
        <v>102.28393750000001</v>
      </c>
      <c r="W36" s="1160"/>
      <c r="X36" s="393"/>
      <c r="AA36" s="1159"/>
      <c r="AB36" s="1159"/>
      <c r="AC36" s="1160">
        <f>SUM(AC30:AD34)</f>
        <v>213.00195833333333</v>
      </c>
      <c r="AD36" s="1160"/>
      <c r="AE36" s="1160">
        <f>SUM(AE30,AE31,AE32,AE33,AE34)</f>
        <v>106.79506250000001</v>
      </c>
      <c r="AF36" s="1160"/>
      <c r="AG36" s="1009"/>
      <c r="AH36" s="1009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102.28393750000001</v>
      </c>
      <c r="X38" s="393"/>
    </row>
    <row r="44" spans="18:34" x14ac:dyDescent="0.25">
      <c r="T44" s="619"/>
      <c r="U44" s="854"/>
      <c r="V44" s="854"/>
      <c r="W44" s="854"/>
      <c r="X44" s="854"/>
    </row>
    <row r="45" spans="18:34" x14ac:dyDescent="0.25">
      <c r="T45" s="619"/>
      <c r="U45" s="854"/>
      <c r="V45" s="854"/>
      <c r="W45" s="854"/>
      <c r="X45" s="854"/>
    </row>
    <row r="46" spans="18:34" x14ac:dyDescent="0.25">
      <c r="T46" s="619"/>
      <c r="U46" s="854"/>
      <c r="V46" s="854"/>
      <c r="W46" s="854"/>
      <c r="X46" s="854"/>
      <c r="AC46" s="619" t="s">
        <v>90</v>
      </c>
      <c r="AD46" s="854">
        <v>0</v>
      </c>
      <c r="AE46" s="854">
        <v>56</v>
      </c>
      <c r="AF46" s="854">
        <v>39</v>
      </c>
      <c r="AG46" s="854">
        <v>720.28599999999994</v>
      </c>
    </row>
    <row r="47" spans="18:34" x14ac:dyDescent="0.25">
      <c r="T47" s="619"/>
      <c r="U47" s="854"/>
      <c r="V47" s="854"/>
      <c r="W47" s="854"/>
      <c r="X47" s="854"/>
      <c r="AC47" s="619" t="s">
        <v>86</v>
      </c>
      <c r="AD47" s="854">
        <v>0</v>
      </c>
      <c r="AE47" s="854">
        <v>86</v>
      </c>
      <c r="AF47" s="854">
        <v>37</v>
      </c>
      <c r="AG47" s="854">
        <v>2.7</v>
      </c>
    </row>
    <row r="48" spans="18:34" x14ac:dyDescent="0.25">
      <c r="T48" s="619"/>
      <c r="U48" s="854"/>
      <c r="V48" s="854"/>
      <c r="W48" s="854"/>
      <c r="X48" s="854"/>
      <c r="AC48" s="619" t="s">
        <v>87</v>
      </c>
      <c r="AD48" s="854">
        <v>0</v>
      </c>
      <c r="AE48" s="854">
        <v>65</v>
      </c>
      <c r="AF48" s="854">
        <v>28</v>
      </c>
      <c r="AG48" s="854">
        <v>1.7</v>
      </c>
    </row>
    <row r="49" spans="20:33" x14ac:dyDescent="0.25">
      <c r="T49" s="619"/>
      <c r="U49" s="854"/>
      <c r="V49" s="854"/>
      <c r="W49" s="854"/>
      <c r="X49" s="854"/>
      <c r="AC49" s="619" t="s">
        <v>201</v>
      </c>
      <c r="AD49" s="854">
        <v>0</v>
      </c>
      <c r="AE49" s="854">
        <v>7</v>
      </c>
      <c r="AF49" s="854">
        <v>5</v>
      </c>
      <c r="AG49" s="854">
        <v>0.08</v>
      </c>
    </row>
    <row r="50" spans="20:33" x14ac:dyDescent="0.25">
      <c r="T50" s="901"/>
      <c r="U50" s="901"/>
      <c r="V50" s="901"/>
      <c r="W50" s="901"/>
      <c r="X50" s="901"/>
      <c r="AC50" s="619" t="s">
        <v>202</v>
      </c>
      <c r="AD50" s="854">
        <v>0</v>
      </c>
      <c r="AE50" s="854">
        <v>3</v>
      </c>
      <c r="AF50" s="854">
        <v>0</v>
      </c>
      <c r="AG50" s="854">
        <v>0.05</v>
      </c>
    </row>
    <row r="51" spans="20:33" x14ac:dyDescent="0.25">
      <c r="W51" s="854"/>
      <c r="AD51">
        <f>SUM(AD46:AD50)</f>
        <v>0</v>
      </c>
      <c r="AE51">
        <f t="shared" ref="AE51:AG51" si="3">SUM(AE46:AE50)</f>
        <v>217</v>
      </c>
      <c r="AF51">
        <f t="shared" si="3"/>
        <v>109</v>
      </c>
      <c r="AG51">
        <f t="shared" si="3"/>
        <v>724.81600000000003</v>
      </c>
    </row>
    <row r="52" spans="20:33" x14ac:dyDescent="0.25">
      <c r="W52" s="854"/>
    </row>
    <row r="54" spans="20:33" x14ac:dyDescent="0.25">
      <c r="X54" t="s">
        <v>236</v>
      </c>
    </row>
  </sheetData>
  <mergeCells count="124"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</mergeCells>
  <pageMargins left="0.7" right="0.7" top="0.75" bottom="0.75" header="0.3" footer="0.3"/>
  <pageSetup paperSize="9" orientation="portrait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4"/>
  <sheetViews>
    <sheetView topLeftCell="N4" workbookViewId="0">
      <selection activeCell="O14" sqref="A1:XFD1048576"/>
    </sheetView>
  </sheetViews>
  <sheetFormatPr defaultRowHeight="15" x14ac:dyDescent="0.25"/>
  <cols>
    <col min="2" max="2" width="17.85546875" customWidth="1"/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1028" t="s">
        <v>17</v>
      </c>
      <c r="R2" s="1028" t="s">
        <v>18</v>
      </c>
      <c r="S2" s="1028" t="s">
        <v>19</v>
      </c>
      <c r="T2" s="1029" t="s">
        <v>20</v>
      </c>
      <c r="U2" s="1029" t="s">
        <v>21</v>
      </c>
      <c r="V2" s="1029" t="s">
        <v>22</v>
      </c>
      <c r="W2" s="1029">
        <v>45</v>
      </c>
      <c r="X2" s="1030" t="s">
        <v>24</v>
      </c>
      <c r="Y2" s="1030" t="s">
        <v>25</v>
      </c>
      <c r="Z2" s="1030" t="s">
        <v>26</v>
      </c>
      <c r="AA2" s="1030" t="s">
        <v>27</v>
      </c>
      <c r="AB2" s="1031" t="s">
        <v>28</v>
      </c>
      <c r="AC2" s="1031" t="s">
        <v>29</v>
      </c>
      <c r="AD2" s="1031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1026" t="s">
        <v>31</v>
      </c>
      <c r="AJ2" s="1026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1023" t="s">
        <v>102</v>
      </c>
      <c r="AT2" s="1023" t="s">
        <v>103</v>
      </c>
      <c r="AU2" s="1023" t="s">
        <v>104</v>
      </c>
      <c r="AV2" s="1023" t="s">
        <v>105</v>
      </c>
      <c r="AW2" s="1023" t="s">
        <v>106</v>
      </c>
      <c r="AX2" s="1027" t="s">
        <v>107</v>
      </c>
      <c r="AY2" s="1027" t="s">
        <v>108</v>
      </c>
      <c r="AZ2" s="1027" t="s">
        <v>109</v>
      </c>
      <c r="BA2" s="1027" t="s">
        <v>110</v>
      </c>
      <c r="BB2" s="1027" t="s">
        <v>111</v>
      </c>
      <c r="BC2" s="1027" t="s">
        <v>112</v>
      </c>
      <c r="BD2" s="1027" t="s">
        <v>113</v>
      </c>
      <c r="BE2" s="1027" t="s">
        <v>114</v>
      </c>
      <c r="BF2" s="1027" t="s">
        <v>115</v>
      </c>
      <c r="BG2" s="729" t="s">
        <v>116</v>
      </c>
      <c r="BH2" s="730" t="s">
        <v>117</v>
      </c>
      <c r="BI2" s="1027" t="s">
        <v>118</v>
      </c>
      <c r="BJ2" s="1021" t="s">
        <v>14</v>
      </c>
      <c r="BK2" s="1021" t="s">
        <v>167</v>
      </c>
      <c r="BL2" s="1021" t="s">
        <v>39</v>
      </c>
      <c r="BM2" s="1021" t="s">
        <v>40</v>
      </c>
      <c r="BN2" s="1021" t="s">
        <v>41</v>
      </c>
      <c r="BO2" s="1021" t="s">
        <v>43</v>
      </c>
      <c r="BP2" s="1021" t="s">
        <v>44</v>
      </c>
      <c r="BQ2" s="1021" t="s">
        <v>46</v>
      </c>
      <c r="BR2" s="1022" t="s">
        <v>47</v>
      </c>
      <c r="BS2" s="1022" t="s">
        <v>48</v>
      </c>
      <c r="BT2" s="1023" t="s">
        <v>49</v>
      </c>
      <c r="BU2" s="1023" t="s">
        <v>50</v>
      </c>
      <c r="BV2" s="1022" t="s">
        <v>131</v>
      </c>
      <c r="BW2" s="1022" t="s">
        <v>132</v>
      </c>
      <c r="BX2" s="1024" t="s">
        <v>172</v>
      </c>
      <c r="BY2" s="1024" t="s">
        <v>173</v>
      </c>
      <c r="BZ2" s="1025" t="s">
        <v>216</v>
      </c>
      <c r="CA2" s="1025" t="s">
        <v>217</v>
      </c>
    </row>
    <row r="3" spans="1:79" ht="90.75" thickBot="1" x14ac:dyDescent="0.3">
      <c r="A3" s="1032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1024" t="s">
        <v>120</v>
      </c>
      <c r="BY3" s="1024" t="s">
        <v>174</v>
      </c>
      <c r="BZ3" s="1025" t="s">
        <v>120</v>
      </c>
      <c r="CA3" s="1025" t="s">
        <v>222</v>
      </c>
    </row>
    <row r="4" spans="1:79" ht="29.25" thickBot="1" x14ac:dyDescent="0.3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1035">
        <v>28960</v>
      </c>
      <c r="Q4" s="438">
        <f>SUM(T4,X4,AB4,AS4,AX4,BA4)</f>
        <v>9.2399406415343943</v>
      </c>
      <c r="R4" s="438">
        <f>SUM(U4,Y4,AC4,AI4,AT4,BB4)</f>
        <v>6.8673466418650797</v>
      </c>
      <c r="S4" s="438">
        <f>SUM(V4,Z4,AD4,AJ4,AU4)</f>
        <v>3.4444945610119051</v>
      </c>
      <c r="T4" s="453">
        <f>S17</f>
        <v>3.890501322751323</v>
      </c>
      <c r="U4" s="453">
        <f>T4/100*70</f>
        <v>2.7233509259259261</v>
      </c>
      <c r="V4" s="453">
        <f>T4/100*30</f>
        <v>1.1671503968253969</v>
      </c>
      <c r="W4" s="453">
        <v>0</v>
      </c>
      <c r="X4" s="454">
        <f>S18</f>
        <v>2.9178759920634922</v>
      </c>
      <c r="Y4" s="454">
        <f>X4/100*70</f>
        <v>2.0425131944444446</v>
      </c>
      <c r="Z4" s="454">
        <f>X4/100*30</f>
        <v>0.87536279761904767</v>
      </c>
      <c r="AA4" s="454">
        <v>0</v>
      </c>
      <c r="AB4" s="455">
        <f>S19</f>
        <v>0.48631266534391537</v>
      </c>
      <c r="AC4" s="455">
        <f>AB4/100*70</f>
        <v>0.34041886574074076</v>
      </c>
      <c r="AD4" s="455">
        <f>AB4/100*30</f>
        <v>0.14589379960317461</v>
      </c>
      <c r="AE4" s="877">
        <v>2</v>
      </c>
      <c r="AF4" s="878">
        <v>500</v>
      </c>
      <c r="AG4" s="878">
        <v>0</v>
      </c>
      <c r="AH4" s="878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1.4589379960317461</v>
      </c>
      <c r="AT4" s="457">
        <f>AS4/100*90</f>
        <v>1.3130441964285715</v>
      </c>
      <c r="AU4" s="457">
        <f>AT4/100*85</f>
        <v>1.1160875669642858</v>
      </c>
      <c r="AV4" s="457">
        <v>0</v>
      </c>
      <c r="AW4" s="457">
        <v>0</v>
      </c>
      <c r="AX4" s="458">
        <f>S22</f>
        <v>0.19452506613756615</v>
      </c>
      <c r="AY4" s="469">
        <v>4</v>
      </c>
      <c r="AZ4" s="459" t="s">
        <v>65</v>
      </c>
      <c r="BA4" s="460">
        <f>S23</f>
        <v>0.29178759920634922</v>
      </c>
      <c r="BB4" s="458">
        <f>BA4/100*85</f>
        <v>0.24801945932539685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1.1671503968253969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1034" t="s">
        <v>67</v>
      </c>
      <c r="CA4" s="1034" t="s">
        <v>223</v>
      </c>
    </row>
    <row r="5" spans="1:79" ht="29.25" thickBot="1" x14ac:dyDescent="0.3">
      <c r="A5" s="50">
        <v>50</v>
      </c>
      <c r="B5" s="1033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9.6649085648148141</v>
      </c>
      <c r="R5" s="438">
        <f>SUM(U5,Y5,AC5,AI5,AT5,BB5)</f>
        <v>7.1739945486111107</v>
      </c>
      <c r="S5" s="438">
        <f>SUM(V5,Z5,AD5,AJ5,AU5)</f>
        <v>3.5964765104166663</v>
      </c>
      <c r="T5" s="453">
        <f>X17</f>
        <v>4.0694351851851849</v>
      </c>
      <c r="U5" s="453">
        <f>T5/100*70</f>
        <v>2.8486046296296297</v>
      </c>
      <c r="V5" s="453">
        <f>T5/100*30</f>
        <v>1.2208305555555554</v>
      </c>
      <c r="W5" s="345">
        <v>0</v>
      </c>
      <c r="X5" s="454">
        <f>X18</f>
        <v>3.0520763888888887</v>
      </c>
      <c r="Y5" s="454">
        <f>X5/100*70</f>
        <v>2.1364534722222221</v>
      </c>
      <c r="Z5" s="454">
        <f>X5/100*30</f>
        <v>0.91562291666666651</v>
      </c>
      <c r="AA5" s="346">
        <v>0</v>
      </c>
      <c r="AB5" s="455">
        <f>X19</f>
        <v>0.50867939814814811</v>
      </c>
      <c r="AC5" s="455">
        <f>AB5/100*70</f>
        <v>0.35607557870370371</v>
      </c>
      <c r="AD5" s="455">
        <f>AB5/100*30</f>
        <v>0.15260381944444443</v>
      </c>
      <c r="AE5" s="877">
        <v>0</v>
      </c>
      <c r="AF5" s="878">
        <v>0</v>
      </c>
      <c r="AG5" s="878">
        <v>0</v>
      </c>
      <c r="AH5" s="878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1.5260381944444443</v>
      </c>
      <c r="AT5" s="457">
        <f>AS5/100*90</f>
        <v>1.3734343749999998</v>
      </c>
      <c r="AU5" s="457">
        <f>AT5/100*85</f>
        <v>1.1674192187499999</v>
      </c>
      <c r="AV5" s="349">
        <v>0</v>
      </c>
      <c r="AW5" s="349">
        <v>0</v>
      </c>
      <c r="AX5" s="458">
        <f>X22</f>
        <v>0.20347175925925925</v>
      </c>
      <c r="AY5" s="350">
        <v>1</v>
      </c>
      <c r="AZ5" s="459" t="s">
        <v>65</v>
      </c>
      <c r="BA5" s="458">
        <f>X23</f>
        <v>0.30520763888888891</v>
      </c>
      <c r="BB5" s="824">
        <f>BA5/100*85</f>
        <v>0.25942649305555554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1.2208305555555554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1034" t="s">
        <v>67</v>
      </c>
      <c r="CA5" s="1034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28.5" x14ac:dyDescent="0.25">
      <c r="A7" s="50">
        <v>60</v>
      </c>
      <c r="B7" s="1033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1036">
        <f t="shared" si="0"/>
        <v>28960</v>
      </c>
      <c r="Q7" s="394">
        <f>SUM(T7,X7,AB7,AS7,AX7,BA7)</f>
        <v>277.19821924603178</v>
      </c>
      <c r="R7" s="394">
        <f>SUM(U7,Y7,AC7,AI7,AT7,BB7)</f>
        <v>206.02039925595238</v>
      </c>
      <c r="S7" s="394">
        <f>SUM(V7,Z7,AD7,AJ7,AU7)</f>
        <v>103.33483683035715</v>
      </c>
      <c r="T7" s="527">
        <f>T4*30</f>
        <v>116.7150396825397</v>
      </c>
      <c r="U7" s="527">
        <f t="shared" ref="U7:AD8" si="1">U4*30</f>
        <v>81.700527777777779</v>
      </c>
      <c r="V7" s="527">
        <f t="shared" si="1"/>
        <v>35.014511904761903</v>
      </c>
      <c r="W7" s="527">
        <f t="shared" si="1"/>
        <v>0</v>
      </c>
      <c r="X7" s="527">
        <f t="shared" si="1"/>
        <v>87.536279761904765</v>
      </c>
      <c r="Y7" s="527">
        <f t="shared" si="1"/>
        <v>61.275395833333334</v>
      </c>
      <c r="Z7" s="527">
        <f t="shared" si="1"/>
        <v>26.260883928571431</v>
      </c>
      <c r="AA7" s="527">
        <f t="shared" si="1"/>
        <v>0</v>
      </c>
      <c r="AB7" s="527">
        <f t="shared" si="1"/>
        <v>14.589379960317462</v>
      </c>
      <c r="AC7" s="527">
        <f t="shared" si="1"/>
        <v>10.212565972222222</v>
      </c>
      <c r="AD7" s="527">
        <f t="shared" si="1"/>
        <v>4.3768139880952379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43.768139880952383</v>
      </c>
      <c r="AT7" s="682">
        <f t="shared" ref="AT7:BB8" si="2">AT4*30</f>
        <v>39.391325892857147</v>
      </c>
      <c r="AU7" s="682">
        <f t="shared" si="2"/>
        <v>33.482627008928574</v>
      </c>
      <c r="AV7" s="682">
        <f t="shared" si="2"/>
        <v>0</v>
      </c>
      <c r="AW7" s="682">
        <f t="shared" si="2"/>
        <v>0</v>
      </c>
      <c r="AX7" s="682">
        <f t="shared" si="2"/>
        <v>5.8357519841269845</v>
      </c>
      <c r="AY7" s="682">
        <f t="shared" si="2"/>
        <v>120</v>
      </c>
      <c r="AZ7" s="682" t="e">
        <f t="shared" si="2"/>
        <v>#VALUE!</v>
      </c>
      <c r="BA7" s="682">
        <f t="shared" si="2"/>
        <v>8.7536279761904758</v>
      </c>
      <c r="BB7" s="682">
        <f t="shared" si="2"/>
        <v>7.440583779761905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1034" t="s">
        <v>67</v>
      </c>
      <c r="CA7" s="1034" t="s">
        <v>223</v>
      </c>
    </row>
    <row r="8" spans="1:79" ht="28.5" x14ac:dyDescent="0.25">
      <c r="A8" s="50">
        <v>50</v>
      </c>
      <c r="B8" s="1033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289.9472569444444</v>
      </c>
      <c r="R8" s="394">
        <f>SUM(U8,Y8,AC8,AI8,AT8,BB8)</f>
        <v>215.21983645833336</v>
      </c>
      <c r="S8" s="394">
        <f>SUM(V8,Z8,AD8,AJ8,AU8)</f>
        <v>107.89429531249999</v>
      </c>
      <c r="T8" s="527">
        <f>T5*30</f>
        <v>122.08305555555555</v>
      </c>
      <c r="U8" s="527">
        <f t="shared" si="1"/>
        <v>85.458138888888897</v>
      </c>
      <c r="V8" s="527">
        <f t="shared" si="1"/>
        <v>36.624916666666664</v>
      </c>
      <c r="W8" s="527">
        <f t="shared" si="1"/>
        <v>0</v>
      </c>
      <c r="X8" s="527">
        <f t="shared" si="1"/>
        <v>91.562291666666653</v>
      </c>
      <c r="Y8" s="527">
        <f t="shared" si="1"/>
        <v>64.093604166666665</v>
      </c>
      <c r="Z8" s="527">
        <f t="shared" si="1"/>
        <v>27.468687499999994</v>
      </c>
      <c r="AA8" s="527">
        <f t="shared" si="1"/>
        <v>0</v>
      </c>
      <c r="AB8" s="527">
        <f t="shared" si="1"/>
        <v>15.260381944444443</v>
      </c>
      <c r="AC8" s="527">
        <f t="shared" si="1"/>
        <v>10.682267361111112</v>
      </c>
      <c r="AD8" s="527">
        <f t="shared" si="1"/>
        <v>4.578114583333333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45.781145833333326</v>
      </c>
      <c r="AT8" s="682">
        <f t="shared" si="2"/>
        <v>41.203031249999995</v>
      </c>
      <c r="AU8" s="682">
        <f t="shared" si="2"/>
        <v>35.022576562499999</v>
      </c>
      <c r="AV8" s="682">
        <f t="shared" si="2"/>
        <v>0</v>
      </c>
      <c r="AW8" s="682">
        <f t="shared" si="2"/>
        <v>0</v>
      </c>
      <c r="AX8" s="682">
        <f t="shared" si="2"/>
        <v>6.1041527777777773</v>
      </c>
      <c r="AY8" s="682">
        <f t="shared" si="2"/>
        <v>30</v>
      </c>
      <c r="AZ8" s="682" t="e">
        <f t="shared" si="2"/>
        <v>#VALUE!</v>
      </c>
      <c r="BA8" s="682">
        <f t="shared" si="2"/>
        <v>9.1562291666666678</v>
      </c>
      <c r="BB8" s="682">
        <f t="shared" si="2"/>
        <v>7.7827947916666664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1034" t="s">
        <v>67</v>
      </c>
      <c r="CA8" s="1034" t="s">
        <v>224</v>
      </c>
    </row>
    <row r="9" spans="1:79" x14ac:dyDescent="0.25">
      <c r="R9" s="393"/>
      <c r="S9" s="393"/>
    </row>
    <row r="11" spans="1:79" x14ac:dyDescent="0.25">
      <c r="O11" s="1059">
        <v>45778</v>
      </c>
    </row>
    <row r="12" spans="1:79" x14ac:dyDescent="0.25"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1015">
        <v>31179</v>
      </c>
      <c r="T14" s="1015"/>
      <c r="V14" s="1127" t="s">
        <v>192</v>
      </c>
      <c r="W14" s="1128"/>
      <c r="X14" s="1015">
        <v>32613</v>
      </c>
      <c r="Y14" s="1015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1015">
        <v>283</v>
      </c>
      <c r="T15" s="1015" t="s">
        <v>227</v>
      </c>
      <c r="V15" s="1127" t="s">
        <v>193</v>
      </c>
      <c r="W15" s="1128"/>
      <c r="X15" s="1015">
        <v>283</v>
      </c>
      <c r="Y15" s="1015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9.7262533068783075</v>
      </c>
      <c r="T16" s="1015"/>
      <c r="V16" s="1127" t="s">
        <v>195</v>
      </c>
      <c r="W16" s="1128"/>
      <c r="X16" s="596">
        <f>X14*X15/907200</f>
        <v>10.173587962962962</v>
      </c>
      <c r="Y16" s="1015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3.890501322751323</v>
      </c>
      <c r="T17" s="1015">
        <v>40</v>
      </c>
      <c r="V17" s="1132" t="s">
        <v>9</v>
      </c>
      <c r="W17" s="1133"/>
      <c r="X17" s="592">
        <f>X16/100*40</f>
        <v>4.0694351851851849</v>
      </c>
      <c r="Y17" s="1015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2.9178759920634922</v>
      </c>
      <c r="T18" s="1015">
        <v>30</v>
      </c>
      <c r="V18" s="1132" t="s">
        <v>10</v>
      </c>
      <c r="W18" s="1133"/>
      <c r="X18" s="592">
        <f>X16/100*30</f>
        <v>3.0520763888888887</v>
      </c>
      <c r="Y18" s="1015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0.48631266534391537</v>
      </c>
      <c r="T19" s="1015">
        <v>5</v>
      </c>
      <c r="V19" s="1132" t="s">
        <v>11</v>
      </c>
      <c r="W19" s="1133"/>
      <c r="X19" s="592">
        <f>X16/100*5</f>
        <v>0.50867939814814811</v>
      </c>
      <c r="Y19" s="1015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0.48631266534391537</v>
      </c>
      <c r="T20" s="1015">
        <v>5</v>
      </c>
      <c r="V20" s="1132" t="s">
        <v>12</v>
      </c>
      <c r="W20" s="1133"/>
      <c r="X20" s="592">
        <f>X16/100*5</f>
        <v>0.50867939814814811</v>
      </c>
      <c r="Y20" s="1015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1.4589379960317461</v>
      </c>
      <c r="T21" s="1015">
        <v>15</v>
      </c>
      <c r="V21" s="1132" t="s">
        <v>99</v>
      </c>
      <c r="W21" s="1133"/>
      <c r="X21" s="592">
        <f>X16/100*15</f>
        <v>1.5260381944444443</v>
      </c>
      <c r="Y21" s="1015">
        <v>15</v>
      </c>
      <c r="AA21" s="1129">
        <f>AA20*31</f>
        <v>463.94352000000003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0.19452506613756615</v>
      </c>
      <c r="T22" s="1015">
        <v>2</v>
      </c>
      <c r="V22" s="1132" t="s">
        <v>100</v>
      </c>
      <c r="W22" s="1133"/>
      <c r="X22" s="592">
        <f>X16/100*2</f>
        <v>0.20347175925925925</v>
      </c>
      <c r="Y22" s="1015">
        <v>2</v>
      </c>
      <c r="AA22" s="1129">
        <f>AA21/100*2</f>
        <v>9.2788704000000006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0.29178759920634922</v>
      </c>
      <c r="T23" s="1015">
        <v>3</v>
      </c>
      <c r="V23" s="1132" t="s">
        <v>101</v>
      </c>
      <c r="W23" s="1133"/>
      <c r="X23" s="592">
        <f>X16/100*3</f>
        <v>0.30520763888888891</v>
      </c>
      <c r="Y23" s="1015">
        <v>3</v>
      </c>
    </row>
    <row r="24" spans="17:35" x14ac:dyDescent="0.25">
      <c r="Q24" s="1140" t="s">
        <v>89</v>
      </c>
      <c r="R24" s="1141"/>
      <c r="S24" s="596">
        <f>SUM(S17:S23)</f>
        <v>9.7262533068783075</v>
      </c>
      <c r="T24" s="1015">
        <f>SUM(T17:T23)</f>
        <v>100</v>
      </c>
      <c r="V24" s="1140" t="s">
        <v>89</v>
      </c>
      <c r="W24" s="1141"/>
      <c r="X24" s="596">
        <f>SUM(X17:X23)</f>
        <v>10.173587962962962</v>
      </c>
      <c r="Y24" s="1015">
        <f>SUM(Y17:Y23)</f>
        <v>100</v>
      </c>
      <c r="AA24">
        <v>0.12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1020"/>
      <c r="AH29" s="1020"/>
    </row>
    <row r="30" spans="17:35" x14ac:dyDescent="0.25">
      <c r="R30" s="1147" t="s">
        <v>86</v>
      </c>
      <c r="S30" s="1147"/>
      <c r="T30" s="1148">
        <f>U7</f>
        <v>81.700527777777779</v>
      </c>
      <c r="U30" s="1148"/>
      <c r="V30" s="1148">
        <f>V7</f>
        <v>35.014511904761903</v>
      </c>
      <c r="W30" s="1148"/>
      <c r="X30" s="393"/>
      <c r="AA30" s="1147" t="s">
        <v>86</v>
      </c>
      <c r="AB30" s="1147"/>
      <c r="AC30" s="1148">
        <f>U8</f>
        <v>85.458138888888897</v>
      </c>
      <c r="AD30" s="1148"/>
      <c r="AE30" s="1148">
        <f>V8</f>
        <v>36.624916666666664</v>
      </c>
      <c r="AF30" s="1148"/>
      <c r="AG30" s="1019"/>
      <c r="AH30" s="1019"/>
    </row>
    <row r="31" spans="17:35" x14ac:dyDescent="0.25">
      <c r="R31" s="1147" t="s">
        <v>87</v>
      </c>
      <c r="S31" s="1147"/>
      <c r="T31" s="1148">
        <f>Y7</f>
        <v>61.275395833333334</v>
      </c>
      <c r="U31" s="1148"/>
      <c r="V31" s="1148">
        <f>Z7</f>
        <v>26.260883928571431</v>
      </c>
      <c r="W31" s="1148"/>
      <c r="X31" s="393"/>
      <c r="AA31" s="1147" t="s">
        <v>87</v>
      </c>
      <c r="AB31" s="1147"/>
      <c r="AC31" s="1148">
        <f>Y8</f>
        <v>64.093604166666665</v>
      </c>
      <c r="AD31" s="1148"/>
      <c r="AE31" s="1148">
        <f>Z8</f>
        <v>27.468687499999994</v>
      </c>
      <c r="AF31" s="1148"/>
      <c r="AG31" s="1019"/>
      <c r="AH31" s="1019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1018"/>
      <c r="AH32" s="1018"/>
    </row>
    <row r="33" spans="18:34" x14ac:dyDescent="0.25">
      <c r="R33" s="1147" t="s">
        <v>202</v>
      </c>
      <c r="S33" s="1147"/>
      <c r="T33" s="1151">
        <v>8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1018"/>
      <c r="AH33" s="1018"/>
    </row>
    <row r="34" spans="18:34" x14ac:dyDescent="0.25">
      <c r="R34" s="1147" t="s">
        <v>90</v>
      </c>
      <c r="S34" s="1147"/>
      <c r="T34" s="1153">
        <f>T35-T32-T33</f>
        <v>47.04447564484127</v>
      </c>
      <c r="U34" s="1154"/>
      <c r="V34" s="1153">
        <f>V35-V32-V33</f>
        <v>37.059440997023813</v>
      </c>
      <c r="W34" s="1154"/>
      <c r="AA34" s="1155" t="s">
        <v>90</v>
      </c>
      <c r="AB34" s="1156"/>
      <c r="AC34" s="1153">
        <f>AC35-AC32-AC33</f>
        <v>55.668093402777771</v>
      </c>
      <c r="AD34" s="1157"/>
      <c r="AE34" s="1153">
        <f>AE35-AE33-AE32</f>
        <v>38.800691145833333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63.04447564484127</v>
      </c>
      <c r="U35" s="1162"/>
      <c r="V35" s="1161">
        <f>SUM(AD7,AJ7,AU7)</f>
        <v>42.059440997023813</v>
      </c>
      <c r="W35" s="1162"/>
      <c r="AA35" s="1147" t="s">
        <v>90</v>
      </c>
      <c r="AB35" s="1147"/>
      <c r="AC35" s="1161">
        <f>SUM(AC8,AI8,AT8,BB8)</f>
        <v>65.668093402777771</v>
      </c>
      <c r="AD35" s="1162"/>
      <c r="AE35" s="1161">
        <f>SUM(AD8,AJ8,AU8)</f>
        <v>43.800691145833333</v>
      </c>
      <c r="AF35" s="1162"/>
      <c r="AG35" s="1017"/>
      <c r="AH35" s="1017"/>
    </row>
    <row r="36" spans="18:34" x14ac:dyDescent="0.25">
      <c r="R36" s="1159"/>
      <c r="S36" s="1159"/>
      <c r="T36" s="1160">
        <f>SUM(T30:U34)</f>
        <v>206.02039925595238</v>
      </c>
      <c r="U36" s="1160"/>
      <c r="V36" s="1160">
        <f>SUM(V30,V31,V32,V33,V34)</f>
        <v>103.33483683035715</v>
      </c>
      <c r="W36" s="1160"/>
      <c r="X36" s="393"/>
      <c r="AA36" s="1159"/>
      <c r="AB36" s="1159"/>
      <c r="AC36" s="1160">
        <f>SUM(AC30:AD34)</f>
        <v>215.21983645833333</v>
      </c>
      <c r="AD36" s="1160"/>
      <c r="AE36" s="1160">
        <f>SUM(AE30,AE31,AE32,AE33,AE34)</f>
        <v>107.89429531249999</v>
      </c>
      <c r="AF36" s="1160"/>
      <c r="AG36" s="1016"/>
      <c r="AH36" s="1016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103.33483683035715</v>
      </c>
      <c r="X38" s="393"/>
    </row>
    <row r="44" spans="18:34" x14ac:dyDescent="0.25">
      <c r="T44" s="619"/>
      <c r="U44" s="854"/>
      <c r="V44" s="854"/>
      <c r="W44" s="854"/>
      <c r="X44" s="854"/>
    </row>
    <row r="45" spans="18:34" x14ac:dyDescent="0.25">
      <c r="T45" s="619"/>
      <c r="U45" s="854"/>
      <c r="V45" s="854"/>
      <c r="W45" s="854"/>
      <c r="X45" s="854"/>
    </row>
    <row r="46" spans="18:34" x14ac:dyDescent="0.25">
      <c r="T46" s="619"/>
      <c r="U46" s="854"/>
      <c r="V46" s="854"/>
      <c r="W46" s="854"/>
      <c r="X46" s="854"/>
      <c r="AC46" s="619" t="s">
        <v>90</v>
      </c>
      <c r="AD46" s="854">
        <v>0</v>
      </c>
      <c r="AE46" s="854">
        <v>56</v>
      </c>
      <c r="AF46" s="854">
        <v>39</v>
      </c>
      <c r="AG46" s="854">
        <v>720.28599999999994</v>
      </c>
    </row>
    <row r="47" spans="18:34" x14ac:dyDescent="0.25">
      <c r="T47" s="619"/>
      <c r="U47" s="854"/>
      <c r="V47" s="854"/>
      <c r="W47" s="854"/>
      <c r="X47" s="854"/>
      <c r="AC47" s="619" t="s">
        <v>86</v>
      </c>
      <c r="AD47" s="854">
        <v>0</v>
      </c>
      <c r="AE47" s="854">
        <v>86</v>
      </c>
      <c r="AF47" s="854">
        <v>37</v>
      </c>
      <c r="AG47" s="854">
        <v>2.7</v>
      </c>
    </row>
    <row r="48" spans="18:34" x14ac:dyDescent="0.25">
      <c r="T48" s="619"/>
      <c r="U48" s="854"/>
      <c r="V48" s="854"/>
      <c r="W48" s="854"/>
      <c r="X48" s="854"/>
      <c r="AC48" s="619" t="s">
        <v>87</v>
      </c>
      <c r="AD48" s="854">
        <v>0</v>
      </c>
      <c r="AE48" s="854">
        <v>65</v>
      </c>
      <c r="AF48" s="854">
        <v>28</v>
      </c>
      <c r="AG48" s="854">
        <v>1.7</v>
      </c>
    </row>
    <row r="49" spans="20:33" x14ac:dyDescent="0.25">
      <c r="T49" s="619"/>
      <c r="U49" s="854"/>
      <c r="V49" s="854"/>
      <c r="W49" s="854"/>
      <c r="X49" s="854"/>
      <c r="AC49" s="619" t="s">
        <v>201</v>
      </c>
      <c r="AD49" s="854">
        <v>0</v>
      </c>
      <c r="AE49" s="854">
        <v>7</v>
      </c>
      <c r="AF49" s="854">
        <v>5</v>
      </c>
      <c r="AG49" s="854">
        <v>0.08</v>
      </c>
    </row>
    <row r="50" spans="20:33" x14ac:dyDescent="0.25">
      <c r="T50" s="901"/>
      <c r="U50" s="901"/>
      <c r="V50" s="901"/>
      <c r="W50" s="901"/>
      <c r="X50" s="901"/>
      <c r="AC50" s="619" t="s">
        <v>202</v>
      </c>
      <c r="AD50" s="854">
        <v>0</v>
      </c>
      <c r="AE50" s="854">
        <v>3</v>
      </c>
      <c r="AF50" s="854">
        <v>0</v>
      </c>
      <c r="AG50" s="854">
        <v>0.05</v>
      </c>
    </row>
    <row r="51" spans="20:33" x14ac:dyDescent="0.25">
      <c r="W51" s="854"/>
      <c r="AD51">
        <f>SUM(AD46:AD50)</f>
        <v>0</v>
      </c>
      <c r="AE51">
        <f t="shared" ref="AE51:AG51" si="3">SUM(AE46:AE50)</f>
        <v>217</v>
      </c>
      <c r="AF51">
        <f t="shared" si="3"/>
        <v>109</v>
      </c>
      <c r="AG51">
        <f t="shared" si="3"/>
        <v>724.81600000000003</v>
      </c>
    </row>
    <row r="52" spans="20:33" x14ac:dyDescent="0.25">
      <c r="W52" s="854"/>
    </row>
    <row r="54" spans="20:33" x14ac:dyDescent="0.25">
      <c r="X54" t="s">
        <v>236</v>
      </c>
    </row>
  </sheetData>
  <mergeCells count="124"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4"/>
  <sheetViews>
    <sheetView topLeftCell="P4" workbookViewId="0">
      <selection activeCell="AD24" sqref="AD24"/>
    </sheetView>
  </sheetViews>
  <sheetFormatPr defaultRowHeight="15" x14ac:dyDescent="0.25"/>
  <cols>
    <col min="2" max="2" width="17.85546875" customWidth="1"/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1028" t="s">
        <v>17</v>
      </c>
      <c r="R2" s="1028" t="s">
        <v>18</v>
      </c>
      <c r="S2" s="1028" t="s">
        <v>19</v>
      </c>
      <c r="T2" s="1029" t="s">
        <v>20</v>
      </c>
      <c r="U2" s="1029" t="s">
        <v>21</v>
      </c>
      <c r="V2" s="1029" t="s">
        <v>22</v>
      </c>
      <c r="W2" s="1029">
        <v>45</v>
      </c>
      <c r="X2" s="1030" t="s">
        <v>24</v>
      </c>
      <c r="Y2" s="1030" t="s">
        <v>25</v>
      </c>
      <c r="Z2" s="1030" t="s">
        <v>26</v>
      </c>
      <c r="AA2" s="1030" t="s">
        <v>27</v>
      </c>
      <c r="AB2" s="1031" t="s">
        <v>28</v>
      </c>
      <c r="AC2" s="1031" t="s">
        <v>29</v>
      </c>
      <c r="AD2" s="1031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1026" t="s">
        <v>31</v>
      </c>
      <c r="AJ2" s="1026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1023" t="s">
        <v>102</v>
      </c>
      <c r="AT2" s="1023" t="s">
        <v>103</v>
      </c>
      <c r="AU2" s="1023" t="s">
        <v>104</v>
      </c>
      <c r="AV2" s="1023" t="s">
        <v>105</v>
      </c>
      <c r="AW2" s="1023" t="s">
        <v>106</v>
      </c>
      <c r="AX2" s="1027" t="s">
        <v>107</v>
      </c>
      <c r="AY2" s="1027" t="s">
        <v>108</v>
      </c>
      <c r="AZ2" s="1027" t="s">
        <v>109</v>
      </c>
      <c r="BA2" s="1027" t="s">
        <v>110</v>
      </c>
      <c r="BB2" s="1027" t="s">
        <v>111</v>
      </c>
      <c r="BC2" s="1027" t="s">
        <v>112</v>
      </c>
      <c r="BD2" s="1027" t="s">
        <v>113</v>
      </c>
      <c r="BE2" s="1027" t="s">
        <v>114</v>
      </c>
      <c r="BF2" s="1027" t="s">
        <v>115</v>
      </c>
      <c r="BG2" s="729" t="s">
        <v>116</v>
      </c>
      <c r="BH2" s="730" t="s">
        <v>117</v>
      </c>
      <c r="BI2" s="1027" t="s">
        <v>118</v>
      </c>
      <c r="BJ2" s="1021" t="s">
        <v>14</v>
      </c>
      <c r="BK2" s="1021" t="s">
        <v>167</v>
      </c>
      <c r="BL2" s="1021" t="s">
        <v>39</v>
      </c>
      <c r="BM2" s="1021" t="s">
        <v>40</v>
      </c>
      <c r="BN2" s="1021" t="s">
        <v>41</v>
      </c>
      <c r="BO2" s="1021" t="s">
        <v>43</v>
      </c>
      <c r="BP2" s="1021" t="s">
        <v>44</v>
      </c>
      <c r="BQ2" s="1021" t="s">
        <v>46</v>
      </c>
      <c r="BR2" s="1022" t="s">
        <v>47</v>
      </c>
      <c r="BS2" s="1022" t="s">
        <v>48</v>
      </c>
      <c r="BT2" s="1023" t="s">
        <v>49</v>
      </c>
      <c r="BU2" s="1023" t="s">
        <v>50</v>
      </c>
      <c r="BV2" s="1022" t="s">
        <v>131</v>
      </c>
      <c r="BW2" s="1022" t="s">
        <v>132</v>
      </c>
      <c r="BX2" s="1024" t="s">
        <v>172</v>
      </c>
      <c r="BY2" s="1024" t="s">
        <v>173</v>
      </c>
      <c r="BZ2" s="1025" t="s">
        <v>216</v>
      </c>
      <c r="CA2" s="1025" t="s">
        <v>217</v>
      </c>
    </row>
    <row r="3" spans="1:79" ht="90.75" thickBot="1" x14ac:dyDescent="0.3">
      <c r="A3" s="1032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1024" t="s">
        <v>120</v>
      </c>
      <c r="BY3" s="1024" t="s">
        <v>174</v>
      </c>
      <c r="BZ3" s="1025" t="s">
        <v>120</v>
      </c>
      <c r="CA3" s="1025" t="s">
        <v>222</v>
      </c>
    </row>
    <row r="4" spans="1:79" ht="29.25" thickBot="1" x14ac:dyDescent="0.3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1035">
        <v>28960</v>
      </c>
      <c r="Q4" s="438">
        <f>SUM(T4,X4,AB4,AS4,AX4,BA4)</f>
        <v>8.815491071428573</v>
      </c>
      <c r="R4" s="438">
        <f>SUM(U4,Y4,AC4,AI4,AT4,BB4)</f>
        <v>6.5610727678571426</v>
      </c>
      <c r="S4" s="438">
        <f>SUM(V4,Z4,AD4,AJ4,AU4)</f>
        <v>3.2926979910714289</v>
      </c>
      <c r="T4" s="453">
        <f>S17</f>
        <v>3.711785714285714</v>
      </c>
      <c r="U4" s="453">
        <f>T4/100*70</f>
        <v>2.5982499999999997</v>
      </c>
      <c r="V4" s="453">
        <f>T4/100*30</f>
        <v>1.1135357142857143</v>
      </c>
      <c r="W4" s="453">
        <v>0</v>
      </c>
      <c r="X4" s="454">
        <f>S18</f>
        <v>2.7838392857142855</v>
      </c>
      <c r="Y4" s="454">
        <f>X4/100*70</f>
        <v>1.9486874999999999</v>
      </c>
      <c r="Z4" s="454">
        <f>X4/100*30</f>
        <v>0.83515178571428572</v>
      </c>
      <c r="AA4" s="454">
        <v>0</v>
      </c>
      <c r="AB4" s="455">
        <f>S19</f>
        <v>0.46397321428571425</v>
      </c>
      <c r="AC4" s="455">
        <f>AB4/100*70</f>
        <v>0.32478124999999997</v>
      </c>
      <c r="AD4" s="455">
        <f>AB4/100*30</f>
        <v>0.13919196428571429</v>
      </c>
      <c r="AE4" s="877">
        <v>2</v>
      </c>
      <c r="AF4" s="878">
        <v>500</v>
      </c>
      <c r="AG4" s="878">
        <v>0</v>
      </c>
      <c r="AH4" s="878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1.3919196428571428</v>
      </c>
      <c r="AT4" s="457">
        <f>AS4/100*90</f>
        <v>1.2527276785714285</v>
      </c>
      <c r="AU4" s="457">
        <f>AT4/100*85</f>
        <v>1.0648185267857142</v>
      </c>
      <c r="AV4" s="457">
        <v>0</v>
      </c>
      <c r="AW4" s="457">
        <v>0</v>
      </c>
      <c r="AX4" s="458">
        <f>S22</f>
        <v>0.18558928571428571</v>
      </c>
      <c r="AY4" s="469">
        <v>4</v>
      </c>
      <c r="AZ4" s="459" t="s">
        <v>65</v>
      </c>
      <c r="BA4" s="460">
        <f>S23</f>
        <v>0.27838392857142857</v>
      </c>
      <c r="BB4" s="458">
        <f>BA4/100*85</f>
        <v>0.23662633928571428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1.1135357142857143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1034" t="s">
        <v>67</v>
      </c>
      <c r="CA4" s="1034" t="s">
        <v>223</v>
      </c>
    </row>
    <row r="5" spans="1:79" ht="29.25" thickBot="1" x14ac:dyDescent="0.3">
      <c r="A5" s="50">
        <v>50</v>
      </c>
      <c r="B5" s="1033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9.2209374999999998</v>
      </c>
      <c r="R5" s="438">
        <f>SUM(U5,Y5,AC5,AI5,AT5,BB5)</f>
        <v>6.8536343750000013</v>
      </c>
      <c r="S5" s="438">
        <f>SUM(V5,Z5,AD5,AJ5,AU5)</f>
        <v>3.4376984375000004</v>
      </c>
      <c r="T5" s="453">
        <f>X17</f>
        <v>3.8825000000000003</v>
      </c>
      <c r="U5" s="453">
        <f>T5/100*70</f>
        <v>2.7177500000000006</v>
      </c>
      <c r="V5" s="453">
        <f>T5/100*30</f>
        <v>1.1647500000000002</v>
      </c>
      <c r="W5" s="345">
        <v>0</v>
      </c>
      <c r="X5" s="454">
        <f>X18</f>
        <v>2.9118750000000002</v>
      </c>
      <c r="Y5" s="454">
        <f>X5/100*70</f>
        <v>2.0383125</v>
      </c>
      <c r="Z5" s="454">
        <f>X5/100*30</f>
        <v>0.87356250000000002</v>
      </c>
      <c r="AA5" s="346">
        <v>0</v>
      </c>
      <c r="AB5" s="455">
        <f>X19</f>
        <v>0.48531250000000004</v>
      </c>
      <c r="AC5" s="455">
        <f>AB5/100*70</f>
        <v>0.33971875000000007</v>
      </c>
      <c r="AD5" s="455">
        <f>AB5/100*30</f>
        <v>0.14559375000000002</v>
      </c>
      <c r="AE5" s="877">
        <v>0</v>
      </c>
      <c r="AF5" s="878">
        <v>0</v>
      </c>
      <c r="AG5" s="878">
        <v>0</v>
      </c>
      <c r="AH5" s="878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1.4559375000000001</v>
      </c>
      <c r="AT5" s="457">
        <f>AS5/100*90</f>
        <v>1.3103437500000001</v>
      </c>
      <c r="AU5" s="457">
        <f>AT5/100*85</f>
        <v>1.1137921875000001</v>
      </c>
      <c r="AV5" s="349">
        <v>0</v>
      </c>
      <c r="AW5" s="349">
        <v>0</v>
      </c>
      <c r="AX5" s="458">
        <f>X22</f>
        <v>0.19412500000000002</v>
      </c>
      <c r="AY5" s="350">
        <v>1</v>
      </c>
      <c r="AZ5" s="459" t="s">
        <v>65</v>
      </c>
      <c r="BA5" s="458">
        <f>X23</f>
        <v>0.29118750000000004</v>
      </c>
      <c r="BB5" s="824">
        <f>BA5/100*85</f>
        <v>0.24750937500000003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1.1647500000000002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1034" t="s">
        <v>67</v>
      </c>
      <c r="CA5" s="1034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28.5" x14ac:dyDescent="0.25">
      <c r="A7" s="50">
        <v>60</v>
      </c>
      <c r="B7" s="1033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1036">
        <f t="shared" si="0"/>
        <v>28960</v>
      </c>
      <c r="Q7" s="394">
        <f>SUM(T7,X7,AB7,AS7,AX7,BA7)</f>
        <v>264.46473214285714</v>
      </c>
      <c r="R7" s="394">
        <f>SUM(U7,Y7,AC7,AI7,AT7,BB7)</f>
        <v>196.83218303571425</v>
      </c>
      <c r="S7" s="394">
        <f>SUM(V7,Z7,AD7,AJ7,AU7)</f>
        <v>98.780939732142855</v>
      </c>
      <c r="T7" s="527">
        <f>T4*30</f>
        <v>111.35357142857143</v>
      </c>
      <c r="U7" s="527">
        <f t="shared" ref="U7:AD8" si="1">U4*30</f>
        <v>77.947499999999991</v>
      </c>
      <c r="V7" s="527">
        <f t="shared" si="1"/>
        <v>33.40607142857143</v>
      </c>
      <c r="W7" s="527">
        <f t="shared" si="1"/>
        <v>0</v>
      </c>
      <c r="X7" s="527">
        <f t="shared" si="1"/>
        <v>83.515178571428564</v>
      </c>
      <c r="Y7" s="527">
        <f t="shared" si="1"/>
        <v>58.460625</v>
      </c>
      <c r="Z7" s="527">
        <f t="shared" si="1"/>
        <v>25.054553571428571</v>
      </c>
      <c r="AA7" s="527">
        <f t="shared" si="1"/>
        <v>0</v>
      </c>
      <c r="AB7" s="527">
        <f t="shared" si="1"/>
        <v>13.919196428571428</v>
      </c>
      <c r="AC7" s="527">
        <f t="shared" si="1"/>
        <v>9.7434374999999989</v>
      </c>
      <c r="AD7" s="527">
        <f t="shared" si="1"/>
        <v>4.1757589285714287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41.757589285714282</v>
      </c>
      <c r="AT7" s="682">
        <f t="shared" ref="AT7:BB8" si="2">AT4*30</f>
        <v>37.581830357142856</v>
      </c>
      <c r="AU7" s="682">
        <f t="shared" si="2"/>
        <v>31.944555803571426</v>
      </c>
      <c r="AV7" s="682">
        <f t="shared" si="2"/>
        <v>0</v>
      </c>
      <c r="AW7" s="682">
        <f t="shared" si="2"/>
        <v>0</v>
      </c>
      <c r="AX7" s="682">
        <f t="shared" si="2"/>
        <v>5.567678571428571</v>
      </c>
      <c r="AY7" s="682">
        <f t="shared" si="2"/>
        <v>120</v>
      </c>
      <c r="AZ7" s="682" t="e">
        <f t="shared" si="2"/>
        <v>#VALUE!</v>
      </c>
      <c r="BA7" s="682">
        <f t="shared" si="2"/>
        <v>8.3515178571428574</v>
      </c>
      <c r="BB7" s="682">
        <f t="shared" si="2"/>
        <v>7.098790178571428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1034" t="s">
        <v>67</v>
      </c>
      <c r="CA7" s="1034" t="s">
        <v>223</v>
      </c>
    </row>
    <row r="8" spans="1:79" ht="28.5" x14ac:dyDescent="0.25">
      <c r="A8" s="50">
        <v>50</v>
      </c>
      <c r="B8" s="1033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276.62812500000007</v>
      </c>
      <c r="R8" s="394">
        <f>SUM(U8,Y8,AC8,AI8,AT8,BB8)</f>
        <v>205.60903125000004</v>
      </c>
      <c r="S8" s="394">
        <f>SUM(V8,Z8,AD8,AJ8,AU8)</f>
        <v>103.13095312500002</v>
      </c>
      <c r="T8" s="527">
        <f>T5*30</f>
        <v>116.47500000000001</v>
      </c>
      <c r="U8" s="527">
        <f t="shared" si="1"/>
        <v>81.532500000000013</v>
      </c>
      <c r="V8" s="527">
        <f t="shared" si="1"/>
        <v>34.942500000000003</v>
      </c>
      <c r="W8" s="527">
        <f t="shared" si="1"/>
        <v>0</v>
      </c>
      <c r="X8" s="527">
        <f t="shared" si="1"/>
        <v>87.356250000000003</v>
      </c>
      <c r="Y8" s="527">
        <f t="shared" si="1"/>
        <v>61.149374999999999</v>
      </c>
      <c r="Z8" s="527">
        <f t="shared" si="1"/>
        <v>26.206875</v>
      </c>
      <c r="AA8" s="527">
        <f t="shared" si="1"/>
        <v>0</v>
      </c>
      <c r="AB8" s="527">
        <f t="shared" si="1"/>
        <v>14.559375000000001</v>
      </c>
      <c r="AC8" s="527">
        <f t="shared" si="1"/>
        <v>10.191562500000002</v>
      </c>
      <c r="AD8" s="527">
        <f t="shared" si="1"/>
        <v>4.3678125000000003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43.678125000000001</v>
      </c>
      <c r="AT8" s="682">
        <f t="shared" si="2"/>
        <v>39.310312500000002</v>
      </c>
      <c r="AU8" s="682">
        <f t="shared" si="2"/>
        <v>33.413765625000003</v>
      </c>
      <c r="AV8" s="682">
        <f t="shared" si="2"/>
        <v>0</v>
      </c>
      <c r="AW8" s="682">
        <f t="shared" si="2"/>
        <v>0</v>
      </c>
      <c r="AX8" s="682">
        <f t="shared" si="2"/>
        <v>5.8237500000000004</v>
      </c>
      <c r="AY8" s="682">
        <f t="shared" si="2"/>
        <v>30</v>
      </c>
      <c r="AZ8" s="682" t="e">
        <f t="shared" si="2"/>
        <v>#VALUE!</v>
      </c>
      <c r="BA8" s="682">
        <f t="shared" si="2"/>
        <v>8.7356250000000006</v>
      </c>
      <c r="BB8" s="682">
        <f t="shared" si="2"/>
        <v>7.4252812500000012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1034" t="s">
        <v>67</v>
      </c>
      <c r="CA8" s="1034" t="s">
        <v>224</v>
      </c>
    </row>
    <row r="9" spans="1:79" x14ac:dyDescent="0.25">
      <c r="R9" s="393"/>
      <c r="S9" s="393"/>
    </row>
    <row r="11" spans="1:79" x14ac:dyDescent="0.25">
      <c r="P11" s="1059">
        <v>45809</v>
      </c>
    </row>
    <row r="12" spans="1:79" x14ac:dyDescent="0.25"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1015">
        <v>31179</v>
      </c>
      <c r="T14" s="1015"/>
      <c r="V14" s="1127" t="s">
        <v>192</v>
      </c>
      <c r="W14" s="1128"/>
      <c r="X14" s="1015">
        <v>32613</v>
      </c>
      <c r="Y14" s="1015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1015">
        <v>270</v>
      </c>
      <c r="T15" s="1015" t="s">
        <v>227</v>
      </c>
      <c r="V15" s="1127" t="s">
        <v>193</v>
      </c>
      <c r="W15" s="1128"/>
      <c r="X15" s="1015">
        <v>270</v>
      </c>
      <c r="Y15" s="1015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9.2794642857142851</v>
      </c>
      <c r="T16" s="1015"/>
      <c r="V16" s="1127" t="s">
        <v>195</v>
      </c>
      <c r="W16" s="1128"/>
      <c r="X16" s="596">
        <f>X14*X15/907200</f>
        <v>9.7062500000000007</v>
      </c>
      <c r="Y16" s="1015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3.711785714285714</v>
      </c>
      <c r="T17" s="1015">
        <v>40</v>
      </c>
      <c r="V17" s="1132" t="s">
        <v>9</v>
      </c>
      <c r="W17" s="1133"/>
      <c r="X17" s="592">
        <f>X16/100*40</f>
        <v>3.8825000000000003</v>
      </c>
      <c r="Y17" s="1015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2.7838392857142855</v>
      </c>
      <c r="T18" s="1015">
        <v>30</v>
      </c>
      <c r="V18" s="1132" t="s">
        <v>10</v>
      </c>
      <c r="W18" s="1133"/>
      <c r="X18" s="592">
        <f>X16/100*30</f>
        <v>2.9118750000000002</v>
      </c>
      <c r="Y18" s="1015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0.46397321428571425</v>
      </c>
      <c r="T19" s="1015">
        <v>5</v>
      </c>
      <c r="V19" s="1132" t="s">
        <v>11</v>
      </c>
      <c r="W19" s="1133"/>
      <c r="X19" s="592">
        <f>X16/100*5</f>
        <v>0.48531250000000004</v>
      </c>
      <c r="Y19" s="1015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0.46397321428571425</v>
      </c>
      <c r="T20" s="1015">
        <v>5</v>
      </c>
      <c r="V20" s="1132" t="s">
        <v>12</v>
      </c>
      <c r="W20" s="1133"/>
      <c r="X20" s="592">
        <f>X16/100*5</f>
        <v>0.48531250000000004</v>
      </c>
      <c r="Y20" s="1015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1.3919196428571428</v>
      </c>
      <c r="T21" s="1015">
        <v>15</v>
      </c>
      <c r="V21" s="1132" t="s">
        <v>99</v>
      </c>
      <c r="W21" s="1133"/>
      <c r="X21" s="592">
        <f>X16/100*15</f>
        <v>1.4559375000000001</v>
      </c>
      <c r="Y21" s="1015">
        <v>15</v>
      </c>
      <c r="AA21" s="1129">
        <f>AA20*31</f>
        <v>463.94352000000003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0.18558928571428571</v>
      </c>
      <c r="T22" s="1015">
        <v>2</v>
      </c>
      <c r="V22" s="1132" t="s">
        <v>100</v>
      </c>
      <c r="W22" s="1133"/>
      <c r="X22" s="592">
        <f>X16/100*2</f>
        <v>0.19412500000000002</v>
      </c>
      <c r="Y22" s="1015">
        <v>2</v>
      </c>
      <c r="AA22" s="1129">
        <f>AA21/100*2</f>
        <v>9.2788704000000006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0.27838392857142857</v>
      </c>
      <c r="T23" s="1015">
        <v>3</v>
      </c>
      <c r="V23" s="1132" t="s">
        <v>101</v>
      </c>
      <c r="W23" s="1133"/>
      <c r="X23" s="592">
        <f>X16/100*3</f>
        <v>0.29118750000000004</v>
      </c>
      <c r="Y23" s="1015">
        <v>3</v>
      </c>
    </row>
    <row r="24" spans="17:35" x14ac:dyDescent="0.25">
      <c r="Q24" s="1140" t="s">
        <v>89</v>
      </c>
      <c r="R24" s="1141"/>
      <c r="S24" s="596">
        <f>SUM(S17:S23)</f>
        <v>9.2794642857142868</v>
      </c>
      <c r="T24" s="1015">
        <f>SUM(T17:T23)</f>
        <v>100</v>
      </c>
      <c r="V24" s="1140" t="s">
        <v>89</v>
      </c>
      <c r="W24" s="1141"/>
      <c r="X24" s="596">
        <f>SUM(X17:X23)</f>
        <v>9.7062500000000007</v>
      </c>
      <c r="Y24" s="1015">
        <f>SUM(Y17:Y23)</f>
        <v>100</v>
      </c>
      <c r="AA24">
        <v>0.12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1020"/>
      <c r="AH29" s="1020"/>
    </row>
    <row r="30" spans="17:35" x14ac:dyDescent="0.25">
      <c r="R30" s="1147" t="s">
        <v>86</v>
      </c>
      <c r="S30" s="1147"/>
      <c r="T30" s="1148">
        <f>U7</f>
        <v>77.947499999999991</v>
      </c>
      <c r="U30" s="1148"/>
      <c r="V30" s="1148">
        <f>V7</f>
        <v>33.40607142857143</v>
      </c>
      <c r="W30" s="1148"/>
      <c r="X30" s="393"/>
      <c r="AA30" s="1147" t="s">
        <v>86</v>
      </c>
      <c r="AB30" s="1147"/>
      <c r="AC30" s="1148">
        <f>U8</f>
        <v>81.532500000000013</v>
      </c>
      <c r="AD30" s="1148"/>
      <c r="AE30" s="1148">
        <f>V8</f>
        <v>34.942500000000003</v>
      </c>
      <c r="AF30" s="1148"/>
      <c r="AG30" s="1019"/>
      <c r="AH30" s="1019"/>
    </row>
    <row r="31" spans="17:35" x14ac:dyDescent="0.25">
      <c r="R31" s="1147" t="s">
        <v>87</v>
      </c>
      <c r="S31" s="1147"/>
      <c r="T31" s="1148">
        <f>Y7</f>
        <v>58.460625</v>
      </c>
      <c r="U31" s="1148"/>
      <c r="V31" s="1148">
        <f>Z7</f>
        <v>25.054553571428571</v>
      </c>
      <c r="W31" s="1148"/>
      <c r="X31" s="393"/>
      <c r="AA31" s="1147" t="s">
        <v>87</v>
      </c>
      <c r="AB31" s="1147"/>
      <c r="AC31" s="1148">
        <f>Y8</f>
        <v>61.149374999999999</v>
      </c>
      <c r="AD31" s="1148"/>
      <c r="AE31" s="1148">
        <f>Z8</f>
        <v>26.206875</v>
      </c>
      <c r="AF31" s="1148"/>
      <c r="AG31" s="1019"/>
      <c r="AH31" s="1019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1018"/>
      <c r="AH32" s="1018"/>
    </row>
    <row r="33" spans="18:34" x14ac:dyDescent="0.25">
      <c r="R33" s="1147" t="s">
        <v>202</v>
      </c>
      <c r="S33" s="1147"/>
      <c r="T33" s="1151">
        <v>8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1018"/>
      <c r="AH33" s="1018"/>
    </row>
    <row r="34" spans="18:34" x14ac:dyDescent="0.25">
      <c r="R34" s="1147" t="s">
        <v>90</v>
      </c>
      <c r="S34" s="1147"/>
      <c r="T34" s="1153">
        <f>T35-T32-T33</f>
        <v>44.424058035714282</v>
      </c>
      <c r="U34" s="1154"/>
      <c r="V34" s="1153">
        <f>V35-V32-V33</f>
        <v>35.320314732142855</v>
      </c>
      <c r="W34" s="1154"/>
      <c r="AA34" s="1155" t="s">
        <v>90</v>
      </c>
      <c r="AB34" s="1156"/>
      <c r="AC34" s="1153">
        <f>AC35-AC32-AC33</f>
        <v>52.92715625000001</v>
      </c>
      <c r="AD34" s="1157"/>
      <c r="AE34" s="1153">
        <f>AE35-AE33-AE32</f>
        <v>36.981578125000006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60.424058035714282</v>
      </c>
      <c r="U35" s="1162"/>
      <c r="V35" s="1161">
        <f>SUM(AD7,AJ7,AU7)</f>
        <v>40.320314732142855</v>
      </c>
      <c r="W35" s="1162"/>
      <c r="AA35" s="1147" t="s">
        <v>90</v>
      </c>
      <c r="AB35" s="1147"/>
      <c r="AC35" s="1161">
        <f>SUM(AC8,AI8,AT8,BB8)</f>
        <v>62.92715625000001</v>
      </c>
      <c r="AD35" s="1162"/>
      <c r="AE35" s="1161">
        <f>SUM(AD8,AJ8,AU8)</f>
        <v>41.981578125000006</v>
      </c>
      <c r="AF35" s="1162"/>
      <c r="AG35" s="1017"/>
      <c r="AH35" s="1017"/>
    </row>
    <row r="36" spans="18:34" x14ac:dyDescent="0.25">
      <c r="R36" s="1159"/>
      <c r="S36" s="1159"/>
      <c r="T36" s="1160">
        <f>SUM(T30:U34)</f>
        <v>196.83218303571425</v>
      </c>
      <c r="U36" s="1160"/>
      <c r="V36" s="1160">
        <f>SUM(V30,V31,V32,V33,V34)</f>
        <v>98.780939732142855</v>
      </c>
      <c r="W36" s="1160"/>
      <c r="X36" s="393"/>
      <c r="AA36" s="1159"/>
      <c r="AB36" s="1159"/>
      <c r="AC36" s="1160">
        <f>SUM(AC30:AD34)</f>
        <v>205.60903125000004</v>
      </c>
      <c r="AD36" s="1160"/>
      <c r="AE36" s="1160">
        <f>SUM(AE30,AE31,AE32,AE33,AE34)</f>
        <v>103.13095312500002</v>
      </c>
      <c r="AF36" s="1160"/>
      <c r="AG36" s="1016"/>
      <c r="AH36" s="1016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98.780939732142855</v>
      </c>
      <c r="X38" s="393"/>
    </row>
    <row r="44" spans="18:34" x14ac:dyDescent="0.25">
      <c r="T44" s="619"/>
      <c r="U44" s="854"/>
      <c r="V44" s="854"/>
      <c r="W44" s="854"/>
      <c r="X44" s="854"/>
    </row>
    <row r="45" spans="18:34" x14ac:dyDescent="0.25">
      <c r="T45" s="619"/>
      <c r="U45" s="854"/>
      <c r="V45" s="854"/>
      <c r="W45" s="854"/>
      <c r="X45" s="854"/>
      <c r="AC45" s="924" t="s">
        <v>203</v>
      </c>
      <c r="AD45" s="925" t="s">
        <v>228</v>
      </c>
      <c r="AE45" s="925" t="s">
        <v>205</v>
      </c>
      <c r="AF45" s="925" t="s">
        <v>206</v>
      </c>
      <c r="AG45" s="924" t="s">
        <v>207</v>
      </c>
    </row>
    <row r="46" spans="18:34" x14ac:dyDescent="0.25">
      <c r="T46" s="619"/>
      <c r="U46" s="854"/>
      <c r="V46" s="854"/>
      <c r="W46" s="854"/>
      <c r="X46" s="854"/>
      <c r="AC46" s="619" t="s">
        <v>90</v>
      </c>
      <c r="AD46" s="854">
        <v>0</v>
      </c>
      <c r="AE46" s="854">
        <v>53</v>
      </c>
      <c r="AF46" s="854">
        <v>37</v>
      </c>
      <c r="AG46" s="854">
        <v>720.28599999999994</v>
      </c>
    </row>
    <row r="47" spans="18:34" x14ac:dyDescent="0.25">
      <c r="T47" s="619"/>
      <c r="U47" s="854"/>
      <c r="V47" s="854"/>
      <c r="W47" s="854"/>
      <c r="X47" s="854"/>
      <c r="AC47" s="619" t="s">
        <v>86</v>
      </c>
      <c r="AD47" s="854">
        <v>0</v>
      </c>
      <c r="AE47" s="854">
        <v>82</v>
      </c>
      <c r="AF47" s="854">
        <v>35</v>
      </c>
      <c r="AG47" s="854">
        <v>2.7</v>
      </c>
    </row>
    <row r="48" spans="18:34" x14ac:dyDescent="0.25">
      <c r="T48" s="619"/>
      <c r="U48" s="854"/>
      <c r="V48" s="854"/>
      <c r="W48" s="854"/>
      <c r="X48" s="854"/>
      <c r="AC48" s="619" t="s">
        <v>87</v>
      </c>
      <c r="AD48" s="854">
        <v>0</v>
      </c>
      <c r="AE48" s="854">
        <v>61</v>
      </c>
      <c r="AF48" s="854">
        <v>26</v>
      </c>
      <c r="AG48" s="854">
        <v>1.7</v>
      </c>
    </row>
    <row r="49" spans="20:33" x14ac:dyDescent="0.25">
      <c r="T49" s="619"/>
      <c r="U49" s="854"/>
      <c r="V49" s="854"/>
      <c r="W49" s="854"/>
      <c r="X49" s="854"/>
      <c r="AC49" s="619" t="s">
        <v>201</v>
      </c>
      <c r="AD49" s="854">
        <v>0</v>
      </c>
      <c r="AE49" s="854">
        <v>7</v>
      </c>
      <c r="AF49" s="854">
        <v>5</v>
      </c>
      <c r="AG49" s="854">
        <v>0.08</v>
      </c>
    </row>
    <row r="50" spans="20:33" x14ac:dyDescent="0.25">
      <c r="T50" s="901"/>
      <c r="U50" s="901"/>
      <c r="V50" s="901"/>
      <c r="W50" s="901"/>
      <c r="X50" s="901"/>
      <c r="AC50" s="619" t="s">
        <v>202</v>
      </c>
      <c r="AD50" s="854">
        <v>0</v>
      </c>
      <c r="AE50" s="854">
        <v>3</v>
      </c>
      <c r="AF50" s="854">
        <v>0</v>
      </c>
      <c r="AG50" s="854">
        <v>0.05</v>
      </c>
    </row>
    <row r="51" spans="20:33" x14ac:dyDescent="0.25">
      <c r="W51" s="854"/>
      <c r="AD51">
        <f>SUM(AD46:AD50)</f>
        <v>0</v>
      </c>
      <c r="AE51">
        <f t="shared" ref="AE51:AG51" si="3">SUM(AE46:AE50)</f>
        <v>206</v>
      </c>
      <c r="AF51">
        <f t="shared" si="3"/>
        <v>103</v>
      </c>
      <c r="AG51">
        <f t="shared" si="3"/>
        <v>724.81600000000003</v>
      </c>
    </row>
    <row r="52" spans="20:33" x14ac:dyDescent="0.25">
      <c r="W52" s="854"/>
      <c r="AE52" s="393">
        <f>R7</f>
        <v>196.83218303571425</v>
      </c>
      <c r="AF52" s="393">
        <f>S7</f>
        <v>98.780939732142855</v>
      </c>
      <c r="AG52" t="s">
        <v>163</v>
      </c>
    </row>
    <row r="53" spans="20:33" x14ac:dyDescent="0.25">
      <c r="AE53" s="393">
        <f>R8</f>
        <v>205.60903125000004</v>
      </c>
      <c r="AF53" s="393">
        <f>S8</f>
        <v>103.13095312500002</v>
      </c>
      <c r="AG53" t="s">
        <v>237</v>
      </c>
    </row>
    <row r="54" spans="20:33" x14ac:dyDescent="0.25">
      <c r="X54" t="s">
        <v>236</v>
      </c>
    </row>
  </sheetData>
  <mergeCells count="124"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4"/>
  <sheetViews>
    <sheetView topLeftCell="P31" workbookViewId="0">
      <selection activeCell="AC45" sqref="AC45:AG50"/>
    </sheetView>
  </sheetViews>
  <sheetFormatPr defaultRowHeight="15" x14ac:dyDescent="0.25"/>
  <cols>
    <col min="2" max="2" width="17.85546875" customWidth="1"/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1037" t="s">
        <v>17</v>
      </c>
      <c r="R2" s="1037" t="s">
        <v>18</v>
      </c>
      <c r="S2" s="1037" t="s">
        <v>19</v>
      </c>
      <c r="T2" s="1038" t="s">
        <v>20</v>
      </c>
      <c r="U2" s="1038" t="s">
        <v>21</v>
      </c>
      <c r="V2" s="1038" t="s">
        <v>22</v>
      </c>
      <c r="W2" s="1038">
        <v>45</v>
      </c>
      <c r="X2" s="1039" t="s">
        <v>24</v>
      </c>
      <c r="Y2" s="1039" t="s">
        <v>25</v>
      </c>
      <c r="Z2" s="1039" t="s">
        <v>26</v>
      </c>
      <c r="AA2" s="1039" t="s">
        <v>27</v>
      </c>
      <c r="AB2" s="1040" t="s">
        <v>28</v>
      </c>
      <c r="AC2" s="1040" t="s">
        <v>29</v>
      </c>
      <c r="AD2" s="1040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1045" t="s">
        <v>31</v>
      </c>
      <c r="AJ2" s="1045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1046" t="s">
        <v>102</v>
      </c>
      <c r="AT2" s="1046" t="s">
        <v>103</v>
      </c>
      <c r="AU2" s="1046" t="s">
        <v>104</v>
      </c>
      <c r="AV2" s="1046" t="s">
        <v>105</v>
      </c>
      <c r="AW2" s="1046" t="s">
        <v>106</v>
      </c>
      <c r="AX2" s="1047" t="s">
        <v>107</v>
      </c>
      <c r="AY2" s="1047" t="s">
        <v>108</v>
      </c>
      <c r="AZ2" s="1047" t="s">
        <v>109</v>
      </c>
      <c r="BA2" s="1047" t="s">
        <v>110</v>
      </c>
      <c r="BB2" s="1047" t="s">
        <v>111</v>
      </c>
      <c r="BC2" s="1047" t="s">
        <v>112</v>
      </c>
      <c r="BD2" s="1047" t="s">
        <v>113</v>
      </c>
      <c r="BE2" s="1047" t="s">
        <v>114</v>
      </c>
      <c r="BF2" s="1047" t="s">
        <v>115</v>
      </c>
      <c r="BG2" s="729" t="s">
        <v>116</v>
      </c>
      <c r="BH2" s="730" t="s">
        <v>117</v>
      </c>
      <c r="BI2" s="1047" t="s">
        <v>118</v>
      </c>
      <c r="BJ2" s="1048" t="s">
        <v>14</v>
      </c>
      <c r="BK2" s="1048" t="s">
        <v>167</v>
      </c>
      <c r="BL2" s="1048" t="s">
        <v>39</v>
      </c>
      <c r="BM2" s="1048" t="s">
        <v>40</v>
      </c>
      <c r="BN2" s="1048" t="s">
        <v>41</v>
      </c>
      <c r="BO2" s="1048" t="s">
        <v>43</v>
      </c>
      <c r="BP2" s="1048" t="s">
        <v>44</v>
      </c>
      <c r="BQ2" s="1048" t="s">
        <v>46</v>
      </c>
      <c r="BR2" s="1042" t="s">
        <v>47</v>
      </c>
      <c r="BS2" s="1042" t="s">
        <v>48</v>
      </c>
      <c r="BT2" s="1046" t="s">
        <v>49</v>
      </c>
      <c r="BU2" s="1046" t="s">
        <v>50</v>
      </c>
      <c r="BV2" s="1042" t="s">
        <v>131</v>
      </c>
      <c r="BW2" s="1042" t="s">
        <v>132</v>
      </c>
      <c r="BX2" s="1043" t="s">
        <v>172</v>
      </c>
      <c r="BY2" s="1043" t="s">
        <v>173</v>
      </c>
      <c r="BZ2" s="1044" t="s">
        <v>216</v>
      </c>
      <c r="CA2" s="1044" t="s">
        <v>217</v>
      </c>
    </row>
    <row r="3" spans="1:79" ht="90.75" thickBot="1" x14ac:dyDescent="0.3">
      <c r="A3" s="1041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1043" t="s">
        <v>120</v>
      </c>
      <c r="BY3" s="1043" t="s">
        <v>174</v>
      </c>
      <c r="BZ3" s="1044" t="s">
        <v>120</v>
      </c>
      <c r="CA3" s="1044" t="s">
        <v>222</v>
      </c>
    </row>
    <row r="4" spans="1:79" ht="29.25" thickBot="1" x14ac:dyDescent="0.3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1057">
        <v>28960</v>
      </c>
      <c r="Q4" s="438">
        <f>SUM(T4,X4,AB4,AS4,AX4,BA4)</f>
        <v>8.9787409060846581</v>
      </c>
      <c r="R4" s="438">
        <f>SUM(U4,Y4,AC4,AI4,AT4,BB4)</f>
        <v>6.6788704117063498</v>
      </c>
      <c r="S4" s="438">
        <f>SUM(V4,Z4,AD4,AJ4,AU4)</f>
        <v>3.3510812872023812</v>
      </c>
      <c r="T4" s="453">
        <f>S17</f>
        <v>3.7805224867724867</v>
      </c>
      <c r="U4" s="453">
        <f>T4/100*70</f>
        <v>2.646365740740741</v>
      </c>
      <c r="V4" s="453">
        <f>T4/100*30</f>
        <v>1.1341567460317461</v>
      </c>
      <c r="W4" s="453">
        <v>0</v>
      </c>
      <c r="X4" s="454">
        <f>S18</f>
        <v>2.835391865079365</v>
      </c>
      <c r="Y4" s="454">
        <f>X4/100*70</f>
        <v>1.9847743055555556</v>
      </c>
      <c r="Z4" s="454">
        <f>X4/100*30</f>
        <v>0.85061755952380946</v>
      </c>
      <c r="AA4" s="454">
        <v>0</v>
      </c>
      <c r="AB4" s="455">
        <f>S19</f>
        <v>0.47256531084656084</v>
      </c>
      <c r="AC4" s="455">
        <f>AB4/100*70</f>
        <v>0.33079571759259263</v>
      </c>
      <c r="AD4" s="455">
        <f>AB4/100*30</f>
        <v>0.14176959325396826</v>
      </c>
      <c r="AE4" s="877">
        <v>2</v>
      </c>
      <c r="AF4" s="878">
        <v>500</v>
      </c>
      <c r="AG4" s="878">
        <v>0</v>
      </c>
      <c r="AH4" s="878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1.4176959325396825</v>
      </c>
      <c r="AT4" s="457">
        <f>AS4/100*90</f>
        <v>1.2759263392857143</v>
      </c>
      <c r="AU4" s="457">
        <f>AT4/100*85</f>
        <v>1.0845373883928571</v>
      </c>
      <c r="AV4" s="457">
        <v>0</v>
      </c>
      <c r="AW4" s="457">
        <v>0</v>
      </c>
      <c r="AX4" s="458">
        <f>S22</f>
        <v>0.18902612433862434</v>
      </c>
      <c r="AY4" s="469">
        <v>4</v>
      </c>
      <c r="AZ4" s="459" t="s">
        <v>65</v>
      </c>
      <c r="BA4" s="460">
        <f>S23</f>
        <v>0.28353918650793652</v>
      </c>
      <c r="BB4" s="458">
        <f>BA4/100*85</f>
        <v>0.24100830853174607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1.1341567460317461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1056" t="s">
        <v>67</v>
      </c>
      <c r="CA4" s="1056" t="s">
        <v>223</v>
      </c>
    </row>
    <row r="5" spans="1:79" ht="29.25" thickBot="1" x14ac:dyDescent="0.3">
      <c r="A5" s="50">
        <v>50</v>
      </c>
      <c r="B5" s="1055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9.3916956018518523</v>
      </c>
      <c r="R5" s="438">
        <f>SUM(U5,Y5,AC5,AI5,AT5,BB5)</f>
        <v>6.9768498263888894</v>
      </c>
      <c r="S5" s="438">
        <f>SUM(V5,Z5,AD5,AJ5,AU5)</f>
        <v>3.4987669270833335</v>
      </c>
      <c r="T5" s="453">
        <f>X17</f>
        <v>3.9543981481481483</v>
      </c>
      <c r="U5" s="453">
        <f>T5/100*70</f>
        <v>2.7680787037037038</v>
      </c>
      <c r="V5" s="453">
        <f>T5/100*30</f>
        <v>1.1863194444444445</v>
      </c>
      <c r="W5" s="345">
        <v>0</v>
      </c>
      <c r="X5" s="454">
        <f>X18</f>
        <v>2.9657986111111114</v>
      </c>
      <c r="Y5" s="454">
        <f>X5/100*70</f>
        <v>2.0760590277777782</v>
      </c>
      <c r="Z5" s="454">
        <f>X5/100*30</f>
        <v>0.88973958333333347</v>
      </c>
      <c r="AA5" s="346">
        <v>0</v>
      </c>
      <c r="AB5" s="455">
        <f>X19</f>
        <v>0.49429976851851853</v>
      </c>
      <c r="AC5" s="455">
        <f>AB5/100*70</f>
        <v>0.34600983796296297</v>
      </c>
      <c r="AD5" s="455">
        <f>AB5/100*30</f>
        <v>0.14828993055555556</v>
      </c>
      <c r="AE5" s="877">
        <v>0</v>
      </c>
      <c r="AF5" s="878">
        <v>0</v>
      </c>
      <c r="AG5" s="878">
        <v>0</v>
      </c>
      <c r="AH5" s="878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1.4828993055555557</v>
      </c>
      <c r="AT5" s="457">
        <f>AS5/100*90</f>
        <v>1.3346093750000001</v>
      </c>
      <c r="AU5" s="457">
        <f>AT5/100*85</f>
        <v>1.13441796875</v>
      </c>
      <c r="AV5" s="349">
        <v>0</v>
      </c>
      <c r="AW5" s="349">
        <v>0</v>
      </c>
      <c r="AX5" s="458">
        <f>X22</f>
        <v>0.19771990740740741</v>
      </c>
      <c r="AY5" s="350">
        <v>1</v>
      </c>
      <c r="AZ5" s="459" t="s">
        <v>65</v>
      </c>
      <c r="BA5" s="458">
        <f>X23</f>
        <v>0.29657986111111112</v>
      </c>
      <c r="BB5" s="824">
        <f>BA5/100*85</f>
        <v>0.25209288194444446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1.1863194444444445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1056" t="s">
        <v>67</v>
      </c>
      <c r="CA5" s="1056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28.5" x14ac:dyDescent="0.25">
      <c r="A7" s="50">
        <v>60</v>
      </c>
      <c r="B7" s="1055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1058">
        <f t="shared" si="0"/>
        <v>28960</v>
      </c>
      <c r="Q7" s="394">
        <f>SUM(T7,X7,AB7,AS7,AX7,BA7)</f>
        <v>269.3622271825397</v>
      </c>
      <c r="R7" s="394">
        <f>SUM(U7,Y7,AC7,AI7,AT7,BB7)</f>
        <v>200.36611235119048</v>
      </c>
      <c r="S7" s="394">
        <f>SUM(V7,Z7,AD7,AJ7,AU7)</f>
        <v>100.53243861607143</v>
      </c>
      <c r="T7" s="527">
        <f>T4*30</f>
        <v>113.41567460317461</v>
      </c>
      <c r="U7" s="527">
        <f t="shared" ref="U7:AD8" si="1">U4*30</f>
        <v>79.390972222222231</v>
      </c>
      <c r="V7" s="527">
        <f t="shared" si="1"/>
        <v>34.024702380952384</v>
      </c>
      <c r="W7" s="527">
        <f t="shared" si="1"/>
        <v>0</v>
      </c>
      <c r="X7" s="527">
        <f t="shared" si="1"/>
        <v>85.061755952380949</v>
      </c>
      <c r="Y7" s="527">
        <f t="shared" si="1"/>
        <v>59.54322916666667</v>
      </c>
      <c r="Z7" s="527">
        <f t="shared" si="1"/>
        <v>25.518526785714283</v>
      </c>
      <c r="AA7" s="527">
        <f t="shared" si="1"/>
        <v>0</v>
      </c>
      <c r="AB7" s="527">
        <f t="shared" si="1"/>
        <v>14.176959325396826</v>
      </c>
      <c r="AC7" s="527">
        <f t="shared" si="1"/>
        <v>9.9238715277777789</v>
      </c>
      <c r="AD7" s="527">
        <f t="shared" si="1"/>
        <v>4.253087797619048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42.530877976190474</v>
      </c>
      <c r="AT7" s="682">
        <f t="shared" ref="AT7:BB8" si="2">AT4*30</f>
        <v>38.277790178571429</v>
      </c>
      <c r="AU7" s="682">
        <f t="shared" si="2"/>
        <v>32.536121651785713</v>
      </c>
      <c r="AV7" s="682">
        <f t="shared" si="2"/>
        <v>0</v>
      </c>
      <c r="AW7" s="682">
        <f t="shared" si="2"/>
        <v>0</v>
      </c>
      <c r="AX7" s="682">
        <f t="shared" si="2"/>
        <v>5.6707837301587301</v>
      </c>
      <c r="AY7" s="682">
        <f t="shared" si="2"/>
        <v>120</v>
      </c>
      <c r="AZ7" s="682" t="e">
        <f t="shared" si="2"/>
        <v>#VALUE!</v>
      </c>
      <c r="BA7" s="682">
        <f t="shared" si="2"/>
        <v>8.506175595238096</v>
      </c>
      <c r="BB7" s="682">
        <f t="shared" si="2"/>
        <v>7.2302492559523817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1056" t="s">
        <v>67</v>
      </c>
      <c r="CA7" s="1056" t="s">
        <v>223</v>
      </c>
    </row>
    <row r="8" spans="1:79" ht="28.5" x14ac:dyDescent="0.25">
      <c r="A8" s="50">
        <v>50</v>
      </c>
      <c r="B8" s="1055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281.75086805555554</v>
      </c>
      <c r="R8" s="394">
        <f>SUM(U8,Y8,AC8,AI8,AT8,BB8)</f>
        <v>209.30549479166672</v>
      </c>
      <c r="S8" s="394">
        <f>SUM(V8,Z8,AD8,AJ8,AU8)</f>
        <v>104.9630078125</v>
      </c>
      <c r="T8" s="527">
        <f>T5*30</f>
        <v>118.63194444444444</v>
      </c>
      <c r="U8" s="527">
        <f t="shared" si="1"/>
        <v>83.04236111111112</v>
      </c>
      <c r="V8" s="527">
        <f t="shared" si="1"/>
        <v>35.589583333333337</v>
      </c>
      <c r="W8" s="527">
        <f t="shared" si="1"/>
        <v>0</v>
      </c>
      <c r="X8" s="527">
        <f t="shared" si="1"/>
        <v>88.973958333333343</v>
      </c>
      <c r="Y8" s="527">
        <f t="shared" si="1"/>
        <v>62.281770833333347</v>
      </c>
      <c r="Z8" s="527">
        <f t="shared" si="1"/>
        <v>26.692187500000003</v>
      </c>
      <c r="AA8" s="527">
        <f t="shared" si="1"/>
        <v>0</v>
      </c>
      <c r="AB8" s="527">
        <f t="shared" si="1"/>
        <v>14.828993055555555</v>
      </c>
      <c r="AC8" s="527">
        <f t="shared" si="1"/>
        <v>10.38029513888889</v>
      </c>
      <c r="AD8" s="527">
        <f t="shared" si="1"/>
        <v>4.4486979166666671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44.486979166666671</v>
      </c>
      <c r="AT8" s="682">
        <f t="shared" si="2"/>
        <v>40.038281250000004</v>
      </c>
      <c r="AU8" s="682">
        <f t="shared" si="2"/>
        <v>34.0325390625</v>
      </c>
      <c r="AV8" s="682">
        <f t="shared" si="2"/>
        <v>0</v>
      </c>
      <c r="AW8" s="682">
        <f t="shared" si="2"/>
        <v>0</v>
      </c>
      <c r="AX8" s="682">
        <f t="shared" si="2"/>
        <v>5.9315972222222229</v>
      </c>
      <c r="AY8" s="682">
        <f t="shared" si="2"/>
        <v>30</v>
      </c>
      <c r="AZ8" s="682" t="e">
        <f t="shared" si="2"/>
        <v>#VALUE!</v>
      </c>
      <c r="BA8" s="682">
        <f t="shared" si="2"/>
        <v>8.8973958333333343</v>
      </c>
      <c r="BB8" s="682">
        <f t="shared" si="2"/>
        <v>7.562786458333334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1056" t="s">
        <v>67</v>
      </c>
      <c r="CA8" s="1056" t="s">
        <v>224</v>
      </c>
    </row>
    <row r="9" spans="1:79" x14ac:dyDescent="0.25">
      <c r="R9" s="393"/>
      <c r="S9" s="393"/>
    </row>
    <row r="11" spans="1:79" x14ac:dyDescent="0.25">
      <c r="P11" s="1059">
        <v>45809</v>
      </c>
    </row>
    <row r="12" spans="1:79" x14ac:dyDescent="0.25"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1052">
        <v>31179</v>
      </c>
      <c r="T14" s="1052"/>
      <c r="V14" s="1127" t="s">
        <v>192</v>
      </c>
      <c r="W14" s="1128"/>
      <c r="X14" s="1052">
        <v>32613</v>
      </c>
      <c r="Y14" s="1052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1052">
        <v>275</v>
      </c>
      <c r="T15" s="1052" t="s">
        <v>227</v>
      </c>
      <c r="V15" s="1127" t="s">
        <v>193</v>
      </c>
      <c r="W15" s="1128"/>
      <c r="X15" s="1052">
        <v>275</v>
      </c>
      <c r="Y15" s="1052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9.4513062169312168</v>
      </c>
      <c r="T16" s="1052"/>
      <c r="V16" s="1127" t="s">
        <v>195</v>
      </c>
      <c r="W16" s="1128"/>
      <c r="X16" s="596">
        <f>X14*X15/907200</f>
        <v>9.8859953703703702</v>
      </c>
      <c r="Y16" s="1052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3.7805224867724867</v>
      </c>
      <c r="T17" s="1052">
        <v>40</v>
      </c>
      <c r="V17" s="1132" t="s">
        <v>9</v>
      </c>
      <c r="W17" s="1133"/>
      <c r="X17" s="592">
        <f>X16/100*40</f>
        <v>3.9543981481481483</v>
      </c>
      <c r="Y17" s="1052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2.835391865079365</v>
      </c>
      <c r="T18" s="1052">
        <v>30</v>
      </c>
      <c r="V18" s="1132" t="s">
        <v>10</v>
      </c>
      <c r="W18" s="1133"/>
      <c r="X18" s="592">
        <f>X16/100*30</f>
        <v>2.9657986111111114</v>
      </c>
      <c r="Y18" s="1052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0.47256531084656084</v>
      </c>
      <c r="T19" s="1052">
        <v>5</v>
      </c>
      <c r="V19" s="1132" t="s">
        <v>11</v>
      </c>
      <c r="W19" s="1133"/>
      <c r="X19" s="592">
        <f>X16/100*5</f>
        <v>0.49429976851851853</v>
      </c>
      <c r="Y19" s="1052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0.47256531084656084</v>
      </c>
      <c r="T20" s="1052">
        <v>5</v>
      </c>
      <c r="V20" s="1132" t="s">
        <v>12</v>
      </c>
      <c r="W20" s="1133"/>
      <c r="X20" s="592">
        <f>X16/100*5</f>
        <v>0.49429976851851853</v>
      </c>
      <c r="Y20" s="1052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1.4176959325396825</v>
      </c>
      <c r="T21" s="1052">
        <v>15</v>
      </c>
      <c r="V21" s="1132" t="s">
        <v>99</v>
      </c>
      <c r="W21" s="1133"/>
      <c r="X21" s="592">
        <f>X16/100*15</f>
        <v>1.4828993055555557</v>
      </c>
      <c r="Y21" s="1052">
        <v>15</v>
      </c>
      <c r="AA21" s="1129">
        <f>AA20*31</f>
        <v>463.94352000000003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0.18902612433862434</v>
      </c>
      <c r="T22" s="1052">
        <v>2</v>
      </c>
      <c r="V22" s="1132" t="s">
        <v>100</v>
      </c>
      <c r="W22" s="1133"/>
      <c r="X22" s="592">
        <f>X16/100*2</f>
        <v>0.19771990740740741</v>
      </c>
      <c r="Y22" s="1052">
        <v>2</v>
      </c>
      <c r="AA22" s="1129">
        <f>AA21/100*2</f>
        <v>9.2788704000000006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0.28353918650793652</v>
      </c>
      <c r="T23" s="1052">
        <v>3</v>
      </c>
      <c r="V23" s="1132" t="s">
        <v>101</v>
      </c>
      <c r="W23" s="1133"/>
      <c r="X23" s="592">
        <f>X16/100*3</f>
        <v>0.29657986111111112</v>
      </c>
      <c r="Y23" s="1052">
        <v>3</v>
      </c>
    </row>
    <row r="24" spans="17:35" x14ac:dyDescent="0.25">
      <c r="Q24" s="1140" t="s">
        <v>89</v>
      </c>
      <c r="R24" s="1141"/>
      <c r="S24" s="596">
        <f>SUM(S17:S23)</f>
        <v>9.4513062169312185</v>
      </c>
      <c r="T24" s="1052">
        <f>SUM(T17:T23)</f>
        <v>100</v>
      </c>
      <c r="V24" s="1140" t="s">
        <v>89</v>
      </c>
      <c r="W24" s="1141"/>
      <c r="X24" s="596">
        <f>SUM(X17:X23)</f>
        <v>9.885995370370372</v>
      </c>
      <c r="Y24" s="1052">
        <f>SUM(Y17:Y23)</f>
        <v>100</v>
      </c>
      <c r="AA24">
        <v>0.12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1049"/>
      <c r="AH29" s="1049"/>
    </row>
    <row r="30" spans="17:35" x14ac:dyDescent="0.25">
      <c r="R30" s="1147" t="s">
        <v>86</v>
      </c>
      <c r="S30" s="1147"/>
      <c r="T30" s="1148">
        <f>U7</f>
        <v>79.390972222222231</v>
      </c>
      <c r="U30" s="1148"/>
      <c r="V30" s="1148">
        <f>V7</f>
        <v>34.024702380952384</v>
      </c>
      <c r="W30" s="1148"/>
      <c r="X30" s="393"/>
      <c r="AA30" s="1147" t="s">
        <v>86</v>
      </c>
      <c r="AB30" s="1147"/>
      <c r="AC30" s="1148">
        <f>U8</f>
        <v>83.04236111111112</v>
      </c>
      <c r="AD30" s="1148"/>
      <c r="AE30" s="1148">
        <f>V8</f>
        <v>35.589583333333337</v>
      </c>
      <c r="AF30" s="1148"/>
      <c r="AG30" s="1050"/>
      <c r="AH30" s="1050"/>
    </row>
    <row r="31" spans="17:35" x14ac:dyDescent="0.25">
      <c r="R31" s="1147" t="s">
        <v>87</v>
      </c>
      <c r="S31" s="1147"/>
      <c r="T31" s="1148">
        <f>Y7</f>
        <v>59.54322916666667</v>
      </c>
      <c r="U31" s="1148"/>
      <c r="V31" s="1148">
        <f>Z7</f>
        <v>25.518526785714283</v>
      </c>
      <c r="W31" s="1148"/>
      <c r="X31" s="393"/>
      <c r="AA31" s="1147" t="s">
        <v>87</v>
      </c>
      <c r="AB31" s="1147"/>
      <c r="AC31" s="1148">
        <f>Y8</f>
        <v>62.281770833333347</v>
      </c>
      <c r="AD31" s="1148"/>
      <c r="AE31" s="1148">
        <f>Z8</f>
        <v>26.692187500000003</v>
      </c>
      <c r="AF31" s="1148"/>
      <c r="AG31" s="1050"/>
      <c r="AH31" s="1050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1051"/>
      <c r="AH32" s="1051"/>
    </row>
    <row r="33" spans="18:34" x14ac:dyDescent="0.25">
      <c r="R33" s="1147" t="s">
        <v>202</v>
      </c>
      <c r="S33" s="1147"/>
      <c r="T33" s="1151">
        <v>8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1051"/>
      <c r="AH33" s="1051"/>
    </row>
    <row r="34" spans="18:34" x14ac:dyDescent="0.25">
      <c r="R34" s="1147" t="s">
        <v>90</v>
      </c>
      <c r="S34" s="1147"/>
      <c r="T34" s="1153">
        <f>T35-T32-T33</f>
        <v>45.431910962301586</v>
      </c>
      <c r="U34" s="1154"/>
      <c r="V34" s="1153">
        <f>V35-V32-V33</f>
        <v>35.989209449404761</v>
      </c>
      <c r="W34" s="1154"/>
      <c r="AA34" s="1155" t="s">
        <v>90</v>
      </c>
      <c r="AB34" s="1156"/>
      <c r="AC34" s="1153">
        <f>AC35-AC32-AC33</f>
        <v>53.981362847222229</v>
      </c>
      <c r="AD34" s="1157"/>
      <c r="AE34" s="1153">
        <f>AE35-AE33-AE32</f>
        <v>37.68123697916667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61.431910962301586</v>
      </c>
      <c r="U35" s="1162"/>
      <c r="V35" s="1161">
        <f>SUM(AD7,AJ7,AU7)</f>
        <v>40.989209449404761</v>
      </c>
      <c r="W35" s="1162"/>
      <c r="AA35" s="1147" t="s">
        <v>90</v>
      </c>
      <c r="AB35" s="1147"/>
      <c r="AC35" s="1161">
        <f>SUM(AC8,AI8,AT8,BB8)</f>
        <v>63.981362847222229</v>
      </c>
      <c r="AD35" s="1162"/>
      <c r="AE35" s="1161">
        <f>SUM(AD8,AJ8,AU8)</f>
        <v>42.68123697916667</v>
      </c>
      <c r="AF35" s="1162"/>
      <c r="AG35" s="1054"/>
      <c r="AH35" s="1054"/>
    </row>
    <row r="36" spans="18:34" x14ac:dyDescent="0.25">
      <c r="R36" s="1159"/>
      <c r="S36" s="1159"/>
      <c r="T36" s="1160">
        <f>SUM(T30:U34)</f>
        <v>200.36611235119051</v>
      </c>
      <c r="U36" s="1160"/>
      <c r="V36" s="1160">
        <f>SUM(V30,V31,V32,V33,V34)</f>
        <v>100.53243861607143</v>
      </c>
      <c r="W36" s="1160"/>
      <c r="X36" s="393"/>
      <c r="AA36" s="1159"/>
      <c r="AB36" s="1159"/>
      <c r="AC36" s="1160">
        <f>SUM(AC30:AD34)</f>
        <v>209.30549479166672</v>
      </c>
      <c r="AD36" s="1160"/>
      <c r="AE36" s="1160">
        <f>SUM(AE30,AE31,AE32,AE33,AE34)</f>
        <v>104.96300781250001</v>
      </c>
      <c r="AF36" s="1160"/>
      <c r="AG36" s="1053"/>
      <c r="AH36" s="1053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100.53243861607143</v>
      </c>
      <c r="X38" s="393"/>
    </row>
    <row r="44" spans="18:34" x14ac:dyDescent="0.25">
      <c r="T44" s="619"/>
      <c r="U44" s="854"/>
      <c r="V44" s="854"/>
      <c r="W44" s="854"/>
      <c r="X44" s="854"/>
    </row>
    <row r="45" spans="18:34" x14ac:dyDescent="0.25">
      <c r="T45" s="619"/>
      <c r="U45" s="854"/>
      <c r="V45" s="854"/>
      <c r="W45" s="854"/>
      <c r="X45" s="854"/>
      <c r="AC45" s="924" t="s">
        <v>203</v>
      </c>
      <c r="AD45" s="925" t="s">
        <v>228</v>
      </c>
      <c r="AE45" s="925" t="s">
        <v>205</v>
      </c>
      <c r="AF45" s="925" t="s">
        <v>206</v>
      </c>
      <c r="AG45" s="924" t="s">
        <v>207</v>
      </c>
    </row>
    <row r="46" spans="18:34" x14ac:dyDescent="0.25">
      <c r="T46" s="619"/>
      <c r="U46" s="854"/>
      <c r="V46" s="854"/>
      <c r="W46" s="854"/>
      <c r="X46" s="854"/>
      <c r="AC46" s="619" t="s">
        <v>90</v>
      </c>
      <c r="AD46" s="854">
        <v>0</v>
      </c>
      <c r="AE46" s="854">
        <v>54</v>
      </c>
      <c r="AF46" s="854">
        <v>38</v>
      </c>
      <c r="AG46" s="854">
        <v>720.28599999999994</v>
      </c>
    </row>
    <row r="47" spans="18:34" x14ac:dyDescent="0.25">
      <c r="T47" s="619"/>
      <c r="U47" s="854"/>
      <c r="V47" s="854"/>
      <c r="W47" s="854"/>
      <c r="X47" s="854"/>
      <c r="AC47" s="619" t="s">
        <v>86</v>
      </c>
      <c r="AD47" s="854">
        <v>0</v>
      </c>
      <c r="AE47" s="854">
        <v>83</v>
      </c>
      <c r="AF47" s="854">
        <v>36</v>
      </c>
      <c r="AG47" s="854">
        <v>2.7</v>
      </c>
    </row>
    <row r="48" spans="18:34" x14ac:dyDescent="0.25">
      <c r="T48" s="619"/>
      <c r="U48" s="854"/>
      <c r="V48" s="854"/>
      <c r="W48" s="854"/>
      <c r="X48" s="854"/>
      <c r="AC48" s="619" t="s">
        <v>87</v>
      </c>
      <c r="AD48" s="854">
        <v>0</v>
      </c>
      <c r="AE48" s="854">
        <v>62</v>
      </c>
      <c r="AF48" s="854">
        <v>27</v>
      </c>
      <c r="AG48" s="854">
        <v>1.7</v>
      </c>
    </row>
    <row r="49" spans="20:33" x14ac:dyDescent="0.25">
      <c r="T49" s="619"/>
      <c r="U49" s="854"/>
      <c r="V49" s="854"/>
      <c r="W49" s="854"/>
      <c r="X49" s="854"/>
      <c r="AC49" s="619" t="s">
        <v>201</v>
      </c>
      <c r="AD49" s="854">
        <v>0</v>
      </c>
      <c r="AE49" s="854">
        <v>7</v>
      </c>
      <c r="AF49" s="854">
        <v>5</v>
      </c>
      <c r="AG49" s="854">
        <v>0.08</v>
      </c>
    </row>
    <row r="50" spans="20:33" x14ac:dyDescent="0.25">
      <c r="T50" s="901"/>
      <c r="U50" s="901"/>
      <c r="V50" s="901"/>
      <c r="W50" s="901"/>
      <c r="X50" s="901"/>
      <c r="AC50" s="619" t="s">
        <v>202</v>
      </c>
      <c r="AD50" s="854">
        <v>0</v>
      </c>
      <c r="AE50" s="854">
        <v>3</v>
      </c>
      <c r="AF50" s="854">
        <v>0</v>
      </c>
      <c r="AG50" s="854">
        <v>0.05</v>
      </c>
    </row>
    <row r="51" spans="20:33" x14ac:dyDescent="0.25">
      <c r="W51" s="854"/>
      <c r="AD51">
        <f>SUM(AD46:AD50)</f>
        <v>0</v>
      </c>
      <c r="AE51">
        <f t="shared" ref="AE51:AG51" si="3">SUM(AE46:AE50)</f>
        <v>209</v>
      </c>
      <c r="AF51">
        <f t="shared" si="3"/>
        <v>106</v>
      </c>
      <c r="AG51">
        <f t="shared" si="3"/>
        <v>724.81600000000003</v>
      </c>
    </row>
    <row r="52" spans="20:33" x14ac:dyDescent="0.25">
      <c r="W52" s="854"/>
      <c r="AE52" s="393">
        <f>R7</f>
        <v>200.36611235119048</v>
      </c>
      <c r="AF52" s="393">
        <f>S7</f>
        <v>100.53243861607143</v>
      </c>
      <c r="AG52" t="s">
        <v>163</v>
      </c>
    </row>
    <row r="53" spans="20:33" x14ac:dyDescent="0.25">
      <c r="AE53" s="393">
        <f>R8</f>
        <v>209.30549479166672</v>
      </c>
      <c r="AF53" s="393">
        <f>S8</f>
        <v>104.9630078125</v>
      </c>
      <c r="AG53" t="s">
        <v>237</v>
      </c>
    </row>
    <row r="54" spans="20:33" x14ac:dyDescent="0.25">
      <c r="X54" t="s">
        <v>236</v>
      </c>
    </row>
  </sheetData>
  <mergeCells count="124"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</mergeCells>
  <pageMargins left="0.7" right="0.7" top="0.75" bottom="0.75" header="0.3" footer="0.3"/>
  <pageSetup paperSize="9" orientation="portrait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4"/>
  <sheetViews>
    <sheetView topLeftCell="AD3" workbookViewId="0">
      <selection activeCell="AS5" sqref="AS5:AW5"/>
    </sheetView>
  </sheetViews>
  <sheetFormatPr defaultRowHeight="15" x14ac:dyDescent="0.25"/>
  <cols>
    <col min="2" max="2" width="17.85546875" customWidth="1"/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1073" t="s">
        <v>17</v>
      </c>
      <c r="R2" s="1073" t="s">
        <v>18</v>
      </c>
      <c r="S2" s="1073" t="s">
        <v>19</v>
      </c>
      <c r="T2" s="1074" t="s">
        <v>20</v>
      </c>
      <c r="U2" s="1074" t="s">
        <v>21</v>
      </c>
      <c r="V2" s="1074" t="s">
        <v>22</v>
      </c>
      <c r="W2" s="1074">
        <v>45</v>
      </c>
      <c r="X2" s="1075" t="s">
        <v>24</v>
      </c>
      <c r="Y2" s="1075" t="s">
        <v>25</v>
      </c>
      <c r="Z2" s="1075" t="s">
        <v>26</v>
      </c>
      <c r="AA2" s="1075" t="s">
        <v>27</v>
      </c>
      <c r="AB2" s="1076" t="s">
        <v>28</v>
      </c>
      <c r="AC2" s="1076" t="s">
        <v>29</v>
      </c>
      <c r="AD2" s="1076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1071" t="s">
        <v>31</v>
      </c>
      <c r="AJ2" s="1071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1068" t="s">
        <v>102</v>
      </c>
      <c r="AT2" s="1068" t="s">
        <v>103</v>
      </c>
      <c r="AU2" s="1068" t="s">
        <v>104</v>
      </c>
      <c r="AV2" s="1068" t="s">
        <v>105</v>
      </c>
      <c r="AW2" s="1068" t="s">
        <v>106</v>
      </c>
      <c r="AX2" s="1072" t="s">
        <v>107</v>
      </c>
      <c r="AY2" s="1072" t="s">
        <v>108</v>
      </c>
      <c r="AZ2" s="1072" t="s">
        <v>109</v>
      </c>
      <c r="BA2" s="1072" t="s">
        <v>110</v>
      </c>
      <c r="BB2" s="1072" t="s">
        <v>111</v>
      </c>
      <c r="BC2" s="1072" t="s">
        <v>112</v>
      </c>
      <c r="BD2" s="1072" t="s">
        <v>113</v>
      </c>
      <c r="BE2" s="1072" t="s">
        <v>114</v>
      </c>
      <c r="BF2" s="1072" t="s">
        <v>115</v>
      </c>
      <c r="BG2" s="729" t="s">
        <v>116</v>
      </c>
      <c r="BH2" s="730" t="s">
        <v>117</v>
      </c>
      <c r="BI2" s="1072" t="s">
        <v>118</v>
      </c>
      <c r="BJ2" s="1066" t="s">
        <v>14</v>
      </c>
      <c r="BK2" s="1066" t="s">
        <v>167</v>
      </c>
      <c r="BL2" s="1066" t="s">
        <v>39</v>
      </c>
      <c r="BM2" s="1066" t="s">
        <v>40</v>
      </c>
      <c r="BN2" s="1066" t="s">
        <v>41</v>
      </c>
      <c r="BO2" s="1066" t="s">
        <v>43</v>
      </c>
      <c r="BP2" s="1066" t="s">
        <v>44</v>
      </c>
      <c r="BQ2" s="1066" t="s">
        <v>46</v>
      </c>
      <c r="BR2" s="1067" t="s">
        <v>47</v>
      </c>
      <c r="BS2" s="1067" t="s">
        <v>48</v>
      </c>
      <c r="BT2" s="1068" t="s">
        <v>49</v>
      </c>
      <c r="BU2" s="1068" t="s">
        <v>50</v>
      </c>
      <c r="BV2" s="1067" t="s">
        <v>131</v>
      </c>
      <c r="BW2" s="1067" t="s">
        <v>132</v>
      </c>
      <c r="BX2" s="1069" t="s">
        <v>172</v>
      </c>
      <c r="BY2" s="1069" t="s">
        <v>173</v>
      </c>
      <c r="BZ2" s="1070" t="s">
        <v>216</v>
      </c>
      <c r="CA2" s="1070" t="s">
        <v>217</v>
      </c>
    </row>
    <row r="3" spans="1:79" ht="90.75" thickBot="1" x14ac:dyDescent="0.3">
      <c r="A3" s="1077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1069" t="s">
        <v>120</v>
      </c>
      <c r="BY3" s="1069" t="s">
        <v>174</v>
      </c>
      <c r="BZ3" s="1070" t="s">
        <v>120</v>
      </c>
      <c r="CA3" s="1070" t="s">
        <v>222</v>
      </c>
    </row>
    <row r="4" spans="1:79" ht="29.25" thickBot="1" x14ac:dyDescent="0.3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1080">
        <v>28960</v>
      </c>
      <c r="Q4" s="438">
        <f>SUM(T4,X4,AB4,AS4,AX4,BA4)</f>
        <v>9.1419907407407432</v>
      </c>
      <c r="R4" s="438">
        <f>SUM(U4,Y4,AC4,AI4,AT4,BB4)</f>
        <v>6.7966680555555561</v>
      </c>
      <c r="S4" s="438">
        <f>SUM(V4,Z4,AD4,AJ4,AU4)</f>
        <v>3.4094645833333335</v>
      </c>
      <c r="T4" s="453">
        <f>S17</f>
        <v>3.8492592592592594</v>
      </c>
      <c r="U4" s="453">
        <f>T4/100*70</f>
        <v>2.6944814814814815</v>
      </c>
      <c r="V4" s="453">
        <f>T4/100*30</f>
        <v>1.1547777777777777</v>
      </c>
      <c r="W4" s="453">
        <v>0</v>
      </c>
      <c r="X4" s="454">
        <f>S18</f>
        <v>2.8869444444444445</v>
      </c>
      <c r="Y4" s="454">
        <f>X4/100*70</f>
        <v>2.020861111111111</v>
      </c>
      <c r="Z4" s="454">
        <f>X4/100*30</f>
        <v>0.86608333333333332</v>
      </c>
      <c r="AA4" s="454">
        <v>0</v>
      </c>
      <c r="AB4" s="455">
        <f>S19</f>
        <v>0.48115740740740742</v>
      </c>
      <c r="AC4" s="455">
        <f>AB4/100*70</f>
        <v>0.33681018518518518</v>
      </c>
      <c r="AD4" s="455">
        <f>AB4/100*30</f>
        <v>0.14434722222222221</v>
      </c>
      <c r="AE4" s="877">
        <v>2</v>
      </c>
      <c r="AF4" s="878">
        <v>500</v>
      </c>
      <c r="AG4" s="878">
        <v>0</v>
      </c>
      <c r="AH4" s="878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1.4434722222222223</v>
      </c>
      <c r="AT4" s="457">
        <f>AS4/100*90</f>
        <v>1.2991250000000001</v>
      </c>
      <c r="AU4" s="457">
        <f>AT4/100*85</f>
        <v>1.1042562500000002</v>
      </c>
      <c r="AV4" s="457">
        <v>0</v>
      </c>
      <c r="AW4" s="457">
        <v>0</v>
      </c>
      <c r="AX4" s="458">
        <f>S22</f>
        <v>0.19246296296296297</v>
      </c>
      <c r="AY4" s="469">
        <v>4</v>
      </c>
      <c r="AZ4" s="459" t="s">
        <v>65</v>
      </c>
      <c r="BA4" s="460">
        <f>S23</f>
        <v>0.28869444444444448</v>
      </c>
      <c r="BB4" s="458">
        <f>BA4/100*85</f>
        <v>0.24539027777777778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1.1547777777777777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1079" t="s">
        <v>67</v>
      </c>
      <c r="CA4" s="1079" t="s">
        <v>223</v>
      </c>
    </row>
    <row r="5" spans="1:79" ht="29.25" thickBot="1" x14ac:dyDescent="0.3">
      <c r="A5" s="50">
        <v>50</v>
      </c>
      <c r="B5" s="1078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9.562453703703703</v>
      </c>
      <c r="R5" s="438">
        <f>SUM(U5,Y5,AC5,AI5,AT5,BB5)</f>
        <v>7.1000652777777784</v>
      </c>
      <c r="S5" s="438">
        <f>SUM(V5,Z5,AD5,AJ5,AU5)</f>
        <v>3.5598354166666675</v>
      </c>
      <c r="T5" s="453">
        <f>X17</f>
        <v>4.0262962962962963</v>
      </c>
      <c r="U5" s="453">
        <f>T5/100*70</f>
        <v>2.8184074074074075</v>
      </c>
      <c r="V5" s="453">
        <f>T5/100*30</f>
        <v>1.207888888888889</v>
      </c>
      <c r="W5" s="345">
        <v>0</v>
      </c>
      <c r="X5" s="454">
        <f>X18</f>
        <v>3.0197222222222226</v>
      </c>
      <c r="Y5" s="454">
        <f>X5/100*70</f>
        <v>2.1138055555555559</v>
      </c>
      <c r="Z5" s="454">
        <f>X5/100*30</f>
        <v>0.90591666666666681</v>
      </c>
      <c r="AA5" s="346">
        <v>0</v>
      </c>
      <c r="AB5" s="455">
        <f>X19</f>
        <v>0.50328703703703703</v>
      </c>
      <c r="AC5" s="455">
        <f>AB5/100*70</f>
        <v>0.35230092592592593</v>
      </c>
      <c r="AD5" s="455">
        <f>AB5/100*30</f>
        <v>0.15098611111111113</v>
      </c>
      <c r="AE5" s="877">
        <v>0</v>
      </c>
      <c r="AF5" s="878">
        <v>0</v>
      </c>
      <c r="AG5" s="878">
        <v>0</v>
      </c>
      <c r="AH5" s="878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1.5098611111111113</v>
      </c>
      <c r="AT5" s="457">
        <f>AS5/100*90</f>
        <v>1.3588750000000003</v>
      </c>
      <c r="AU5" s="457">
        <f>AT5/100*85</f>
        <v>1.1550437500000004</v>
      </c>
      <c r="AV5" s="349">
        <v>0</v>
      </c>
      <c r="AW5" s="349">
        <v>0</v>
      </c>
      <c r="AX5" s="458">
        <f>X22</f>
        <v>0.20131481481481484</v>
      </c>
      <c r="AY5" s="350">
        <v>1</v>
      </c>
      <c r="AZ5" s="459" t="s">
        <v>65</v>
      </c>
      <c r="BA5" s="458">
        <f>X23</f>
        <v>0.30197222222222225</v>
      </c>
      <c r="BB5" s="824">
        <f>BA5/100*85</f>
        <v>0.25667638888888894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1.207888888888889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1079" t="s">
        <v>67</v>
      </c>
      <c r="CA5" s="1079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28.5" x14ac:dyDescent="0.25">
      <c r="A7" s="50">
        <v>60</v>
      </c>
      <c r="B7" s="1078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1081">
        <f t="shared" si="0"/>
        <v>28960</v>
      </c>
      <c r="Q7" s="394">
        <f>SUM(T7,X7,AB7,AS7,AX7,BA7)</f>
        <v>274.25972222222225</v>
      </c>
      <c r="R7" s="394">
        <f>SUM(U7,Y7,AC7,AI7,AT7,BB7)</f>
        <v>203.90004166666665</v>
      </c>
      <c r="S7" s="394">
        <f>SUM(V7,Z7,AD7,AJ7,AU7)</f>
        <v>102.28393750000001</v>
      </c>
      <c r="T7" s="527">
        <f>T4*30</f>
        <v>115.47777777777779</v>
      </c>
      <c r="U7" s="527">
        <f t="shared" ref="U7:AD8" si="1">U4*30</f>
        <v>80.834444444444443</v>
      </c>
      <c r="V7" s="527">
        <f t="shared" si="1"/>
        <v>34.643333333333331</v>
      </c>
      <c r="W7" s="527">
        <f t="shared" si="1"/>
        <v>0</v>
      </c>
      <c r="X7" s="527">
        <f t="shared" si="1"/>
        <v>86.608333333333334</v>
      </c>
      <c r="Y7" s="527">
        <f t="shared" si="1"/>
        <v>60.625833333333333</v>
      </c>
      <c r="Z7" s="527">
        <f t="shared" si="1"/>
        <v>25.982499999999998</v>
      </c>
      <c r="AA7" s="527">
        <f t="shared" si="1"/>
        <v>0</v>
      </c>
      <c r="AB7" s="527">
        <f t="shared" si="1"/>
        <v>14.434722222222224</v>
      </c>
      <c r="AC7" s="527">
        <f t="shared" si="1"/>
        <v>10.104305555555555</v>
      </c>
      <c r="AD7" s="527">
        <f t="shared" si="1"/>
        <v>4.3304166666666664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43.304166666666667</v>
      </c>
      <c r="AT7" s="682">
        <f t="shared" ref="AT7:BB8" si="2">AT4*30</f>
        <v>38.973750000000003</v>
      </c>
      <c r="AU7" s="682">
        <f t="shared" si="2"/>
        <v>33.127687500000008</v>
      </c>
      <c r="AV7" s="682">
        <f t="shared" si="2"/>
        <v>0</v>
      </c>
      <c r="AW7" s="682">
        <f t="shared" si="2"/>
        <v>0</v>
      </c>
      <c r="AX7" s="682">
        <f t="shared" si="2"/>
        <v>5.7738888888888891</v>
      </c>
      <c r="AY7" s="682">
        <f t="shared" si="2"/>
        <v>120</v>
      </c>
      <c r="AZ7" s="682" t="e">
        <f t="shared" si="2"/>
        <v>#VALUE!</v>
      </c>
      <c r="BA7" s="682">
        <f t="shared" si="2"/>
        <v>8.6608333333333345</v>
      </c>
      <c r="BB7" s="682">
        <f t="shared" si="2"/>
        <v>7.3617083333333335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1079" t="s">
        <v>67</v>
      </c>
      <c r="CA7" s="1079" t="s">
        <v>223</v>
      </c>
    </row>
    <row r="8" spans="1:79" ht="28.5" x14ac:dyDescent="0.25">
      <c r="A8" s="50">
        <v>50</v>
      </c>
      <c r="B8" s="1078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286.87361111111113</v>
      </c>
      <c r="R8" s="394">
        <f>SUM(U8,Y8,AC8,AI8,AT8,BB8)</f>
        <v>213.00195833333336</v>
      </c>
      <c r="S8" s="394">
        <f>SUM(V8,Z8,AD8,AJ8,AU8)</f>
        <v>106.79506250000003</v>
      </c>
      <c r="T8" s="527">
        <f>T5*30</f>
        <v>120.78888888888889</v>
      </c>
      <c r="U8" s="527">
        <f t="shared" si="1"/>
        <v>84.552222222222227</v>
      </c>
      <c r="V8" s="527">
        <f t="shared" si="1"/>
        <v>36.236666666666672</v>
      </c>
      <c r="W8" s="527">
        <f t="shared" si="1"/>
        <v>0</v>
      </c>
      <c r="X8" s="527">
        <f t="shared" si="1"/>
        <v>90.591666666666683</v>
      </c>
      <c r="Y8" s="527">
        <f t="shared" si="1"/>
        <v>63.414166666666681</v>
      </c>
      <c r="Z8" s="527">
        <f t="shared" si="1"/>
        <v>27.177500000000006</v>
      </c>
      <c r="AA8" s="527">
        <f t="shared" si="1"/>
        <v>0</v>
      </c>
      <c r="AB8" s="527">
        <f t="shared" si="1"/>
        <v>15.098611111111111</v>
      </c>
      <c r="AC8" s="527">
        <f t="shared" si="1"/>
        <v>10.569027777777778</v>
      </c>
      <c r="AD8" s="527">
        <f t="shared" si="1"/>
        <v>4.529583333333334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45.295833333333341</v>
      </c>
      <c r="AT8" s="682">
        <f t="shared" si="2"/>
        <v>40.766250000000007</v>
      </c>
      <c r="AU8" s="682">
        <f t="shared" si="2"/>
        <v>34.65131250000001</v>
      </c>
      <c r="AV8" s="682">
        <f t="shared" si="2"/>
        <v>0</v>
      </c>
      <c r="AW8" s="682">
        <f t="shared" si="2"/>
        <v>0</v>
      </c>
      <c r="AX8" s="682">
        <f t="shared" si="2"/>
        <v>6.0394444444444453</v>
      </c>
      <c r="AY8" s="682">
        <f t="shared" si="2"/>
        <v>30</v>
      </c>
      <c r="AZ8" s="682" t="e">
        <f t="shared" si="2"/>
        <v>#VALUE!</v>
      </c>
      <c r="BA8" s="682">
        <f t="shared" si="2"/>
        <v>9.0591666666666679</v>
      </c>
      <c r="BB8" s="682">
        <f t="shared" si="2"/>
        <v>7.7002916666666685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1079" t="s">
        <v>67</v>
      </c>
      <c r="CA8" s="1079" t="s">
        <v>224</v>
      </c>
    </row>
    <row r="9" spans="1:79" x14ac:dyDescent="0.25">
      <c r="R9" s="393"/>
      <c r="S9" s="393"/>
    </row>
    <row r="11" spans="1:79" x14ac:dyDescent="0.25">
      <c r="P11" s="1059">
        <v>45809</v>
      </c>
    </row>
    <row r="12" spans="1:79" x14ac:dyDescent="0.25"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1060">
        <v>31179</v>
      </c>
      <c r="T14" s="1060"/>
      <c r="V14" s="1127" t="s">
        <v>192</v>
      </c>
      <c r="W14" s="1128"/>
      <c r="X14" s="1060">
        <v>32613</v>
      </c>
      <c r="Y14" s="1060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1060">
        <v>280</v>
      </c>
      <c r="T15" s="1060" t="s">
        <v>227</v>
      </c>
      <c r="V15" s="1127" t="s">
        <v>193</v>
      </c>
      <c r="W15" s="1128"/>
      <c r="X15" s="1060">
        <v>280</v>
      </c>
      <c r="Y15" s="1060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9.6231481481481485</v>
      </c>
      <c r="T16" s="1060"/>
      <c r="V16" s="1127" t="s">
        <v>195</v>
      </c>
      <c r="W16" s="1128"/>
      <c r="X16" s="596">
        <f>X14*X15/907200</f>
        <v>10.065740740740742</v>
      </c>
      <c r="Y16" s="1060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3.8492592592592594</v>
      </c>
      <c r="T17" s="1060">
        <v>40</v>
      </c>
      <c r="V17" s="1132" t="s">
        <v>9</v>
      </c>
      <c r="W17" s="1133"/>
      <c r="X17" s="592">
        <f>X16/100*40</f>
        <v>4.0262962962962963</v>
      </c>
      <c r="Y17" s="1060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2.8869444444444445</v>
      </c>
      <c r="T18" s="1060">
        <v>30</v>
      </c>
      <c r="V18" s="1132" t="s">
        <v>10</v>
      </c>
      <c r="W18" s="1133"/>
      <c r="X18" s="592">
        <f>X16/100*30</f>
        <v>3.0197222222222226</v>
      </c>
      <c r="Y18" s="1060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0.48115740740740742</v>
      </c>
      <c r="T19" s="1060">
        <v>5</v>
      </c>
      <c r="V19" s="1132" t="s">
        <v>11</v>
      </c>
      <c r="W19" s="1133"/>
      <c r="X19" s="592">
        <f>X16/100*5</f>
        <v>0.50328703703703703</v>
      </c>
      <c r="Y19" s="1060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0.48115740740740742</v>
      </c>
      <c r="T20" s="1060">
        <v>5</v>
      </c>
      <c r="V20" s="1132" t="s">
        <v>12</v>
      </c>
      <c r="W20" s="1133"/>
      <c r="X20" s="592">
        <f>X16/100*5</f>
        <v>0.50328703703703703</v>
      </c>
      <c r="Y20" s="1060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1.4434722222222223</v>
      </c>
      <c r="T21" s="1060">
        <v>15</v>
      </c>
      <c r="V21" s="1132" t="s">
        <v>99</v>
      </c>
      <c r="W21" s="1133"/>
      <c r="X21" s="592">
        <f>X16/100*15</f>
        <v>1.5098611111111113</v>
      </c>
      <c r="Y21" s="1060">
        <v>15</v>
      </c>
      <c r="AA21" s="1129">
        <f>AA20*31</f>
        <v>463.94352000000003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0.19246296296296297</v>
      </c>
      <c r="T22" s="1060">
        <v>2</v>
      </c>
      <c r="V22" s="1132" t="s">
        <v>100</v>
      </c>
      <c r="W22" s="1133"/>
      <c r="X22" s="592">
        <f>X16/100*2</f>
        <v>0.20131481481481484</v>
      </c>
      <c r="Y22" s="1060">
        <v>2</v>
      </c>
      <c r="AA22" s="1129">
        <f>AA21/100*2</f>
        <v>9.2788704000000006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0.28869444444444448</v>
      </c>
      <c r="T23" s="1060">
        <v>3</v>
      </c>
      <c r="V23" s="1132" t="s">
        <v>101</v>
      </c>
      <c r="W23" s="1133"/>
      <c r="X23" s="592">
        <f>X16/100*3</f>
        <v>0.30197222222222225</v>
      </c>
      <c r="Y23" s="1060">
        <v>3</v>
      </c>
    </row>
    <row r="24" spans="17:35" x14ac:dyDescent="0.25">
      <c r="Q24" s="1140" t="s">
        <v>89</v>
      </c>
      <c r="R24" s="1141"/>
      <c r="S24" s="596">
        <f>SUM(S17:S23)</f>
        <v>9.6231481481481502</v>
      </c>
      <c r="T24" s="1060">
        <f>SUM(T17:T23)</f>
        <v>100</v>
      </c>
      <c r="V24" s="1140" t="s">
        <v>89</v>
      </c>
      <c r="W24" s="1141"/>
      <c r="X24" s="596">
        <f>SUM(X17:X23)</f>
        <v>10.06574074074074</v>
      </c>
      <c r="Y24" s="1060">
        <f>SUM(Y17:Y23)</f>
        <v>100</v>
      </c>
      <c r="AA24">
        <v>0.12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1065"/>
      <c r="AH29" s="1065"/>
    </row>
    <row r="30" spans="17:35" x14ac:dyDescent="0.25">
      <c r="R30" s="1147" t="s">
        <v>86</v>
      </c>
      <c r="S30" s="1147"/>
      <c r="T30" s="1148">
        <f>U7</f>
        <v>80.834444444444443</v>
      </c>
      <c r="U30" s="1148"/>
      <c r="V30" s="1148">
        <f>V7</f>
        <v>34.643333333333331</v>
      </c>
      <c r="W30" s="1148"/>
      <c r="X30" s="393"/>
      <c r="AA30" s="1147" t="s">
        <v>86</v>
      </c>
      <c r="AB30" s="1147"/>
      <c r="AC30" s="1148">
        <f>U8</f>
        <v>84.552222222222227</v>
      </c>
      <c r="AD30" s="1148"/>
      <c r="AE30" s="1148">
        <f>V8</f>
        <v>36.236666666666672</v>
      </c>
      <c r="AF30" s="1148"/>
      <c r="AG30" s="1064"/>
      <c r="AH30" s="1064"/>
    </row>
    <row r="31" spans="17:35" x14ac:dyDescent="0.25">
      <c r="R31" s="1147" t="s">
        <v>87</v>
      </c>
      <c r="S31" s="1147"/>
      <c r="T31" s="1148">
        <f>Y7</f>
        <v>60.625833333333333</v>
      </c>
      <c r="U31" s="1148"/>
      <c r="V31" s="1148">
        <f>Z7</f>
        <v>25.982499999999998</v>
      </c>
      <c r="W31" s="1148"/>
      <c r="X31" s="393"/>
      <c r="AA31" s="1147" t="s">
        <v>87</v>
      </c>
      <c r="AB31" s="1147"/>
      <c r="AC31" s="1148">
        <f>Y8</f>
        <v>63.414166666666681</v>
      </c>
      <c r="AD31" s="1148"/>
      <c r="AE31" s="1148">
        <f>Z8</f>
        <v>27.177500000000006</v>
      </c>
      <c r="AF31" s="1148"/>
      <c r="AG31" s="1064"/>
      <c r="AH31" s="1064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1063"/>
      <c r="AH32" s="1063"/>
    </row>
    <row r="33" spans="18:34" x14ac:dyDescent="0.25">
      <c r="R33" s="1147" t="s">
        <v>202</v>
      </c>
      <c r="S33" s="1147"/>
      <c r="T33" s="1151">
        <v>8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1063"/>
      <c r="AH33" s="1063"/>
    </row>
    <row r="34" spans="18:34" x14ac:dyDescent="0.25">
      <c r="R34" s="1147" t="s">
        <v>90</v>
      </c>
      <c r="S34" s="1147"/>
      <c r="T34" s="1153">
        <f>T35-T32-T33</f>
        <v>46.439763888888891</v>
      </c>
      <c r="U34" s="1154"/>
      <c r="V34" s="1153">
        <f>V35-V32-V33</f>
        <v>36.658104166666675</v>
      </c>
      <c r="W34" s="1154"/>
      <c r="AA34" s="1155" t="s">
        <v>90</v>
      </c>
      <c r="AB34" s="1156"/>
      <c r="AC34" s="1153">
        <f>AC35-AC32-AC33</f>
        <v>55.035569444444448</v>
      </c>
      <c r="AD34" s="1157"/>
      <c r="AE34" s="1153">
        <f>AE35-AE33-AE32</f>
        <v>38.380895833333341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62.439763888888891</v>
      </c>
      <c r="U35" s="1162"/>
      <c r="V35" s="1161">
        <f>SUM(AD7,AJ7,AU7)</f>
        <v>41.658104166666675</v>
      </c>
      <c r="W35" s="1162"/>
      <c r="AA35" s="1147" t="s">
        <v>90</v>
      </c>
      <c r="AB35" s="1147"/>
      <c r="AC35" s="1161">
        <f>SUM(AC8,AI8,AT8,BB8)</f>
        <v>65.035569444444448</v>
      </c>
      <c r="AD35" s="1162"/>
      <c r="AE35" s="1161">
        <f>SUM(AD8,AJ8,AU8)</f>
        <v>43.380895833333341</v>
      </c>
      <c r="AF35" s="1162"/>
      <c r="AG35" s="1062"/>
      <c r="AH35" s="1062"/>
    </row>
    <row r="36" spans="18:34" x14ac:dyDescent="0.25">
      <c r="R36" s="1159"/>
      <c r="S36" s="1159"/>
      <c r="T36" s="1160">
        <f>SUM(T30:U34)</f>
        <v>203.90004166666665</v>
      </c>
      <c r="U36" s="1160"/>
      <c r="V36" s="1160">
        <f>SUM(V30,V31,V32,V33,V34)</f>
        <v>102.28393750000001</v>
      </c>
      <c r="W36" s="1160"/>
      <c r="X36" s="393"/>
      <c r="AA36" s="1159"/>
      <c r="AB36" s="1159"/>
      <c r="AC36" s="1160">
        <f>SUM(AC30:AD34)</f>
        <v>213.00195833333333</v>
      </c>
      <c r="AD36" s="1160"/>
      <c r="AE36" s="1160">
        <f>SUM(AE30,AE31,AE32,AE33,AE34)</f>
        <v>106.79506250000001</v>
      </c>
      <c r="AF36" s="1160"/>
      <c r="AG36" s="1061"/>
      <c r="AH36" s="1061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102.28393750000001</v>
      </c>
      <c r="X38" s="393"/>
    </row>
    <row r="44" spans="18:34" x14ac:dyDescent="0.25">
      <c r="T44" s="619"/>
      <c r="U44" s="854"/>
      <c r="V44" s="854"/>
      <c r="W44" s="854"/>
      <c r="X44" s="854"/>
    </row>
    <row r="45" spans="18:34" x14ac:dyDescent="0.25">
      <c r="T45" s="619"/>
      <c r="U45" s="854"/>
      <c r="V45" s="854"/>
      <c r="W45" s="854"/>
      <c r="X45" s="854"/>
      <c r="AC45" s="924" t="s">
        <v>203</v>
      </c>
      <c r="AD45" s="925" t="s">
        <v>228</v>
      </c>
      <c r="AE45" s="925" t="s">
        <v>205</v>
      </c>
      <c r="AF45" s="925" t="s">
        <v>206</v>
      </c>
      <c r="AG45" s="924" t="s">
        <v>207</v>
      </c>
    </row>
    <row r="46" spans="18:34" x14ac:dyDescent="0.25">
      <c r="T46" s="619"/>
      <c r="U46" s="854"/>
      <c r="V46" s="854"/>
      <c r="W46" s="854"/>
      <c r="X46" s="854"/>
      <c r="AC46" s="619" t="s">
        <v>90</v>
      </c>
      <c r="AD46" s="854">
        <v>0</v>
      </c>
      <c r="AE46" s="854">
        <v>54</v>
      </c>
      <c r="AF46" s="854">
        <v>38</v>
      </c>
      <c r="AG46" s="854">
        <v>720.28599999999994</v>
      </c>
    </row>
    <row r="47" spans="18:34" x14ac:dyDescent="0.25">
      <c r="T47" s="619"/>
      <c r="U47" s="854"/>
      <c r="V47" s="854"/>
      <c r="W47" s="854"/>
      <c r="X47" s="854"/>
      <c r="AC47" s="619" t="s">
        <v>86</v>
      </c>
      <c r="AD47" s="854">
        <v>0</v>
      </c>
      <c r="AE47" s="854">
        <v>83</v>
      </c>
      <c r="AF47" s="854">
        <v>36</v>
      </c>
      <c r="AG47" s="854">
        <v>2.7</v>
      </c>
    </row>
    <row r="48" spans="18:34" x14ac:dyDescent="0.25">
      <c r="T48" s="619"/>
      <c r="U48" s="854"/>
      <c r="V48" s="854"/>
      <c r="W48" s="854"/>
      <c r="X48" s="854"/>
      <c r="AC48" s="619" t="s">
        <v>87</v>
      </c>
      <c r="AD48" s="854">
        <v>0</v>
      </c>
      <c r="AE48" s="854">
        <v>62</v>
      </c>
      <c r="AF48" s="854">
        <v>27</v>
      </c>
      <c r="AG48" s="854">
        <v>1.7</v>
      </c>
    </row>
    <row r="49" spans="20:33" x14ac:dyDescent="0.25">
      <c r="T49" s="619"/>
      <c r="U49" s="854"/>
      <c r="V49" s="854"/>
      <c r="W49" s="854"/>
      <c r="X49" s="854"/>
      <c r="AC49" s="619" t="s">
        <v>201</v>
      </c>
      <c r="AD49" s="854">
        <v>0</v>
      </c>
      <c r="AE49" s="854">
        <v>7</v>
      </c>
      <c r="AF49" s="854">
        <v>5</v>
      </c>
      <c r="AG49" s="854">
        <v>0.08</v>
      </c>
    </row>
    <row r="50" spans="20:33" x14ac:dyDescent="0.25">
      <c r="T50" s="901"/>
      <c r="U50" s="901"/>
      <c r="V50" s="901"/>
      <c r="W50" s="901"/>
      <c r="X50" s="901"/>
      <c r="AC50" s="619" t="s">
        <v>202</v>
      </c>
      <c r="AD50" s="854">
        <v>0</v>
      </c>
      <c r="AE50" s="854">
        <v>3</v>
      </c>
      <c r="AF50" s="854">
        <v>0</v>
      </c>
      <c r="AG50" s="854">
        <v>0.05</v>
      </c>
    </row>
    <row r="51" spans="20:33" x14ac:dyDescent="0.25">
      <c r="W51" s="854"/>
      <c r="AD51">
        <f>SUM(AD46:AD50)</f>
        <v>0</v>
      </c>
      <c r="AE51">
        <f t="shared" ref="AE51:AG51" si="3">SUM(AE46:AE50)</f>
        <v>209</v>
      </c>
      <c r="AF51">
        <f t="shared" si="3"/>
        <v>106</v>
      </c>
      <c r="AG51">
        <f t="shared" si="3"/>
        <v>724.81600000000003</v>
      </c>
    </row>
    <row r="52" spans="20:33" x14ac:dyDescent="0.25">
      <c r="W52" s="854"/>
      <c r="AE52" s="393">
        <f>R7</f>
        <v>203.90004166666665</v>
      </c>
      <c r="AF52" s="393">
        <f>S7</f>
        <v>102.28393750000001</v>
      </c>
      <c r="AG52" t="s">
        <v>163</v>
      </c>
    </row>
    <row r="53" spans="20:33" x14ac:dyDescent="0.25">
      <c r="AE53" s="393">
        <f>R8</f>
        <v>213.00195833333336</v>
      </c>
      <c r="AF53" s="393">
        <f>S8</f>
        <v>106.79506250000003</v>
      </c>
      <c r="AG53" t="s">
        <v>237</v>
      </c>
    </row>
    <row r="54" spans="20:33" x14ac:dyDescent="0.25">
      <c r="X54" t="s">
        <v>236</v>
      </c>
    </row>
  </sheetData>
  <mergeCells count="124"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60"/>
  <sheetViews>
    <sheetView tabSelected="1" topLeftCell="P16" workbookViewId="0">
      <selection activeCell="V60" sqref="V60:Y60"/>
    </sheetView>
  </sheetViews>
  <sheetFormatPr defaultRowHeight="15" x14ac:dyDescent="0.25"/>
  <cols>
    <col min="2" max="2" width="17.85546875" customWidth="1"/>
    <col min="25" max="25" width="9.140625" customWidth="1"/>
    <col min="28" max="28" width="9.28515625" bestFit="1" customWidth="1"/>
    <col min="29" max="29" width="9.5703125" bestFit="1" customWidth="1"/>
    <col min="30" max="30" width="9.28515625" bestFit="1" customWidth="1"/>
    <col min="31" max="34" width="9.28515625" customWidth="1"/>
    <col min="64" max="64" width="12" customWidth="1"/>
  </cols>
  <sheetData>
    <row r="1" spans="1:79" ht="30.75" customHeight="1" thickBot="1" x14ac:dyDescent="0.3">
      <c r="A1" s="1109" t="s">
        <v>0</v>
      </c>
      <c r="B1" s="1110" t="s">
        <v>1</v>
      </c>
      <c r="C1" s="1104" t="s">
        <v>2</v>
      </c>
      <c r="D1" s="1104"/>
      <c r="E1" s="1104"/>
      <c r="F1" s="1104" t="s">
        <v>3</v>
      </c>
      <c r="G1" s="1104"/>
      <c r="H1" s="1104"/>
      <c r="I1" s="1104" t="s">
        <v>4</v>
      </c>
      <c r="J1" s="1104"/>
      <c r="K1" s="1104"/>
      <c r="L1" s="1104" t="s">
        <v>5</v>
      </c>
      <c r="M1" s="1104" t="s">
        <v>6</v>
      </c>
      <c r="N1" s="826"/>
      <c r="O1" s="827"/>
      <c r="P1" s="1104" t="s">
        <v>7</v>
      </c>
      <c r="Q1" s="1105" t="s">
        <v>8</v>
      </c>
      <c r="R1" s="1105"/>
      <c r="S1" s="1105"/>
      <c r="T1" s="1106" t="s">
        <v>9</v>
      </c>
      <c r="U1" s="1106"/>
      <c r="V1" s="1106"/>
      <c r="W1" s="1106"/>
      <c r="X1" s="1107" t="s">
        <v>10</v>
      </c>
      <c r="Y1" s="1107"/>
      <c r="Z1" s="1107"/>
      <c r="AA1" s="1107"/>
      <c r="AB1" s="1108" t="s">
        <v>11</v>
      </c>
      <c r="AC1" s="1108"/>
      <c r="AD1" s="1108"/>
      <c r="AE1" s="1114" t="s">
        <v>208</v>
      </c>
      <c r="AF1" s="1115"/>
      <c r="AG1" s="1115"/>
      <c r="AH1" s="1116"/>
      <c r="AI1" s="1117" t="s">
        <v>12</v>
      </c>
      <c r="AJ1" s="1117"/>
      <c r="AK1" s="1118" t="s">
        <v>179</v>
      </c>
      <c r="AL1" s="1118"/>
      <c r="AM1" s="1118"/>
      <c r="AN1" s="1118"/>
      <c r="AO1" s="1118"/>
      <c r="AP1" s="1118"/>
      <c r="AQ1" s="1118"/>
      <c r="AR1" s="1118"/>
      <c r="AS1" s="1119" t="s">
        <v>99</v>
      </c>
      <c r="AT1" s="1119"/>
      <c r="AU1" s="1119"/>
      <c r="AV1" s="1119"/>
      <c r="AW1" s="1119"/>
      <c r="AX1" s="1120" t="s">
        <v>100</v>
      </c>
      <c r="AY1" s="1120"/>
      <c r="AZ1" s="1120"/>
      <c r="BA1" s="1120" t="s">
        <v>101</v>
      </c>
      <c r="BB1" s="1120"/>
      <c r="BC1" s="1120"/>
      <c r="BD1" s="1120"/>
      <c r="BE1" s="1120"/>
      <c r="BF1" s="1120"/>
      <c r="BG1" s="1120"/>
      <c r="BH1" s="1120"/>
      <c r="BI1" s="1120"/>
      <c r="BJ1" s="1126" t="s">
        <v>14</v>
      </c>
      <c r="BK1" s="1126"/>
      <c r="BL1" s="1126"/>
      <c r="BM1" s="1126"/>
      <c r="BN1" s="1126"/>
      <c r="BO1" s="1126"/>
      <c r="BP1" s="1126"/>
      <c r="BQ1" s="1126"/>
      <c r="BR1" s="1111" t="s">
        <v>15</v>
      </c>
      <c r="BS1" s="1111"/>
      <c r="BT1" s="1119" t="s">
        <v>16</v>
      </c>
      <c r="BU1" s="1119"/>
      <c r="BV1" s="1111" t="s">
        <v>130</v>
      </c>
      <c r="BW1" s="1111"/>
      <c r="BX1" s="1112" t="s">
        <v>171</v>
      </c>
      <c r="BY1" s="1112"/>
      <c r="BZ1" s="1113" t="s">
        <v>209</v>
      </c>
      <c r="CA1" s="1113"/>
    </row>
    <row r="2" spans="1:79" ht="225.75" thickBot="1" x14ac:dyDescent="0.3">
      <c r="A2" s="1109"/>
      <c r="B2" s="1110"/>
      <c r="C2" s="1104"/>
      <c r="D2" s="1104"/>
      <c r="E2" s="1104"/>
      <c r="F2" s="1104"/>
      <c r="G2" s="1104"/>
      <c r="H2" s="1104"/>
      <c r="I2" s="1104"/>
      <c r="J2" s="1104"/>
      <c r="K2" s="1104"/>
      <c r="L2" s="1104"/>
      <c r="M2" s="1104"/>
      <c r="N2" s="828" t="s">
        <v>210</v>
      </c>
      <c r="O2" s="829" t="s">
        <v>211</v>
      </c>
      <c r="P2" s="1104"/>
      <c r="Q2" s="1095" t="s">
        <v>17</v>
      </c>
      <c r="R2" s="1095" t="s">
        <v>18</v>
      </c>
      <c r="S2" s="1095" t="s">
        <v>19</v>
      </c>
      <c r="T2" s="1096" t="s">
        <v>20</v>
      </c>
      <c r="U2" s="1096" t="s">
        <v>21</v>
      </c>
      <c r="V2" s="1096" t="s">
        <v>22</v>
      </c>
      <c r="W2" s="1096">
        <v>45</v>
      </c>
      <c r="X2" s="1097" t="s">
        <v>24</v>
      </c>
      <c r="Y2" s="1097" t="s">
        <v>25</v>
      </c>
      <c r="Z2" s="1097" t="s">
        <v>26</v>
      </c>
      <c r="AA2" s="1097" t="s">
        <v>27</v>
      </c>
      <c r="AB2" s="1098" t="s">
        <v>28</v>
      </c>
      <c r="AC2" s="1098" t="s">
        <v>29</v>
      </c>
      <c r="AD2" s="1098" t="s">
        <v>30</v>
      </c>
      <c r="AE2" s="820" t="s">
        <v>212</v>
      </c>
      <c r="AF2" s="641" t="s">
        <v>229</v>
      </c>
      <c r="AG2" s="641" t="s">
        <v>214</v>
      </c>
      <c r="AH2" s="641" t="s">
        <v>215</v>
      </c>
      <c r="AI2" s="1093" t="s">
        <v>31</v>
      </c>
      <c r="AJ2" s="1093" t="s">
        <v>32</v>
      </c>
      <c r="AK2" s="727" t="s">
        <v>180</v>
      </c>
      <c r="AL2" s="727" t="s">
        <v>36</v>
      </c>
      <c r="AM2" s="727" t="s">
        <v>181</v>
      </c>
      <c r="AN2" s="727" t="s">
        <v>36</v>
      </c>
      <c r="AO2" s="727" t="s">
        <v>182</v>
      </c>
      <c r="AP2" s="728" t="s">
        <v>36</v>
      </c>
      <c r="AQ2" s="727" t="s">
        <v>183</v>
      </c>
      <c r="AR2" s="728" t="s">
        <v>36</v>
      </c>
      <c r="AS2" s="1090" t="s">
        <v>102</v>
      </c>
      <c r="AT2" s="1090" t="s">
        <v>103</v>
      </c>
      <c r="AU2" s="1090" t="s">
        <v>104</v>
      </c>
      <c r="AV2" s="1090" t="s">
        <v>105</v>
      </c>
      <c r="AW2" s="1090" t="s">
        <v>106</v>
      </c>
      <c r="AX2" s="1094" t="s">
        <v>107</v>
      </c>
      <c r="AY2" s="1094" t="s">
        <v>108</v>
      </c>
      <c r="AZ2" s="1094" t="s">
        <v>109</v>
      </c>
      <c r="BA2" s="1094" t="s">
        <v>110</v>
      </c>
      <c r="BB2" s="1094" t="s">
        <v>111</v>
      </c>
      <c r="BC2" s="1094" t="s">
        <v>112</v>
      </c>
      <c r="BD2" s="1094" t="s">
        <v>113</v>
      </c>
      <c r="BE2" s="1094" t="s">
        <v>114</v>
      </c>
      <c r="BF2" s="1094" t="s">
        <v>115</v>
      </c>
      <c r="BG2" s="729" t="s">
        <v>116</v>
      </c>
      <c r="BH2" s="730" t="s">
        <v>117</v>
      </c>
      <c r="BI2" s="1094" t="s">
        <v>118</v>
      </c>
      <c r="BJ2" s="1088" t="s">
        <v>14</v>
      </c>
      <c r="BK2" s="1088" t="s">
        <v>167</v>
      </c>
      <c r="BL2" s="1088" t="s">
        <v>39</v>
      </c>
      <c r="BM2" s="1088" t="s">
        <v>40</v>
      </c>
      <c r="BN2" s="1088" t="s">
        <v>41</v>
      </c>
      <c r="BO2" s="1088" t="s">
        <v>43</v>
      </c>
      <c r="BP2" s="1088" t="s">
        <v>44</v>
      </c>
      <c r="BQ2" s="1088" t="s">
        <v>46</v>
      </c>
      <c r="BR2" s="1089" t="s">
        <v>47</v>
      </c>
      <c r="BS2" s="1089" t="s">
        <v>48</v>
      </c>
      <c r="BT2" s="1090" t="s">
        <v>49</v>
      </c>
      <c r="BU2" s="1090" t="s">
        <v>50</v>
      </c>
      <c r="BV2" s="1089" t="s">
        <v>131</v>
      </c>
      <c r="BW2" s="1089" t="s">
        <v>132</v>
      </c>
      <c r="BX2" s="1091" t="s">
        <v>172</v>
      </c>
      <c r="BY2" s="1091" t="s">
        <v>173</v>
      </c>
      <c r="BZ2" s="1092" t="s">
        <v>216</v>
      </c>
      <c r="CA2" s="1092" t="s">
        <v>217</v>
      </c>
    </row>
    <row r="3" spans="1:79" ht="90.75" thickBot="1" x14ac:dyDescent="0.3">
      <c r="A3" s="1099"/>
      <c r="B3" s="1110"/>
      <c r="C3" s="735" t="s">
        <v>185</v>
      </c>
      <c r="D3" s="735" t="s">
        <v>186</v>
      </c>
      <c r="E3" s="735" t="s">
        <v>187</v>
      </c>
      <c r="F3" s="735" t="s">
        <v>185</v>
      </c>
      <c r="G3" s="735" t="s">
        <v>186</v>
      </c>
      <c r="H3" s="735" t="s">
        <v>187</v>
      </c>
      <c r="I3" s="735" t="s">
        <v>185</v>
      </c>
      <c r="J3" s="735" t="s">
        <v>186</v>
      </c>
      <c r="K3" s="735" t="s">
        <v>187</v>
      </c>
      <c r="L3" s="830" t="s">
        <v>58</v>
      </c>
      <c r="M3" s="830" t="s">
        <v>188</v>
      </c>
      <c r="N3" s="831" t="s">
        <v>218</v>
      </c>
      <c r="O3" s="671" t="s">
        <v>120</v>
      </c>
      <c r="P3" s="830" t="s">
        <v>189</v>
      </c>
      <c r="Q3" s="830" t="s">
        <v>190</v>
      </c>
      <c r="R3" s="735" t="s">
        <v>190</v>
      </c>
      <c r="S3" s="735" t="s">
        <v>190</v>
      </c>
      <c r="T3" s="735" t="s">
        <v>190</v>
      </c>
      <c r="U3" s="735" t="s">
        <v>190</v>
      </c>
      <c r="V3" s="735" t="s">
        <v>57</v>
      </c>
      <c r="W3" s="735" t="s">
        <v>57</v>
      </c>
      <c r="X3" s="735" t="s">
        <v>57</v>
      </c>
      <c r="Y3" s="735" t="s">
        <v>57</v>
      </c>
      <c r="Z3" s="735" t="s">
        <v>57</v>
      </c>
      <c r="AA3" s="735" t="s">
        <v>57</v>
      </c>
      <c r="AB3" s="735" t="s">
        <v>57</v>
      </c>
      <c r="AC3" s="735" t="s">
        <v>57</v>
      </c>
      <c r="AD3" s="735" t="s">
        <v>57</v>
      </c>
      <c r="AE3" s="821" t="s">
        <v>219</v>
      </c>
      <c r="AF3" s="652" t="s">
        <v>220</v>
      </c>
      <c r="AG3" s="652" t="s">
        <v>219</v>
      </c>
      <c r="AH3" s="822" t="s">
        <v>221</v>
      </c>
      <c r="AI3" s="735" t="s">
        <v>57</v>
      </c>
      <c r="AJ3" s="735" t="s">
        <v>57</v>
      </c>
      <c r="AK3" s="735" t="s">
        <v>58</v>
      </c>
      <c r="AL3" s="735" t="s">
        <v>57</v>
      </c>
      <c r="AM3" s="735" t="s">
        <v>54</v>
      </c>
      <c r="AN3" s="735" t="s">
        <v>57</v>
      </c>
      <c r="AO3" s="735" t="s">
        <v>54</v>
      </c>
      <c r="AP3" s="735" t="s">
        <v>57</v>
      </c>
      <c r="AQ3" s="735" t="s">
        <v>54</v>
      </c>
      <c r="AR3" s="735" t="s">
        <v>57</v>
      </c>
      <c r="AS3" s="735" t="s">
        <v>62</v>
      </c>
      <c r="AT3" s="735" t="s">
        <v>62</v>
      </c>
      <c r="AU3" s="735" t="s">
        <v>62</v>
      </c>
      <c r="AV3" s="735" t="s">
        <v>54</v>
      </c>
      <c r="AW3" s="735" t="s">
        <v>57</v>
      </c>
      <c r="AX3" s="735" t="s">
        <v>62</v>
      </c>
      <c r="AY3" s="735" t="s">
        <v>54</v>
      </c>
      <c r="AZ3" s="735" t="s">
        <v>119</v>
      </c>
      <c r="BA3" s="735" t="s">
        <v>62</v>
      </c>
      <c r="BB3" s="735" t="s">
        <v>62</v>
      </c>
      <c r="BC3" s="735" t="s">
        <v>120</v>
      </c>
      <c r="BD3" s="735" t="s">
        <v>54</v>
      </c>
      <c r="BE3" s="735" t="s">
        <v>120</v>
      </c>
      <c r="BF3" s="735" t="s">
        <v>54</v>
      </c>
      <c r="BG3" s="735" t="s">
        <v>120</v>
      </c>
      <c r="BH3" s="735" t="s">
        <v>120</v>
      </c>
      <c r="BI3" s="735" t="s">
        <v>120</v>
      </c>
      <c r="BJ3" s="735" t="s">
        <v>54</v>
      </c>
      <c r="BK3" s="736" t="s">
        <v>168</v>
      </c>
      <c r="BL3" s="735" t="s">
        <v>59</v>
      </c>
      <c r="BM3" s="735" t="s">
        <v>60</v>
      </c>
      <c r="BN3" s="735" t="s">
        <v>61</v>
      </c>
      <c r="BO3" s="735" t="s">
        <v>57</v>
      </c>
      <c r="BP3" s="735" t="s">
        <v>127</v>
      </c>
      <c r="BQ3" s="735" t="s">
        <v>127</v>
      </c>
      <c r="BR3" s="735" t="s">
        <v>120</v>
      </c>
      <c r="BS3" s="735" t="s">
        <v>120</v>
      </c>
      <c r="BT3" s="735" t="s">
        <v>120</v>
      </c>
      <c r="BU3" s="735" t="s">
        <v>120</v>
      </c>
      <c r="BV3" s="735" t="s">
        <v>54</v>
      </c>
      <c r="BW3" s="735" t="s">
        <v>54</v>
      </c>
      <c r="BX3" s="1091" t="s">
        <v>120</v>
      </c>
      <c r="BY3" s="1091" t="s">
        <v>174</v>
      </c>
      <c r="BZ3" s="1092" t="s">
        <v>120</v>
      </c>
      <c r="CA3" s="1092" t="s">
        <v>222</v>
      </c>
    </row>
    <row r="4" spans="1:79" ht="29.25" thickBot="1" x14ac:dyDescent="0.3">
      <c r="A4" s="740">
        <v>60</v>
      </c>
      <c r="B4" s="451" t="s">
        <v>161</v>
      </c>
      <c r="C4" s="479">
        <v>5</v>
      </c>
      <c r="D4" s="479">
        <v>5</v>
      </c>
      <c r="E4" s="395">
        <v>10</v>
      </c>
      <c r="F4" s="480">
        <v>10</v>
      </c>
      <c r="G4" s="480">
        <v>10</v>
      </c>
      <c r="H4" s="395">
        <v>10</v>
      </c>
      <c r="I4" s="480">
        <v>1</v>
      </c>
      <c r="J4" s="480">
        <v>0</v>
      </c>
      <c r="K4" s="395">
        <v>1</v>
      </c>
      <c r="L4" s="480" t="s">
        <v>122</v>
      </c>
      <c r="M4" s="480" t="s">
        <v>65</v>
      </c>
      <c r="N4" s="480">
        <v>0</v>
      </c>
      <c r="O4" s="480" t="s">
        <v>65</v>
      </c>
      <c r="P4" s="1102">
        <v>28960</v>
      </c>
      <c r="Q4" s="438">
        <f>SUM(T4,X4,AB4,AS4,AX4,BA4)</f>
        <v>9.4684904100529117</v>
      </c>
      <c r="R4" s="438">
        <f>SUM(U4,Y4,AC4,AI4,AT4,BB4)</f>
        <v>7.0322633432539687</v>
      </c>
      <c r="S4" s="438">
        <f>SUM(V4,Z4,AD4,AJ4,AU4)</f>
        <v>3.526231175595238</v>
      </c>
      <c r="T4" s="453">
        <f>S17</f>
        <v>3.9867328042328043</v>
      </c>
      <c r="U4" s="453">
        <f>T4/100*70</f>
        <v>2.7907129629629632</v>
      </c>
      <c r="V4" s="453">
        <f>T4/100*30</f>
        <v>1.1960198412698413</v>
      </c>
      <c r="W4" s="453">
        <v>0</v>
      </c>
      <c r="X4" s="454">
        <f>S18</f>
        <v>2.9900496031746031</v>
      </c>
      <c r="Y4" s="454">
        <f>X4/100*70</f>
        <v>2.0930347222222223</v>
      </c>
      <c r="Z4" s="454">
        <f>X4/100*30</f>
        <v>0.89701488095238091</v>
      </c>
      <c r="AA4" s="454">
        <v>0</v>
      </c>
      <c r="AB4" s="455">
        <f>S19</f>
        <v>0.49834160052910054</v>
      </c>
      <c r="AC4" s="455">
        <f>AB4/100*70</f>
        <v>0.3488391203703704</v>
      </c>
      <c r="AD4" s="455">
        <f>AB4/100*30</f>
        <v>0.14950248015873016</v>
      </c>
      <c r="AE4" s="877">
        <v>2</v>
      </c>
      <c r="AF4" s="878">
        <v>500</v>
      </c>
      <c r="AG4" s="878">
        <v>0</v>
      </c>
      <c r="AH4" s="878">
        <v>0</v>
      </c>
      <c r="AI4" s="456">
        <v>0.2</v>
      </c>
      <c r="AJ4" s="456">
        <f>AI4/100*70</f>
        <v>0.14000000000000001</v>
      </c>
      <c r="AK4" s="395">
        <v>0</v>
      </c>
      <c r="AL4" s="395">
        <v>0</v>
      </c>
      <c r="AM4" s="395">
        <v>2</v>
      </c>
      <c r="AN4" s="395">
        <v>6</v>
      </c>
      <c r="AO4" s="395">
        <v>0</v>
      </c>
      <c r="AP4" s="395">
        <v>0</v>
      </c>
      <c r="AQ4" s="395">
        <v>0</v>
      </c>
      <c r="AR4" s="395">
        <v>0</v>
      </c>
      <c r="AS4" s="457">
        <f>S21</f>
        <v>1.4950248015873016</v>
      </c>
      <c r="AT4" s="457">
        <f>AS4/100*90</f>
        <v>1.3455223214285714</v>
      </c>
      <c r="AU4" s="457">
        <f>AT4/100*85</f>
        <v>1.1436939732142857</v>
      </c>
      <c r="AV4" s="457">
        <v>0</v>
      </c>
      <c r="AW4" s="457">
        <v>0</v>
      </c>
      <c r="AX4" s="458">
        <f>S22</f>
        <v>0.19933664021164021</v>
      </c>
      <c r="AY4" s="469">
        <v>4</v>
      </c>
      <c r="AZ4" s="459" t="s">
        <v>65</v>
      </c>
      <c r="BA4" s="460">
        <f>S23</f>
        <v>0.29900496031746032</v>
      </c>
      <c r="BB4" s="458">
        <f>BA4/100*85</f>
        <v>0.2541542162698413</v>
      </c>
      <c r="BC4" s="458" t="s">
        <v>65</v>
      </c>
      <c r="BD4" s="458">
        <v>0</v>
      </c>
      <c r="BE4" s="458" t="s">
        <v>65</v>
      </c>
      <c r="BF4" s="458">
        <v>0</v>
      </c>
      <c r="BG4" s="458" t="s">
        <v>65</v>
      </c>
      <c r="BH4" s="458" t="s">
        <v>65</v>
      </c>
      <c r="BI4" s="458" t="s">
        <v>65</v>
      </c>
      <c r="BJ4" s="461">
        <v>1</v>
      </c>
      <c r="BK4" s="372" t="s">
        <v>170</v>
      </c>
      <c r="BL4" s="461">
        <v>26756.07</v>
      </c>
      <c r="BM4" s="461">
        <v>1.6</v>
      </c>
      <c r="BN4" s="463" t="s">
        <v>72</v>
      </c>
      <c r="BO4" s="461">
        <f>V4</f>
        <v>1.1960198412698413</v>
      </c>
      <c r="BP4" s="461" t="s">
        <v>65</v>
      </c>
      <c r="BQ4" s="461" t="s">
        <v>65</v>
      </c>
      <c r="BR4" s="464" t="s">
        <v>67</v>
      </c>
      <c r="BS4" s="464" t="s">
        <v>67</v>
      </c>
      <c r="BT4" s="465" t="s">
        <v>67</v>
      </c>
      <c r="BU4" s="465" t="s">
        <v>67</v>
      </c>
      <c r="BV4" s="466">
        <v>0</v>
      </c>
      <c r="BW4" s="466">
        <v>0</v>
      </c>
      <c r="BX4" s="467" t="s">
        <v>67</v>
      </c>
      <c r="BY4" s="467" t="s">
        <v>175</v>
      </c>
      <c r="BZ4" s="1101" t="s">
        <v>67</v>
      </c>
      <c r="CA4" s="1101" t="s">
        <v>223</v>
      </c>
    </row>
    <row r="5" spans="1:79" ht="29.25" thickBot="1" x14ac:dyDescent="0.3">
      <c r="A5" s="50">
        <v>50</v>
      </c>
      <c r="B5" s="1100" t="s">
        <v>121</v>
      </c>
      <c r="C5" s="341">
        <v>5</v>
      </c>
      <c r="D5" s="354">
        <v>6</v>
      </c>
      <c r="E5" s="342">
        <v>11</v>
      </c>
      <c r="F5" s="343">
        <v>5</v>
      </c>
      <c r="G5" s="343">
        <v>6</v>
      </c>
      <c r="H5" s="342">
        <v>11</v>
      </c>
      <c r="I5" s="343">
        <v>1</v>
      </c>
      <c r="J5" s="343">
        <v>0</v>
      </c>
      <c r="K5" s="342">
        <v>1</v>
      </c>
      <c r="L5" s="343">
        <v>0</v>
      </c>
      <c r="M5" s="343" t="s">
        <v>65</v>
      </c>
      <c r="N5" s="343">
        <v>0</v>
      </c>
      <c r="O5" s="343" t="s">
        <v>65</v>
      </c>
      <c r="P5" s="825">
        <v>10045</v>
      </c>
      <c r="Q5" s="438">
        <f>SUM(T5,X5,AB5,AS5,AX5,BA5)</f>
        <v>9.9039699074074061</v>
      </c>
      <c r="R5" s="438">
        <f>SUM(U5,Y5,AC5,AI5,AT5,BB5)</f>
        <v>7.3464961805555546</v>
      </c>
      <c r="S5" s="438">
        <f>SUM(V5,Z5,AD5,AJ5,AU5)</f>
        <v>3.6819723958333332</v>
      </c>
      <c r="T5" s="453">
        <f>X17</f>
        <v>4.1700925925925922</v>
      </c>
      <c r="U5" s="453">
        <f>T5/100*70</f>
        <v>2.9190648148148144</v>
      </c>
      <c r="V5" s="453">
        <f>T5/100*30</f>
        <v>1.2510277777777776</v>
      </c>
      <c r="W5" s="345">
        <v>0</v>
      </c>
      <c r="X5" s="454">
        <f>X18</f>
        <v>3.1275694444444442</v>
      </c>
      <c r="Y5" s="454">
        <f>X5/100*70</f>
        <v>2.1892986111111106</v>
      </c>
      <c r="Z5" s="454">
        <f>X5/100*30</f>
        <v>0.93827083333333317</v>
      </c>
      <c r="AA5" s="346">
        <v>0</v>
      </c>
      <c r="AB5" s="455">
        <f>X19</f>
        <v>0.52126157407407403</v>
      </c>
      <c r="AC5" s="455">
        <f>AB5/100*70</f>
        <v>0.3648831018518518</v>
      </c>
      <c r="AD5" s="455">
        <f>AB5/100*30</f>
        <v>0.1563784722222222</v>
      </c>
      <c r="AE5" s="877">
        <v>0</v>
      </c>
      <c r="AF5" s="878">
        <v>0</v>
      </c>
      <c r="AG5" s="878">
        <v>0</v>
      </c>
      <c r="AH5" s="878">
        <v>0</v>
      </c>
      <c r="AI5" s="456">
        <v>0.2</v>
      </c>
      <c r="AJ5" s="456">
        <f>AI5/100*70</f>
        <v>0.14000000000000001</v>
      </c>
      <c r="AK5" s="342">
        <v>0</v>
      </c>
      <c r="AL5" s="342">
        <v>0</v>
      </c>
      <c r="AM5" s="342">
        <v>1</v>
      </c>
      <c r="AN5" s="342">
        <v>1.6</v>
      </c>
      <c r="AO5" s="342">
        <v>0</v>
      </c>
      <c r="AP5" s="342">
        <v>0</v>
      </c>
      <c r="AQ5" s="342">
        <v>0</v>
      </c>
      <c r="AR5" s="342">
        <v>0</v>
      </c>
      <c r="AS5" s="457">
        <f>X21</f>
        <v>1.5637847222222221</v>
      </c>
      <c r="AT5" s="457">
        <f>AS5/100*90</f>
        <v>1.4074062499999997</v>
      </c>
      <c r="AU5" s="457">
        <f>AT5/100*85</f>
        <v>1.1962953124999998</v>
      </c>
      <c r="AV5" s="349">
        <v>0</v>
      </c>
      <c r="AW5" s="349">
        <v>0</v>
      </c>
      <c r="AX5" s="458">
        <f>X22</f>
        <v>0.20850462962962962</v>
      </c>
      <c r="AY5" s="350">
        <v>1</v>
      </c>
      <c r="AZ5" s="459" t="s">
        <v>65</v>
      </c>
      <c r="BA5" s="458">
        <f>X23</f>
        <v>0.31275694444444446</v>
      </c>
      <c r="BB5" s="824">
        <f>BA5/100*85</f>
        <v>0.26584340277777779</v>
      </c>
      <c r="BC5" s="350" t="s">
        <v>65</v>
      </c>
      <c r="BD5" s="350">
        <v>0</v>
      </c>
      <c r="BE5" s="350" t="s">
        <v>65</v>
      </c>
      <c r="BF5" s="350">
        <v>0</v>
      </c>
      <c r="BG5" s="350" t="s">
        <v>65</v>
      </c>
      <c r="BH5" s="350" t="s">
        <v>65</v>
      </c>
      <c r="BI5" s="350" t="s">
        <v>67</v>
      </c>
      <c r="BJ5" s="362">
        <v>1</v>
      </c>
      <c r="BK5" s="372" t="s">
        <v>170</v>
      </c>
      <c r="BL5" s="362">
        <v>15617.8</v>
      </c>
      <c r="BM5" s="368">
        <v>1.6</v>
      </c>
      <c r="BN5" s="362" t="s">
        <v>72</v>
      </c>
      <c r="BO5" s="461">
        <f>V5</f>
        <v>1.2510277777777776</v>
      </c>
      <c r="BP5" s="362">
        <v>0</v>
      </c>
      <c r="BQ5" s="362" t="s">
        <v>65</v>
      </c>
      <c r="BR5" s="363" t="s">
        <v>67</v>
      </c>
      <c r="BS5" s="363" t="s">
        <v>67</v>
      </c>
      <c r="BT5" s="364" t="s">
        <v>65</v>
      </c>
      <c r="BU5" s="364" t="s">
        <v>65</v>
      </c>
      <c r="BV5" s="66">
        <v>0</v>
      </c>
      <c r="BW5" s="66">
        <v>0</v>
      </c>
      <c r="BX5" s="467" t="s">
        <v>67</v>
      </c>
      <c r="BY5" s="467" t="s">
        <v>197</v>
      </c>
      <c r="BZ5" s="1101" t="s">
        <v>67</v>
      </c>
      <c r="CA5" s="1101" t="s">
        <v>230</v>
      </c>
    </row>
    <row r="6" spans="1:79" x14ac:dyDescent="0.25">
      <c r="A6" s="673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4"/>
      <c r="Q6" s="737"/>
      <c r="R6" s="673"/>
      <c r="S6" s="673"/>
      <c r="T6" s="673"/>
      <c r="U6" s="673"/>
      <c r="V6" s="673"/>
      <c r="W6" s="673"/>
      <c r="X6" s="673"/>
      <c r="Y6" s="673"/>
      <c r="Z6" s="673"/>
      <c r="AA6" s="673"/>
      <c r="AB6" s="673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  <c r="AT6" s="673"/>
      <c r="AU6" s="673"/>
      <c r="AV6" s="673"/>
      <c r="AW6" s="673"/>
      <c r="AX6" s="673"/>
      <c r="AY6" s="673"/>
      <c r="AZ6" s="673"/>
      <c r="BA6" s="673"/>
      <c r="BB6" s="673"/>
      <c r="BC6" s="673"/>
      <c r="BD6" s="673"/>
      <c r="BE6" s="673"/>
      <c r="BF6" s="673"/>
      <c r="BG6" s="673"/>
      <c r="BH6" s="673"/>
      <c r="BI6" s="673"/>
      <c r="BJ6" s="673"/>
      <c r="BK6" s="673"/>
      <c r="BL6" s="673"/>
      <c r="BM6" s="673"/>
      <c r="BN6" s="673"/>
      <c r="BO6" s="673"/>
      <c r="BP6" s="673"/>
      <c r="BQ6" s="673"/>
      <c r="BR6" s="673"/>
      <c r="BS6" s="673"/>
      <c r="BT6" s="673"/>
      <c r="BU6" s="673"/>
      <c r="BV6" s="673"/>
      <c r="BW6" s="673"/>
      <c r="BX6" s="673"/>
      <c r="BY6" s="738"/>
      <c r="BZ6" s="739"/>
      <c r="CA6" s="739"/>
    </row>
    <row r="7" spans="1:79" ht="28.5" x14ac:dyDescent="0.25">
      <c r="A7" s="50">
        <v>60</v>
      </c>
      <c r="B7" s="1100" t="s">
        <v>161</v>
      </c>
      <c r="C7" s="341">
        <v>5</v>
      </c>
      <c r="D7" s="341">
        <v>5</v>
      </c>
      <c r="E7" s="342">
        <v>10</v>
      </c>
      <c r="F7" s="343">
        <v>10</v>
      </c>
      <c r="G7" s="343">
        <v>10</v>
      </c>
      <c r="H7" s="342">
        <v>10</v>
      </c>
      <c r="I7" s="343">
        <v>1</v>
      </c>
      <c r="J7" s="343">
        <v>0</v>
      </c>
      <c r="K7" s="342">
        <v>1</v>
      </c>
      <c r="L7" s="343">
        <v>0</v>
      </c>
      <c r="M7" s="480" t="s">
        <v>176</v>
      </c>
      <c r="N7" s="480">
        <f t="shared" ref="N7:P8" si="0">N4</f>
        <v>0</v>
      </c>
      <c r="O7" s="480" t="str">
        <f t="shared" si="0"/>
        <v>No</v>
      </c>
      <c r="P7" s="1103">
        <f t="shared" si="0"/>
        <v>28960</v>
      </c>
      <c r="Q7" s="394">
        <f>SUM(T7,X7,AB7,AS7,AX7,BA7)</f>
        <v>284.05471230158736</v>
      </c>
      <c r="R7" s="394">
        <f>SUM(U7,Y7,AC7,AI7,AT7,BB7)</f>
        <v>210.96790029761905</v>
      </c>
      <c r="S7" s="394">
        <f>SUM(V7,Z7,AD7,AJ7,AU7)</f>
        <v>105.78693526785715</v>
      </c>
      <c r="T7" s="527">
        <f>T4*30</f>
        <v>119.60198412698414</v>
      </c>
      <c r="U7" s="527">
        <f t="shared" ref="U7:AD8" si="1">U4*30</f>
        <v>83.721388888888896</v>
      </c>
      <c r="V7" s="527">
        <f t="shared" si="1"/>
        <v>35.880595238095239</v>
      </c>
      <c r="W7" s="527">
        <f t="shared" si="1"/>
        <v>0</v>
      </c>
      <c r="X7" s="527">
        <f t="shared" si="1"/>
        <v>89.701488095238091</v>
      </c>
      <c r="Y7" s="527">
        <f t="shared" si="1"/>
        <v>62.791041666666672</v>
      </c>
      <c r="Z7" s="527">
        <f t="shared" si="1"/>
        <v>26.910446428571426</v>
      </c>
      <c r="AA7" s="527">
        <f t="shared" si="1"/>
        <v>0</v>
      </c>
      <c r="AB7" s="527">
        <f t="shared" si="1"/>
        <v>14.950248015873017</v>
      </c>
      <c r="AC7" s="527">
        <f t="shared" si="1"/>
        <v>10.465173611111112</v>
      </c>
      <c r="AD7" s="527">
        <f t="shared" si="1"/>
        <v>4.4850744047619049</v>
      </c>
      <c r="AE7" s="250">
        <v>0</v>
      </c>
      <c r="AF7" s="823">
        <v>0</v>
      </c>
      <c r="AG7" s="823">
        <v>0</v>
      </c>
      <c r="AH7" s="823">
        <v>0</v>
      </c>
      <c r="AI7" s="681">
        <f>AI4*30</f>
        <v>6</v>
      </c>
      <c r="AJ7" s="681">
        <f>AJ4*30</f>
        <v>4.2</v>
      </c>
      <c r="AK7" s="395">
        <v>0</v>
      </c>
      <c r="AL7" s="395">
        <v>0</v>
      </c>
      <c r="AM7" s="395">
        <v>2</v>
      </c>
      <c r="AN7" s="395">
        <v>6</v>
      </c>
      <c r="AO7" s="395">
        <v>0</v>
      </c>
      <c r="AP7" s="395">
        <v>0</v>
      </c>
      <c r="AQ7" s="395">
        <v>0</v>
      </c>
      <c r="AR7" s="395">
        <v>0</v>
      </c>
      <c r="AS7" s="682">
        <f>AS4*30</f>
        <v>44.850744047619045</v>
      </c>
      <c r="AT7" s="682">
        <f t="shared" ref="AT7:BB8" si="2">AT4*30</f>
        <v>40.365669642857142</v>
      </c>
      <c r="AU7" s="682">
        <f t="shared" si="2"/>
        <v>34.310819196428568</v>
      </c>
      <c r="AV7" s="682">
        <f t="shared" si="2"/>
        <v>0</v>
      </c>
      <c r="AW7" s="682">
        <f t="shared" si="2"/>
        <v>0</v>
      </c>
      <c r="AX7" s="682">
        <f t="shared" si="2"/>
        <v>5.9800992063492062</v>
      </c>
      <c r="AY7" s="682">
        <f t="shared" si="2"/>
        <v>120</v>
      </c>
      <c r="AZ7" s="682" t="e">
        <f t="shared" si="2"/>
        <v>#VALUE!</v>
      </c>
      <c r="BA7" s="682">
        <f t="shared" si="2"/>
        <v>8.9701488095238098</v>
      </c>
      <c r="BB7" s="682">
        <f t="shared" si="2"/>
        <v>7.624626488095239</v>
      </c>
      <c r="BC7" s="342" t="s">
        <v>65</v>
      </c>
      <c r="BD7" s="342">
        <v>0</v>
      </c>
      <c r="BE7" s="342" t="s">
        <v>65</v>
      </c>
      <c r="BF7" s="342">
        <v>0</v>
      </c>
      <c r="BG7" s="342" t="s">
        <v>65</v>
      </c>
      <c r="BH7" s="342" t="s">
        <v>65</v>
      </c>
      <c r="BI7" s="342" t="s">
        <v>65</v>
      </c>
      <c r="BJ7" s="514">
        <v>1</v>
      </c>
      <c r="BK7" s="515" t="s">
        <v>170</v>
      </c>
      <c r="BL7" s="514">
        <v>1350</v>
      </c>
      <c r="BM7" s="514">
        <v>1.5</v>
      </c>
      <c r="BN7" s="516" t="s">
        <v>66</v>
      </c>
      <c r="BO7" s="514">
        <v>1260</v>
      </c>
      <c r="BP7" s="514">
        <v>0</v>
      </c>
      <c r="BQ7" s="514" t="s">
        <v>65</v>
      </c>
      <c r="BR7" s="514" t="s">
        <v>67</v>
      </c>
      <c r="BS7" s="514" t="s">
        <v>67</v>
      </c>
      <c r="BT7" s="514" t="s">
        <v>67</v>
      </c>
      <c r="BU7" s="514" t="s">
        <v>67</v>
      </c>
      <c r="BV7" s="513">
        <v>0</v>
      </c>
      <c r="BW7" s="513">
        <v>0</v>
      </c>
      <c r="BX7" s="517" t="s">
        <v>67</v>
      </c>
      <c r="BY7" s="517" t="s">
        <v>175</v>
      </c>
      <c r="BZ7" s="1101" t="s">
        <v>67</v>
      </c>
      <c r="CA7" s="1101" t="s">
        <v>223</v>
      </c>
    </row>
    <row r="8" spans="1:79" ht="28.5" x14ac:dyDescent="0.25">
      <c r="A8" s="50">
        <v>50</v>
      </c>
      <c r="B8" s="1100" t="s">
        <v>121</v>
      </c>
      <c r="C8" s="341">
        <v>5</v>
      </c>
      <c r="D8" s="354">
        <v>6</v>
      </c>
      <c r="E8" s="342">
        <v>11</v>
      </c>
      <c r="F8" s="343">
        <v>5</v>
      </c>
      <c r="G8" s="343">
        <v>6</v>
      </c>
      <c r="H8" s="342">
        <v>11</v>
      </c>
      <c r="I8" s="343">
        <v>1</v>
      </c>
      <c r="J8" s="343">
        <v>0</v>
      </c>
      <c r="K8" s="342">
        <v>1</v>
      </c>
      <c r="L8" s="343">
        <v>0</v>
      </c>
      <c r="M8" s="343" t="s">
        <v>65</v>
      </c>
      <c r="N8" s="343">
        <f t="shared" si="0"/>
        <v>0</v>
      </c>
      <c r="O8" s="343" t="str">
        <f t="shared" si="0"/>
        <v>No</v>
      </c>
      <c r="P8" s="679">
        <f t="shared" si="0"/>
        <v>10045</v>
      </c>
      <c r="Q8" s="394">
        <f>SUM(T8,X8,AB8,AS8,AX8,BA8)</f>
        <v>297.11909722222219</v>
      </c>
      <c r="R8" s="394">
        <f>SUM(U8,Y8,AC8,AI8,AT8,BB8)</f>
        <v>220.39488541666663</v>
      </c>
      <c r="S8" s="394">
        <f>SUM(V8,Z8,AD8,AJ8,AU8)</f>
        <v>110.459171875</v>
      </c>
      <c r="T8" s="527">
        <f>T5*30</f>
        <v>125.10277777777776</v>
      </c>
      <c r="U8" s="527">
        <f t="shared" si="1"/>
        <v>87.571944444444426</v>
      </c>
      <c r="V8" s="527">
        <f t="shared" si="1"/>
        <v>37.530833333333327</v>
      </c>
      <c r="W8" s="527">
        <f t="shared" si="1"/>
        <v>0</v>
      </c>
      <c r="X8" s="527">
        <f t="shared" si="1"/>
        <v>93.82708333333332</v>
      </c>
      <c r="Y8" s="527">
        <f t="shared" si="1"/>
        <v>65.678958333333313</v>
      </c>
      <c r="Z8" s="527">
        <f t="shared" si="1"/>
        <v>28.148124999999993</v>
      </c>
      <c r="AA8" s="527">
        <f t="shared" si="1"/>
        <v>0</v>
      </c>
      <c r="AB8" s="527">
        <f t="shared" si="1"/>
        <v>15.63784722222222</v>
      </c>
      <c r="AC8" s="527">
        <f t="shared" si="1"/>
        <v>10.946493055555553</v>
      </c>
      <c r="AD8" s="527">
        <f t="shared" si="1"/>
        <v>4.6913541666666658</v>
      </c>
      <c r="AE8" s="201">
        <v>0</v>
      </c>
      <c r="AF8" s="823">
        <v>0</v>
      </c>
      <c r="AG8" s="823">
        <v>0</v>
      </c>
      <c r="AH8" s="823">
        <v>0</v>
      </c>
      <c r="AI8" s="681">
        <f>AI5*30</f>
        <v>6</v>
      </c>
      <c r="AJ8" s="681">
        <f>AJ5*30</f>
        <v>4.2</v>
      </c>
      <c r="AK8" s="395">
        <v>0</v>
      </c>
      <c r="AL8" s="395">
        <v>0</v>
      </c>
      <c r="AM8" s="395">
        <v>2</v>
      </c>
      <c r="AN8" s="395">
        <v>6</v>
      </c>
      <c r="AO8" s="395">
        <v>0</v>
      </c>
      <c r="AP8" s="395">
        <v>0</v>
      </c>
      <c r="AQ8" s="395">
        <v>0</v>
      </c>
      <c r="AR8" s="395">
        <v>0</v>
      </c>
      <c r="AS8" s="682">
        <f>AS5*30</f>
        <v>46.91354166666666</v>
      </c>
      <c r="AT8" s="682">
        <f t="shared" si="2"/>
        <v>42.22218749999999</v>
      </c>
      <c r="AU8" s="682">
        <f t="shared" si="2"/>
        <v>35.888859374999996</v>
      </c>
      <c r="AV8" s="682">
        <f t="shared" si="2"/>
        <v>0</v>
      </c>
      <c r="AW8" s="682">
        <f t="shared" si="2"/>
        <v>0</v>
      </c>
      <c r="AX8" s="682">
        <f t="shared" si="2"/>
        <v>6.2551388888888884</v>
      </c>
      <c r="AY8" s="682">
        <f t="shared" si="2"/>
        <v>30</v>
      </c>
      <c r="AZ8" s="682" t="e">
        <f t="shared" si="2"/>
        <v>#VALUE!</v>
      </c>
      <c r="BA8" s="682">
        <f t="shared" si="2"/>
        <v>9.3827083333333334</v>
      </c>
      <c r="BB8" s="682">
        <f t="shared" si="2"/>
        <v>7.9753020833333341</v>
      </c>
      <c r="BC8" s="342" t="s">
        <v>65</v>
      </c>
      <c r="BD8" s="342">
        <v>0</v>
      </c>
      <c r="BE8" s="342" t="s">
        <v>65</v>
      </c>
      <c r="BF8" s="342">
        <v>0</v>
      </c>
      <c r="BG8" s="342" t="s">
        <v>65</v>
      </c>
      <c r="BH8" s="342" t="s">
        <v>65</v>
      </c>
      <c r="BI8" s="342" t="s">
        <v>67</v>
      </c>
      <c r="BJ8" s="514">
        <v>1</v>
      </c>
      <c r="BK8" s="515" t="s">
        <v>170</v>
      </c>
      <c r="BL8" s="514">
        <v>15617.8</v>
      </c>
      <c r="BM8" s="514">
        <v>1.6</v>
      </c>
      <c r="BN8" s="514" t="s">
        <v>72</v>
      </c>
      <c r="BO8" s="514">
        <v>800</v>
      </c>
      <c r="BP8" s="514">
        <v>0</v>
      </c>
      <c r="BQ8" s="514" t="s">
        <v>65</v>
      </c>
      <c r="BR8" s="514" t="s">
        <v>67</v>
      </c>
      <c r="BS8" s="514" t="s">
        <v>67</v>
      </c>
      <c r="BT8" s="514" t="s">
        <v>65</v>
      </c>
      <c r="BU8" s="514" t="s">
        <v>65</v>
      </c>
      <c r="BV8" s="513">
        <v>0</v>
      </c>
      <c r="BW8" s="513">
        <v>0</v>
      </c>
      <c r="BX8" s="517" t="s">
        <v>67</v>
      </c>
      <c r="BY8" s="517" t="s">
        <v>198</v>
      </c>
      <c r="BZ8" s="1101" t="s">
        <v>67</v>
      </c>
      <c r="CA8" s="1101" t="s">
        <v>224</v>
      </c>
    </row>
    <row r="9" spans="1:79" x14ac:dyDescent="0.25">
      <c r="R9" s="393"/>
      <c r="S9" s="393"/>
    </row>
    <row r="11" spans="1:79" x14ac:dyDescent="0.25">
      <c r="P11" s="1059">
        <v>45809</v>
      </c>
    </row>
    <row r="12" spans="1:79" x14ac:dyDescent="0.25">
      <c r="Q12" s="1121" t="s">
        <v>226</v>
      </c>
      <c r="R12" s="1121"/>
      <c r="S12" s="1121"/>
      <c r="T12" s="1121"/>
      <c r="V12" s="1121" t="s">
        <v>226</v>
      </c>
      <c r="W12" s="1121"/>
      <c r="X12" s="1121"/>
      <c r="Y12" s="1121"/>
    </row>
    <row r="13" spans="1:79" x14ac:dyDescent="0.25">
      <c r="Q13" s="1122" t="s">
        <v>196</v>
      </c>
      <c r="R13" s="1123"/>
      <c r="S13" s="1123"/>
      <c r="T13" s="1124"/>
      <c r="V13" s="1122" t="s">
        <v>121</v>
      </c>
      <c r="W13" s="1123"/>
      <c r="X13" s="1123"/>
      <c r="Y13" s="1124"/>
      <c r="AA13" s="1125" t="s">
        <v>136</v>
      </c>
      <c r="AB13" s="1125"/>
      <c r="AD13" s="1125" t="s">
        <v>137</v>
      </c>
      <c r="AE13" s="1125"/>
      <c r="AF13" s="1125"/>
      <c r="AG13" s="1125"/>
      <c r="AH13" s="1125"/>
      <c r="AI13" s="1125"/>
      <c r="AL13" s="449"/>
    </row>
    <row r="14" spans="1:79" x14ac:dyDescent="0.25">
      <c r="Q14" s="1127" t="s">
        <v>192</v>
      </c>
      <c r="R14" s="1128"/>
      <c r="S14" s="1082">
        <v>31179</v>
      </c>
      <c r="T14" s="1082"/>
      <c r="V14" s="1127" t="s">
        <v>192</v>
      </c>
      <c r="W14" s="1128"/>
      <c r="X14" s="1082">
        <v>32613</v>
      </c>
      <c r="Y14" s="1082"/>
      <c r="AA14" s="1134" t="s">
        <v>199</v>
      </c>
      <c r="AB14" s="1135"/>
      <c r="AD14" s="1131" t="s">
        <v>199</v>
      </c>
      <c r="AE14" s="1131"/>
      <c r="AF14" s="1131"/>
      <c r="AG14" s="1131"/>
      <c r="AH14" s="1131"/>
      <c r="AI14" s="1131"/>
      <c r="AL14" s="449"/>
    </row>
    <row r="15" spans="1:79" x14ac:dyDescent="0.25">
      <c r="Q15" s="1127" t="s">
        <v>193</v>
      </c>
      <c r="R15" s="1128"/>
      <c r="S15" s="1082">
        <v>290</v>
      </c>
      <c r="T15" s="1082" t="s">
        <v>227</v>
      </c>
      <c r="V15" s="1127" t="s">
        <v>193</v>
      </c>
      <c r="W15" s="1128"/>
      <c r="X15" s="1082">
        <v>290</v>
      </c>
      <c r="Y15" s="1082" t="s">
        <v>194</v>
      </c>
      <c r="AA15" s="1129">
        <f>108*S14/1000000</f>
        <v>3.3673320000000002</v>
      </c>
      <c r="AB15" s="1130"/>
      <c r="AD15" s="1136">
        <f>108*X14/1000000</f>
        <v>3.5222039999999999</v>
      </c>
      <c r="AE15" s="1136"/>
      <c r="AF15" s="1136"/>
      <c r="AG15" s="1136"/>
      <c r="AH15" s="1136"/>
      <c r="AI15" s="1136"/>
    </row>
    <row r="16" spans="1:79" x14ac:dyDescent="0.25">
      <c r="Q16" s="1127" t="s">
        <v>195</v>
      </c>
      <c r="R16" s="1128"/>
      <c r="S16" s="596">
        <f>S14*S15/907200</f>
        <v>9.9668320105820101</v>
      </c>
      <c r="T16" s="1082"/>
      <c r="V16" s="1127" t="s">
        <v>195</v>
      </c>
      <c r="W16" s="1128"/>
      <c r="X16" s="596">
        <f>X14*X15/907200</f>
        <v>10.425231481481481</v>
      </c>
      <c r="Y16" s="1082"/>
      <c r="AA16" s="1129">
        <f>AA15*31</f>
        <v>104.387292</v>
      </c>
      <c r="AB16" s="1130"/>
      <c r="AD16" s="1131">
        <f>AD15*31</f>
        <v>109.18832399999999</v>
      </c>
      <c r="AE16" s="1131"/>
      <c r="AF16" s="1131"/>
      <c r="AG16" s="1131"/>
      <c r="AH16" s="1131"/>
      <c r="AI16" s="1131"/>
    </row>
    <row r="17" spans="17:35" x14ac:dyDescent="0.25">
      <c r="Q17" s="1132" t="s">
        <v>9</v>
      </c>
      <c r="R17" s="1133"/>
      <c r="S17" s="592">
        <f>S16/100*40</f>
        <v>3.9867328042328043</v>
      </c>
      <c r="T17" s="1082">
        <v>40</v>
      </c>
      <c r="V17" s="1132" t="s">
        <v>9</v>
      </c>
      <c r="W17" s="1133"/>
      <c r="X17" s="592">
        <f>X16/100*40</f>
        <v>4.1700925925925922</v>
      </c>
      <c r="Y17" s="1082">
        <v>40</v>
      </c>
      <c r="AA17" s="249"/>
      <c r="AB17" s="249"/>
      <c r="AD17" s="1131"/>
      <c r="AE17" s="1131"/>
      <c r="AF17" s="1131"/>
      <c r="AG17" s="1131"/>
      <c r="AH17" s="1131"/>
      <c r="AI17" s="1131"/>
    </row>
    <row r="18" spans="17:35" ht="15" customHeight="1" x14ac:dyDescent="0.25">
      <c r="Q18" s="1132" t="s">
        <v>10</v>
      </c>
      <c r="R18" s="1133"/>
      <c r="S18" s="592">
        <f>S16/100*30</f>
        <v>2.9900496031746031</v>
      </c>
      <c r="T18" s="1082">
        <v>30</v>
      </c>
      <c r="V18" s="1132" t="s">
        <v>10</v>
      </c>
      <c r="W18" s="1133"/>
      <c r="X18" s="592">
        <f>X16/100*30</f>
        <v>3.1275694444444442</v>
      </c>
      <c r="Y18" s="1082">
        <v>30</v>
      </c>
      <c r="AA18" s="1137" t="s">
        <v>225</v>
      </c>
      <c r="AB18" s="1138"/>
      <c r="AD18" s="1139" t="s">
        <v>225</v>
      </c>
      <c r="AE18" s="1139"/>
      <c r="AF18" s="1139"/>
      <c r="AG18" s="1139"/>
      <c r="AH18" s="1139"/>
      <c r="AI18" s="1139"/>
    </row>
    <row r="19" spans="17:35" x14ac:dyDescent="0.25">
      <c r="Q19" s="1132" t="s">
        <v>11</v>
      </c>
      <c r="R19" s="1133"/>
      <c r="S19" s="592">
        <f>S16/100*5</f>
        <v>0.49834160052910054</v>
      </c>
      <c r="T19" s="1082">
        <v>5</v>
      </c>
      <c r="V19" s="1132" t="s">
        <v>11</v>
      </c>
      <c r="W19" s="1133"/>
      <c r="X19" s="592">
        <f>X16/100*5</f>
        <v>0.52126157407407403</v>
      </c>
      <c r="Y19" s="1082">
        <v>5</v>
      </c>
      <c r="AA19" s="1129">
        <f>120*S14/250</f>
        <v>14965.92</v>
      </c>
      <c r="AB19" s="1130"/>
      <c r="AD19" s="1131">
        <f>120*X14/250</f>
        <v>15654.24</v>
      </c>
      <c r="AE19" s="1131"/>
      <c r="AF19" s="1131"/>
      <c r="AG19" s="1131"/>
      <c r="AH19" s="1131"/>
      <c r="AI19" s="1131"/>
    </row>
    <row r="20" spans="17:35" x14ac:dyDescent="0.25">
      <c r="Q20" s="1132" t="s">
        <v>12</v>
      </c>
      <c r="R20" s="1133"/>
      <c r="S20" s="592">
        <f>S16/100*5</f>
        <v>0.49834160052910054</v>
      </c>
      <c r="T20" s="1082">
        <v>5</v>
      </c>
      <c r="V20" s="1132" t="s">
        <v>12</v>
      </c>
      <c r="W20" s="1133"/>
      <c r="X20" s="592">
        <f>X16/100*5</f>
        <v>0.52126157407407403</v>
      </c>
      <c r="Y20" s="1082">
        <v>5</v>
      </c>
      <c r="AA20" s="1129">
        <f>AA19/1000</f>
        <v>14.965920000000001</v>
      </c>
      <c r="AB20" s="1130"/>
      <c r="AD20" s="1136">
        <f>AD19/1000</f>
        <v>15.65424</v>
      </c>
      <c r="AE20" s="1136"/>
      <c r="AF20" s="1136"/>
      <c r="AG20" s="1136"/>
      <c r="AH20" s="1136"/>
      <c r="AI20" s="1136"/>
    </row>
    <row r="21" spans="17:35" x14ac:dyDescent="0.25">
      <c r="Q21" s="1132" t="s">
        <v>99</v>
      </c>
      <c r="R21" s="1133"/>
      <c r="S21" s="592">
        <f>S16/100*15</f>
        <v>1.4950248015873016</v>
      </c>
      <c r="T21" s="1082">
        <v>15</v>
      </c>
      <c r="V21" s="1132" t="s">
        <v>99</v>
      </c>
      <c r="W21" s="1133"/>
      <c r="X21" s="592">
        <f>X16/100*15</f>
        <v>1.5637847222222221</v>
      </c>
      <c r="Y21" s="1082">
        <v>15</v>
      </c>
      <c r="AA21" s="1129">
        <f>AA20*31</f>
        <v>463.94352000000003</v>
      </c>
      <c r="AB21" s="1130"/>
      <c r="AD21" s="1131">
        <f>AD20*31</f>
        <v>485.28143999999998</v>
      </c>
      <c r="AE21" s="1131"/>
      <c r="AF21" s="1131"/>
      <c r="AG21" s="1131"/>
      <c r="AH21" s="1131"/>
      <c r="AI21" s="1131"/>
    </row>
    <row r="22" spans="17:35" x14ac:dyDescent="0.25">
      <c r="Q22" s="1132" t="s">
        <v>100</v>
      </c>
      <c r="R22" s="1133"/>
      <c r="S22" s="592">
        <f>S16/100*2</f>
        <v>0.19933664021164021</v>
      </c>
      <c r="T22" s="1082">
        <v>2</v>
      </c>
      <c r="V22" s="1132" t="s">
        <v>100</v>
      </c>
      <c r="W22" s="1133"/>
      <c r="X22" s="592">
        <f>X16/100*2</f>
        <v>0.20850462962962962</v>
      </c>
      <c r="Y22" s="1082">
        <v>2</v>
      </c>
      <c r="AA22" s="1129">
        <f>AA21/100*2</f>
        <v>9.2788704000000006</v>
      </c>
      <c r="AB22" s="1130"/>
      <c r="AD22" s="1144"/>
      <c r="AE22" s="1145"/>
      <c r="AF22" s="1145"/>
      <c r="AG22" s="1145"/>
      <c r="AH22" s="1145"/>
      <c r="AI22" s="1145"/>
    </row>
    <row r="23" spans="17:35" x14ac:dyDescent="0.25">
      <c r="Q23" s="1132" t="s">
        <v>101</v>
      </c>
      <c r="R23" s="1133"/>
      <c r="S23" s="592">
        <f>S16/100*3</f>
        <v>0.29900496031746032</v>
      </c>
      <c r="T23" s="1082">
        <v>3</v>
      </c>
      <c r="V23" s="1132" t="s">
        <v>101</v>
      </c>
      <c r="W23" s="1133"/>
      <c r="X23" s="592">
        <f>X16/100*3</f>
        <v>0.31275694444444446</v>
      </c>
      <c r="Y23" s="1082">
        <v>3</v>
      </c>
    </row>
    <row r="24" spans="17:35" x14ac:dyDescent="0.25">
      <c r="Q24" s="1140" t="s">
        <v>89</v>
      </c>
      <c r="R24" s="1141"/>
      <c r="S24" s="596">
        <f>SUM(S17:S23)</f>
        <v>9.9668320105820118</v>
      </c>
      <c r="T24" s="1082">
        <f>SUM(T17:T23)</f>
        <v>100</v>
      </c>
      <c r="V24" s="1140" t="s">
        <v>89</v>
      </c>
      <c r="W24" s="1141"/>
      <c r="X24" s="596">
        <f>SUM(X17:X23)</f>
        <v>10.425231481481481</v>
      </c>
      <c r="Y24" s="1082">
        <f>SUM(Y17:Y23)</f>
        <v>100</v>
      </c>
      <c r="AA24">
        <v>0.12</v>
      </c>
    </row>
    <row r="25" spans="17:35" x14ac:dyDescent="0.25">
      <c r="S25" s="1142"/>
      <c r="T25" s="1142"/>
    </row>
    <row r="26" spans="17:35" x14ac:dyDescent="0.25">
      <c r="S26" s="1143"/>
      <c r="T26" s="1143"/>
    </row>
    <row r="27" spans="17:35" x14ac:dyDescent="0.25">
      <c r="R27" s="1121" t="s">
        <v>205</v>
      </c>
      <c r="S27" s="1121"/>
      <c r="T27" s="1121"/>
      <c r="U27" s="1121"/>
      <c r="V27" s="1121"/>
      <c r="W27" s="1121"/>
      <c r="AA27" s="1121" t="s">
        <v>205</v>
      </c>
      <c r="AB27" s="1121"/>
      <c r="AC27" s="1121"/>
      <c r="AD27" s="1121"/>
      <c r="AE27" s="817"/>
      <c r="AF27" s="817"/>
      <c r="AG27" s="817"/>
      <c r="AH27" s="817"/>
    </row>
    <row r="28" spans="17:35" x14ac:dyDescent="0.25">
      <c r="R28" s="1149" t="s">
        <v>136</v>
      </c>
      <c r="S28" s="1149"/>
      <c r="T28" s="1149"/>
      <c r="U28" s="1149"/>
      <c r="V28" s="1149"/>
      <c r="W28" s="1149"/>
      <c r="AA28" s="1149" t="s">
        <v>137</v>
      </c>
      <c r="AB28" s="1149"/>
      <c r="AC28" s="1149"/>
      <c r="AD28" s="1149"/>
      <c r="AE28" s="818"/>
      <c r="AF28" s="818"/>
      <c r="AG28" s="818"/>
      <c r="AH28" s="818"/>
    </row>
    <row r="29" spans="17:35" x14ac:dyDescent="0.25">
      <c r="R29" s="1146" t="s">
        <v>203</v>
      </c>
      <c r="S29" s="1146"/>
      <c r="T29" s="1146" t="s">
        <v>205</v>
      </c>
      <c r="U29" s="1146"/>
      <c r="V29" s="1146" t="s">
        <v>206</v>
      </c>
      <c r="W29" s="1146"/>
      <c r="AA29" s="1146" t="s">
        <v>203</v>
      </c>
      <c r="AB29" s="1146"/>
      <c r="AC29" s="1146" t="s">
        <v>205</v>
      </c>
      <c r="AD29" s="1146"/>
      <c r="AE29" s="1146" t="s">
        <v>206</v>
      </c>
      <c r="AF29" s="1146"/>
      <c r="AG29" s="1087"/>
      <c r="AH29" s="1087"/>
    </row>
    <row r="30" spans="17:35" x14ac:dyDescent="0.25">
      <c r="R30" s="1147" t="s">
        <v>86</v>
      </c>
      <c r="S30" s="1147"/>
      <c r="T30" s="1148">
        <f>U7</f>
        <v>83.721388888888896</v>
      </c>
      <c r="U30" s="1148"/>
      <c r="V30" s="1148">
        <f>V7</f>
        <v>35.880595238095239</v>
      </c>
      <c r="W30" s="1148"/>
      <c r="X30" s="393"/>
      <c r="AA30" s="1147" t="s">
        <v>86</v>
      </c>
      <c r="AB30" s="1147"/>
      <c r="AC30" s="1148">
        <f>U8</f>
        <v>87.571944444444426</v>
      </c>
      <c r="AD30" s="1148"/>
      <c r="AE30" s="1148">
        <f>V8</f>
        <v>37.530833333333327</v>
      </c>
      <c r="AF30" s="1148"/>
      <c r="AG30" s="1086"/>
      <c r="AH30" s="1086"/>
    </row>
    <row r="31" spans="17:35" x14ac:dyDescent="0.25">
      <c r="R31" s="1147" t="s">
        <v>87</v>
      </c>
      <c r="S31" s="1147"/>
      <c r="T31" s="1148">
        <f>Y7</f>
        <v>62.791041666666672</v>
      </c>
      <c r="U31" s="1148"/>
      <c r="V31" s="1148">
        <f>Z7</f>
        <v>26.910446428571426</v>
      </c>
      <c r="W31" s="1148"/>
      <c r="X31" s="393"/>
      <c r="AA31" s="1147" t="s">
        <v>87</v>
      </c>
      <c r="AB31" s="1147"/>
      <c r="AC31" s="1148">
        <f>Y8</f>
        <v>65.678958333333313</v>
      </c>
      <c r="AD31" s="1148"/>
      <c r="AE31" s="1148">
        <f>Z8</f>
        <v>28.148124999999993</v>
      </c>
      <c r="AF31" s="1148"/>
      <c r="AG31" s="1086"/>
      <c r="AH31" s="1086"/>
    </row>
    <row r="32" spans="17:35" ht="28.5" customHeight="1" x14ac:dyDescent="0.25">
      <c r="R32" s="1150" t="s">
        <v>201</v>
      </c>
      <c r="S32" s="1150"/>
      <c r="T32" s="1151">
        <v>8</v>
      </c>
      <c r="U32" s="1152"/>
      <c r="V32" s="1152">
        <v>5</v>
      </c>
      <c r="W32" s="1152"/>
      <c r="AA32" s="1150" t="s">
        <v>201</v>
      </c>
      <c r="AB32" s="1150"/>
      <c r="AC32" s="1152">
        <v>7</v>
      </c>
      <c r="AD32" s="1152"/>
      <c r="AE32" s="1152">
        <v>5</v>
      </c>
      <c r="AF32" s="1152"/>
      <c r="AG32" s="1085"/>
      <c r="AH32" s="1085"/>
    </row>
    <row r="33" spans="18:34" x14ac:dyDescent="0.25">
      <c r="R33" s="1147" t="s">
        <v>202</v>
      </c>
      <c r="S33" s="1147"/>
      <c r="T33" s="1151">
        <v>8</v>
      </c>
      <c r="U33" s="1152"/>
      <c r="V33" s="1152">
        <v>0</v>
      </c>
      <c r="W33" s="1152"/>
      <c r="AA33" s="1147" t="s">
        <v>202</v>
      </c>
      <c r="AB33" s="1147"/>
      <c r="AC33" s="1152">
        <v>3</v>
      </c>
      <c r="AD33" s="1152"/>
      <c r="AE33" s="1152">
        <v>0</v>
      </c>
      <c r="AF33" s="1152"/>
      <c r="AG33" s="1085"/>
      <c r="AH33" s="1085"/>
    </row>
    <row r="34" spans="18:34" x14ac:dyDescent="0.25">
      <c r="R34" s="1147" t="s">
        <v>90</v>
      </c>
      <c r="S34" s="1147"/>
      <c r="T34" s="1153">
        <f>T35-T32-T33</f>
        <v>48.455469742063499</v>
      </c>
      <c r="U34" s="1154"/>
      <c r="V34" s="1153">
        <f>V35-V32-V33</f>
        <v>37.995893601190474</v>
      </c>
      <c r="W34" s="1154"/>
      <c r="AA34" s="1155" t="s">
        <v>90</v>
      </c>
      <c r="AB34" s="1156"/>
      <c r="AC34" s="1153">
        <f>AC35-AC32-AC33</f>
        <v>57.143982638888872</v>
      </c>
      <c r="AD34" s="1157"/>
      <c r="AE34" s="1153">
        <f>AE35-AE33-AE32</f>
        <v>39.780213541666662</v>
      </c>
      <c r="AF34" s="1154"/>
      <c r="AG34" s="819"/>
      <c r="AH34" s="819"/>
    </row>
    <row r="35" spans="18:34" ht="19.5" customHeight="1" x14ac:dyDescent="0.25">
      <c r="R35" s="1147" t="s">
        <v>90</v>
      </c>
      <c r="S35" s="1147"/>
      <c r="T35" s="1161">
        <f>SUM(AC7,AI7,AT7,BB7)</f>
        <v>64.455469742063499</v>
      </c>
      <c r="U35" s="1162"/>
      <c r="V35" s="1161">
        <f>SUM(AD7,AJ7,AU7)</f>
        <v>42.995893601190474</v>
      </c>
      <c r="W35" s="1162"/>
      <c r="AA35" s="1147" t="s">
        <v>90</v>
      </c>
      <c r="AB35" s="1147"/>
      <c r="AC35" s="1161">
        <f>SUM(AC8,AI8,AT8,BB8)</f>
        <v>67.143982638888872</v>
      </c>
      <c r="AD35" s="1162"/>
      <c r="AE35" s="1161">
        <f>SUM(AD8,AJ8,AU8)</f>
        <v>44.780213541666662</v>
      </c>
      <c r="AF35" s="1162"/>
      <c r="AG35" s="1084"/>
      <c r="AH35" s="1084"/>
    </row>
    <row r="36" spans="18:34" x14ac:dyDescent="0.25">
      <c r="R36" s="1159"/>
      <c r="S36" s="1159"/>
      <c r="T36" s="1160">
        <f>SUM(T30:U34)</f>
        <v>210.96790029761905</v>
      </c>
      <c r="U36" s="1160"/>
      <c r="V36" s="1160">
        <f>SUM(V30,V31,V32,V33,V34)</f>
        <v>105.78693526785715</v>
      </c>
      <c r="W36" s="1160"/>
      <c r="X36" s="393"/>
      <c r="AA36" s="1159"/>
      <c r="AB36" s="1159"/>
      <c r="AC36" s="1160">
        <f>SUM(AC30:AD34)</f>
        <v>220.39488541666663</v>
      </c>
      <c r="AD36" s="1160"/>
      <c r="AE36" s="1160">
        <f>SUM(AE30,AE31,AE32,AE33,AE34)</f>
        <v>110.45917187499998</v>
      </c>
      <c r="AF36" s="1160"/>
      <c r="AG36" s="1083"/>
      <c r="AH36" s="1083"/>
    </row>
    <row r="37" spans="18:34" x14ac:dyDescent="0.25">
      <c r="T37" s="1158"/>
      <c r="U37" s="1158"/>
      <c r="X37" s="393"/>
    </row>
    <row r="38" spans="18:34" x14ac:dyDescent="0.25">
      <c r="V38" s="393">
        <f>SUM(V30,V31,V32,V33,V34)</f>
        <v>105.78693526785715</v>
      </c>
      <c r="X38" s="393"/>
    </row>
    <row r="44" spans="18:34" x14ac:dyDescent="0.25">
      <c r="T44" s="619"/>
      <c r="U44" s="854"/>
      <c r="V44" s="854"/>
      <c r="W44" s="854"/>
      <c r="X44" s="854"/>
    </row>
    <row r="45" spans="18:34" x14ac:dyDescent="0.25">
      <c r="T45" s="619"/>
      <c r="U45" s="854"/>
      <c r="V45" s="854"/>
      <c r="W45" s="854"/>
      <c r="X45" s="854"/>
      <c r="AC45" s="924" t="s">
        <v>203</v>
      </c>
      <c r="AD45" s="925" t="s">
        <v>228</v>
      </c>
      <c r="AE45" s="925" t="s">
        <v>205</v>
      </c>
      <c r="AF45" s="925" t="s">
        <v>206</v>
      </c>
      <c r="AG45" s="924" t="s">
        <v>207</v>
      </c>
    </row>
    <row r="46" spans="18:34" x14ac:dyDescent="0.25">
      <c r="T46" s="619"/>
      <c r="U46" s="854"/>
      <c r="V46" s="854"/>
      <c r="W46" s="854"/>
      <c r="X46" s="854"/>
      <c r="AC46" s="619" t="s">
        <v>90</v>
      </c>
      <c r="AD46" s="854">
        <v>0</v>
      </c>
      <c r="AE46" s="854">
        <v>54</v>
      </c>
      <c r="AF46" s="854">
        <v>38</v>
      </c>
      <c r="AG46" s="854">
        <v>720.28599999999994</v>
      </c>
    </row>
    <row r="47" spans="18:34" x14ac:dyDescent="0.25">
      <c r="T47" s="619"/>
      <c r="U47" s="854"/>
      <c r="V47" s="854"/>
      <c r="W47" s="854"/>
      <c r="X47" s="854"/>
      <c r="AC47" s="619" t="s">
        <v>86</v>
      </c>
      <c r="AD47" s="854">
        <v>0</v>
      </c>
      <c r="AE47" s="854">
        <v>83</v>
      </c>
      <c r="AF47" s="854">
        <v>36</v>
      </c>
      <c r="AG47" s="854">
        <v>2.7</v>
      </c>
    </row>
    <row r="48" spans="18:34" x14ac:dyDescent="0.25">
      <c r="T48" s="619"/>
      <c r="U48" s="854"/>
      <c r="V48" s="854"/>
      <c r="W48" s="854"/>
      <c r="X48" s="854"/>
      <c r="AC48" s="619" t="s">
        <v>87</v>
      </c>
      <c r="AD48" s="854">
        <v>0</v>
      </c>
      <c r="AE48" s="854">
        <v>62</v>
      </c>
      <c r="AF48" s="854">
        <v>27</v>
      </c>
      <c r="AG48" s="854">
        <v>1.7</v>
      </c>
    </row>
    <row r="49" spans="20:33" x14ac:dyDescent="0.25">
      <c r="T49" s="619"/>
      <c r="U49" s="854"/>
      <c r="V49" s="854"/>
      <c r="W49" s="854"/>
      <c r="X49" s="854"/>
      <c r="AC49" s="619" t="s">
        <v>201</v>
      </c>
      <c r="AD49" s="854">
        <v>0</v>
      </c>
      <c r="AE49" s="854">
        <v>7</v>
      </c>
      <c r="AF49" s="854">
        <v>5</v>
      </c>
      <c r="AG49" s="854">
        <v>0.08</v>
      </c>
    </row>
    <row r="50" spans="20:33" x14ac:dyDescent="0.25">
      <c r="T50" s="901"/>
      <c r="U50" s="901"/>
      <c r="V50" s="901"/>
      <c r="W50" s="901"/>
      <c r="X50" s="901"/>
      <c r="AC50" s="619" t="s">
        <v>202</v>
      </c>
      <c r="AD50" s="854">
        <v>0</v>
      </c>
      <c r="AE50" s="854">
        <v>3</v>
      </c>
      <c r="AF50" s="854">
        <v>0</v>
      </c>
      <c r="AG50" s="854">
        <v>0.05</v>
      </c>
    </row>
    <row r="51" spans="20:33" x14ac:dyDescent="0.25">
      <c r="W51" s="854"/>
      <c r="AD51">
        <f>SUM(AD46:AD50)</f>
        <v>0</v>
      </c>
      <c r="AE51">
        <f t="shared" ref="AE51:AG51" si="3">SUM(AE46:AE50)</f>
        <v>209</v>
      </c>
      <c r="AF51">
        <f t="shared" si="3"/>
        <v>106</v>
      </c>
      <c r="AG51">
        <f t="shared" si="3"/>
        <v>724.81600000000003</v>
      </c>
    </row>
    <row r="52" spans="20:33" x14ac:dyDescent="0.25">
      <c r="W52" s="854"/>
      <c r="AE52" s="393">
        <f>R7</f>
        <v>210.96790029761905</v>
      </c>
      <c r="AF52" s="393">
        <f>S7</f>
        <v>105.78693526785715</v>
      </c>
      <c r="AG52" t="s">
        <v>163</v>
      </c>
    </row>
    <row r="53" spans="20:33" x14ac:dyDescent="0.25">
      <c r="AE53" s="393">
        <f>R8</f>
        <v>220.39488541666663</v>
      </c>
      <c r="AF53" s="393">
        <f>S8</f>
        <v>110.459171875</v>
      </c>
      <c r="AG53" t="s">
        <v>237</v>
      </c>
    </row>
    <row r="54" spans="20:33" x14ac:dyDescent="0.25">
      <c r="U54" s="924" t="s">
        <v>203</v>
      </c>
      <c r="V54" s="925" t="s">
        <v>228</v>
      </c>
      <c r="W54" s="925" t="s">
        <v>205</v>
      </c>
      <c r="X54" s="925" t="s">
        <v>206</v>
      </c>
      <c r="Y54" s="924" t="s">
        <v>207</v>
      </c>
    </row>
    <row r="55" spans="20:33" x14ac:dyDescent="0.25">
      <c r="U55" s="619" t="s">
        <v>90</v>
      </c>
      <c r="V55" s="854">
        <v>0</v>
      </c>
      <c r="W55" s="854">
        <v>48</v>
      </c>
      <c r="X55" s="854">
        <v>40</v>
      </c>
      <c r="Y55" s="854">
        <v>1369.4</v>
      </c>
    </row>
    <row r="56" spans="20:33" x14ac:dyDescent="0.25">
      <c r="U56" s="619" t="s">
        <v>86</v>
      </c>
      <c r="V56" s="854">
        <v>0</v>
      </c>
      <c r="W56" s="854">
        <v>84</v>
      </c>
      <c r="X56" s="854">
        <v>33</v>
      </c>
      <c r="Y56" s="854">
        <v>93</v>
      </c>
    </row>
    <row r="57" spans="20:33" x14ac:dyDescent="0.25">
      <c r="U57" s="619" t="s">
        <v>87</v>
      </c>
      <c r="V57" s="854">
        <v>0</v>
      </c>
      <c r="W57" s="854">
        <v>63</v>
      </c>
      <c r="X57" s="854">
        <v>53</v>
      </c>
      <c r="Y57" s="854">
        <v>92.4</v>
      </c>
    </row>
    <row r="58" spans="20:33" x14ac:dyDescent="0.25">
      <c r="U58" s="619" t="s">
        <v>201</v>
      </c>
      <c r="V58" s="854">
        <v>0</v>
      </c>
      <c r="W58" s="854">
        <v>8</v>
      </c>
      <c r="X58" s="854">
        <v>5</v>
      </c>
      <c r="Y58" s="854">
        <v>0</v>
      </c>
    </row>
    <row r="59" spans="20:33" x14ac:dyDescent="0.25">
      <c r="U59" s="619" t="s">
        <v>202</v>
      </c>
      <c r="V59" s="854">
        <v>0</v>
      </c>
      <c r="W59" s="854">
        <v>8</v>
      </c>
      <c r="X59" s="854">
        <v>0</v>
      </c>
      <c r="Y59" s="854">
        <v>0</v>
      </c>
    </row>
    <row r="60" spans="20:33" x14ac:dyDescent="0.25">
      <c r="V60">
        <f>SUM(V55:V59)</f>
        <v>0</v>
      </c>
      <c r="W60">
        <f t="shared" ref="W60:Y60" si="4">SUM(W55:W59)</f>
        <v>211</v>
      </c>
      <c r="X60">
        <f t="shared" si="4"/>
        <v>131</v>
      </c>
      <c r="Y60">
        <f t="shared" si="4"/>
        <v>1554.8000000000002</v>
      </c>
    </row>
  </sheetData>
  <mergeCells count="124">
    <mergeCell ref="T37:U37"/>
    <mergeCell ref="R36:S36"/>
    <mergeCell ref="T36:U36"/>
    <mergeCell ref="V36:W36"/>
    <mergeCell ref="AA36:AB36"/>
    <mergeCell ref="AC36:AD36"/>
    <mergeCell ref="AE36:AF36"/>
    <mergeCell ref="R35:S35"/>
    <mergeCell ref="T35:U35"/>
    <mergeCell ref="V35:W35"/>
    <mergeCell ref="AA35:AB35"/>
    <mergeCell ref="AC35:AD35"/>
    <mergeCell ref="AE35:AF35"/>
    <mergeCell ref="R34:S34"/>
    <mergeCell ref="T34:U34"/>
    <mergeCell ref="V34:W34"/>
    <mergeCell ref="AA34:AB34"/>
    <mergeCell ref="AC34:AD34"/>
    <mergeCell ref="AE34:AF34"/>
    <mergeCell ref="R33:S33"/>
    <mergeCell ref="T33:U33"/>
    <mergeCell ref="V33:W33"/>
    <mergeCell ref="AA33:AB33"/>
    <mergeCell ref="AC33:AD33"/>
    <mergeCell ref="AE33:AF33"/>
    <mergeCell ref="R32:S32"/>
    <mergeCell ref="T32:U32"/>
    <mergeCell ref="V32:W32"/>
    <mergeCell ref="AA32:AB32"/>
    <mergeCell ref="AC32:AD32"/>
    <mergeCell ref="AE32:AF32"/>
    <mergeCell ref="R31:S31"/>
    <mergeCell ref="T31:U31"/>
    <mergeCell ref="V31:W31"/>
    <mergeCell ref="AA31:AB31"/>
    <mergeCell ref="AC31:AD31"/>
    <mergeCell ref="AE31:AF31"/>
    <mergeCell ref="AE29:AF29"/>
    <mergeCell ref="R30:S30"/>
    <mergeCell ref="T30:U30"/>
    <mergeCell ref="V30:W30"/>
    <mergeCell ref="AA30:AB30"/>
    <mergeCell ref="AC30:AD30"/>
    <mergeCell ref="AE30:AF30"/>
    <mergeCell ref="R28:W28"/>
    <mergeCell ref="AA28:AD28"/>
    <mergeCell ref="R29:S29"/>
    <mergeCell ref="T29:U29"/>
    <mergeCell ref="V29:W29"/>
    <mergeCell ref="AA29:AB29"/>
    <mergeCell ref="AC29:AD29"/>
    <mergeCell ref="Q24:R24"/>
    <mergeCell ref="V24:W24"/>
    <mergeCell ref="S25:S26"/>
    <mergeCell ref="T25:T26"/>
    <mergeCell ref="R27:W27"/>
    <mergeCell ref="AA27:AD27"/>
    <mergeCell ref="Q22:R22"/>
    <mergeCell ref="V22:W22"/>
    <mergeCell ref="AA22:AB22"/>
    <mergeCell ref="AD22:AI22"/>
    <mergeCell ref="Q23:R23"/>
    <mergeCell ref="V23:W23"/>
    <mergeCell ref="Q20:R20"/>
    <mergeCell ref="V20:W20"/>
    <mergeCell ref="AA20:AB20"/>
    <mergeCell ref="AD20:AI20"/>
    <mergeCell ref="Q21:R21"/>
    <mergeCell ref="V21:W21"/>
    <mergeCell ref="AA21:AB21"/>
    <mergeCell ref="AD21:AI21"/>
    <mergeCell ref="Q18:R18"/>
    <mergeCell ref="V18:W18"/>
    <mergeCell ref="AA18:AB18"/>
    <mergeCell ref="AD18:AI18"/>
    <mergeCell ref="Q19:R19"/>
    <mergeCell ref="V19:W19"/>
    <mergeCell ref="AA19:AB19"/>
    <mergeCell ref="AD19:AI19"/>
    <mergeCell ref="Q16:R16"/>
    <mergeCell ref="V16:W16"/>
    <mergeCell ref="AA16:AB16"/>
    <mergeCell ref="AD16:AI16"/>
    <mergeCell ref="Q17:R17"/>
    <mergeCell ref="V17:W17"/>
    <mergeCell ref="AD17:AI17"/>
    <mergeCell ref="Q14:R14"/>
    <mergeCell ref="V14:W14"/>
    <mergeCell ref="AA14:AB14"/>
    <mergeCell ref="AD14:AI14"/>
    <mergeCell ref="Q15:R15"/>
    <mergeCell ref="V15:W15"/>
    <mergeCell ref="AA15:AB15"/>
    <mergeCell ref="AD15:AI15"/>
    <mergeCell ref="Q12:T12"/>
    <mergeCell ref="V12:Y12"/>
    <mergeCell ref="Q13:T13"/>
    <mergeCell ref="V13:Y13"/>
    <mergeCell ref="AA13:AB13"/>
    <mergeCell ref="AD13:AI13"/>
    <mergeCell ref="BJ1:BQ1"/>
    <mergeCell ref="BR1:BS1"/>
    <mergeCell ref="BT1:BU1"/>
    <mergeCell ref="BV1:BW1"/>
    <mergeCell ref="BX1:BY1"/>
    <mergeCell ref="BZ1:CA1"/>
    <mergeCell ref="AE1:AH1"/>
    <mergeCell ref="AI1:AJ1"/>
    <mergeCell ref="AK1:AR1"/>
    <mergeCell ref="AS1:AW1"/>
    <mergeCell ref="AX1:AZ1"/>
    <mergeCell ref="BA1:BI1"/>
    <mergeCell ref="M1:M2"/>
    <mergeCell ref="P1:P2"/>
    <mergeCell ref="Q1:S1"/>
    <mergeCell ref="T1:W1"/>
    <mergeCell ref="X1:AA1"/>
    <mergeCell ref="AB1:AD1"/>
    <mergeCell ref="A1:A2"/>
    <mergeCell ref="B1:B3"/>
    <mergeCell ref="C1:E2"/>
    <mergeCell ref="F1:H2"/>
    <mergeCell ref="I1:K2"/>
    <mergeCell ref="L1:L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AUG 2024 (2)</vt:lpstr>
      <vt:lpstr>MIS august 2020</vt:lpstr>
      <vt:lpstr>MIS September 2020</vt:lpstr>
      <vt:lpstr>October 2020</vt:lpstr>
      <vt:lpstr>November 2020</vt:lpstr>
      <vt:lpstr>DECEMBER 2020</vt:lpstr>
      <vt:lpstr>JANUARY 2021</vt:lpstr>
      <vt:lpstr>FEBRUARY 2021</vt:lpstr>
      <vt:lpstr>MARCH 2021</vt:lpstr>
      <vt:lpstr>APRIL 2021</vt:lpstr>
      <vt:lpstr>MAY 2021</vt:lpstr>
      <vt:lpstr>June 2021</vt:lpstr>
      <vt:lpstr>July 2021</vt:lpstr>
      <vt:lpstr>Aug 2021</vt:lpstr>
      <vt:lpstr>Sept 2021</vt:lpstr>
      <vt:lpstr>Oct 2021</vt:lpstr>
      <vt:lpstr>Nov 2021</vt:lpstr>
      <vt:lpstr>Dec 2021</vt:lpstr>
      <vt:lpstr>Jan 2022</vt:lpstr>
      <vt:lpstr>Feb 2022</vt:lpstr>
      <vt:lpstr>March 2022</vt:lpstr>
      <vt:lpstr>April 2022</vt:lpstr>
      <vt:lpstr>MAY 2022</vt:lpstr>
      <vt:lpstr>Sheet1</vt:lpstr>
      <vt:lpstr>JUNE 2022</vt:lpstr>
      <vt:lpstr>JULY 2022</vt:lpstr>
      <vt:lpstr>AUG 2022</vt:lpstr>
      <vt:lpstr>SEPT 2022</vt:lpstr>
      <vt:lpstr>OCT 2022</vt:lpstr>
      <vt:lpstr>NOV-2022</vt:lpstr>
      <vt:lpstr>Dec 2022</vt:lpstr>
      <vt:lpstr>January 2023</vt:lpstr>
      <vt:lpstr>Feb 2023</vt:lpstr>
      <vt:lpstr>March,2023</vt:lpstr>
      <vt:lpstr>April,2023</vt:lpstr>
      <vt:lpstr>May 2023</vt:lpstr>
      <vt:lpstr>June 2023</vt:lpstr>
      <vt:lpstr>July2023</vt:lpstr>
      <vt:lpstr>Aug 2023</vt:lpstr>
      <vt:lpstr>Sept 2023</vt:lpstr>
      <vt:lpstr>Oct 2023</vt:lpstr>
      <vt:lpstr>Nov-23</vt:lpstr>
      <vt:lpstr>Dec 2023 </vt:lpstr>
      <vt:lpstr>Jan 2024</vt:lpstr>
      <vt:lpstr>Feb 2024</vt:lpstr>
      <vt:lpstr>Feb 2024-Rev </vt:lpstr>
      <vt:lpstr>March 2024</vt:lpstr>
      <vt:lpstr>April 2024</vt:lpstr>
      <vt:lpstr>May 2024</vt:lpstr>
      <vt:lpstr>June 2024</vt:lpstr>
      <vt:lpstr>July 2024</vt:lpstr>
      <vt:lpstr>AUG 2024</vt:lpstr>
      <vt:lpstr>SEPT 2024</vt:lpstr>
      <vt:lpstr>OCT 2024</vt:lpstr>
      <vt:lpstr>Nov 2024</vt:lpstr>
      <vt:lpstr>Janu 2025</vt:lpstr>
      <vt:lpstr>Feb 2025</vt:lpstr>
      <vt:lpstr>Mar 2025</vt:lpstr>
      <vt:lpstr>April 2025</vt:lpstr>
      <vt:lpstr>May 2025</vt:lpstr>
      <vt:lpstr>June 2025 </vt:lpstr>
      <vt:lpstr>July 2025</vt:lpstr>
      <vt:lpstr>Oct 2025</vt:lpstr>
      <vt:lpstr>July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2020-10-19T07:45:40Z</dcterms:created>
  <dcterms:modified xsi:type="dcterms:W3CDTF">2026-08-01T07:05:42Z</dcterms:modified>
</cp:coreProperties>
</file>